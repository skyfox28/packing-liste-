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" sheetId="1" state="visible" r:id="rId1"/>
    <sheet name="Synthese" sheetId="2" state="visible" r:id="rId2"/>
    <sheet name="Detail_palettes" sheetId="3" state="visible" r:id="rId3"/>
    <sheet name="Artic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68686D"/>
    </font>
    <font>
      <name val="Arial"/>
      <b val="1"/>
      <color rgb="00FFFFFF"/>
      <sz val="13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rial"/>
        <b val="1"/>
        <color rgb="00C0392B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Articles" displayName="TblArticles" ref="A1:C301" headerRowCount="1">
  <autoFilter ref="A1:C301"/>
  <tableColumns count="3">
    <tableColumn id="1" name="GTIN"/>
    <tableColumn id="2" name="Désignation"/>
    <tableColumn id="3" name="Code article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hidden="1" width="16" customWidth="1" min="2" max="2"/>
    <col width="32" customWidth="1" min="3" max="3"/>
    <col width="14" customWidth="1" min="4" max="4"/>
    <col width="12" customWidth="1" min="5" max="5"/>
    <col width="12" customWidth="1" min="6" max="6"/>
    <col width="11" customWidth="1" min="7" max="7"/>
    <col hidden="1" width="34" customWidth="1" min="8" max="8"/>
  </cols>
  <sheetData>
    <row r="1">
      <c r="A1" s="1" t="inlineStr">
        <is>
          <t>PACKING LISTE — SAISIE / SCAN</t>
        </is>
      </c>
    </row>
    <row r="2">
      <c r="A2" s="2" t="inlineStr">
        <is>
          <t>Scannez en colonne A : Désignation/Code article/DLUO/Lot se remplissent seuls, quantité en G.</t>
        </is>
      </c>
    </row>
    <row r="4">
      <c r="A4" s="3" t="inlineStr">
        <is>
          <t>Code scanné</t>
        </is>
      </c>
      <c r="B4" s="3" t="inlineStr">
        <is>
          <t>GTIN</t>
        </is>
      </c>
      <c r="C4" s="3" t="inlineStr">
        <is>
          <t>Désignation</t>
        </is>
      </c>
      <c r="D4" s="3" t="inlineStr">
        <is>
          <t>Code article</t>
        </is>
      </c>
      <c r="E4" s="3" t="inlineStr">
        <is>
          <t>DLUO</t>
        </is>
      </c>
      <c r="F4" s="3" t="inlineStr">
        <is>
          <t>Lot</t>
        </is>
      </c>
      <c r="G4" s="3" t="inlineStr">
        <is>
          <t>Quantité</t>
        </is>
      </c>
      <c r="H4" s="3" t="inlineStr">
        <is>
          <t>Nettoyé</t>
        </is>
      </c>
    </row>
    <row r="5">
      <c r="A5" s="4" t="n"/>
      <c r="B5" s="5">
        <f>IFERROR(MID(H5,FIND("01",H5)+2,14),"")</f>
        <v/>
      </c>
      <c r="C5" s="4">
        <f>IF(A5="","",IFERROR(VLOOKUP(B5,TblArticles,2,FALSE),"GTIN inconnu"))</f>
        <v/>
      </c>
      <c r="D5" s="5">
        <f>IF(A5="","",IFERROR(VLOOKUP(B5,TblArticles,3,FALSE),""))</f>
        <v/>
      </c>
      <c r="E5" s="6">
        <f>IFERROR(DATE(2000+VALUE(MID(H5,FIND("15",H5,FIND("01",H5)+16)+2,2)),VALUE(MID(H5,FIND("15",H5,FIND("01",H5)+16)+4,2)),VALUE(MID(H5,FIND("15",H5,FIND("01",H5)+16)+6,2))),"")</f>
        <v/>
      </c>
      <c r="F5" s="5">
        <f>IFERROR(MID(H5,FIND("10",H5,FIND("15",H5,FIND("01",H5)+16)+8)+2,50),"")</f>
        <v/>
      </c>
      <c r="G5" s="5" t="n"/>
      <c r="H5" s="5">
        <f>SUBSTITUTE(SUBSTITUTE(SUBSTITUTE(SUBSTITUTE(A5,"(",""),")","")," ",""),CHAR(29),"")</f>
        <v/>
      </c>
    </row>
    <row r="6">
      <c r="A6" s="7" t="n"/>
      <c r="B6" s="8">
        <f>IFERROR(MID(H6,FIND("01",H6)+2,14),"")</f>
        <v/>
      </c>
      <c r="C6" s="7">
        <f>IF(A6="","",IFERROR(VLOOKUP(B6,TblArticles,2,FALSE),"GTIN inconnu"))</f>
        <v/>
      </c>
      <c r="D6" s="8">
        <f>IF(A6="","",IFERROR(VLOOKUP(B6,TblArticles,3,FALSE),""))</f>
        <v/>
      </c>
      <c r="E6" s="9">
        <f>IFERROR(DATE(2000+VALUE(MID(H6,FIND("15",H6,FIND("01",H6)+16)+2,2)),VALUE(MID(H6,FIND("15",H6,FIND("01",H6)+16)+4,2)),VALUE(MID(H6,FIND("15",H6,FIND("01",H6)+16)+6,2))),"")</f>
        <v/>
      </c>
      <c r="F6" s="8">
        <f>IFERROR(MID(H6,FIND("10",H6,FIND("15",H6,FIND("01",H6)+16)+8)+2,50),"")</f>
        <v/>
      </c>
      <c r="G6" s="8" t="n"/>
      <c r="H6" s="8">
        <f>SUBSTITUTE(SUBSTITUTE(SUBSTITUTE(SUBSTITUTE(A6,"(",""),")","")," ",""),CHAR(29),"")</f>
        <v/>
      </c>
    </row>
    <row r="7">
      <c r="A7" s="4" t="n"/>
      <c r="B7" s="5">
        <f>IFERROR(MID(H7,FIND("01",H7)+2,14),"")</f>
        <v/>
      </c>
      <c r="C7" s="4">
        <f>IF(A7="","",IFERROR(VLOOKUP(B7,TblArticles,2,FALSE),"GTIN inconnu"))</f>
        <v/>
      </c>
      <c r="D7" s="5">
        <f>IF(A7="","",IFERROR(VLOOKUP(B7,TblArticles,3,FALSE),""))</f>
        <v/>
      </c>
      <c r="E7" s="6">
        <f>IFERROR(DATE(2000+VALUE(MID(H7,FIND("15",H7,FIND("01",H7)+16)+2,2)),VALUE(MID(H7,FIND("15",H7,FIND("01",H7)+16)+4,2)),VALUE(MID(H7,FIND("15",H7,FIND("01",H7)+16)+6,2))),"")</f>
        <v/>
      </c>
      <c r="F7" s="5">
        <f>IFERROR(MID(H7,FIND("10",H7,FIND("15",H7,FIND("01",H7)+16)+8)+2,50),"")</f>
        <v/>
      </c>
      <c r="G7" s="5" t="n"/>
      <c r="H7" s="5">
        <f>SUBSTITUTE(SUBSTITUTE(SUBSTITUTE(SUBSTITUTE(A7,"(",""),")","")," ",""),CHAR(29),"")</f>
        <v/>
      </c>
    </row>
    <row r="8">
      <c r="A8" s="7" t="n"/>
      <c r="B8" s="8">
        <f>IFERROR(MID(H8,FIND("01",H8)+2,14),"")</f>
        <v/>
      </c>
      <c r="C8" s="7">
        <f>IF(A8="","",IFERROR(VLOOKUP(B8,TblArticles,2,FALSE),"GTIN inconnu"))</f>
        <v/>
      </c>
      <c r="D8" s="8">
        <f>IF(A8="","",IFERROR(VLOOKUP(B8,TblArticles,3,FALSE),""))</f>
        <v/>
      </c>
      <c r="E8" s="9">
        <f>IFERROR(DATE(2000+VALUE(MID(H8,FIND("15",H8,FIND("01",H8)+16)+2,2)),VALUE(MID(H8,FIND("15",H8,FIND("01",H8)+16)+4,2)),VALUE(MID(H8,FIND("15",H8,FIND("01",H8)+16)+6,2))),"")</f>
        <v/>
      </c>
      <c r="F8" s="8">
        <f>IFERROR(MID(H8,FIND("10",H8,FIND("15",H8,FIND("01",H8)+16)+8)+2,50),"")</f>
        <v/>
      </c>
      <c r="G8" s="8" t="n"/>
      <c r="H8" s="8">
        <f>SUBSTITUTE(SUBSTITUTE(SUBSTITUTE(SUBSTITUTE(A8,"(",""),")","")," ",""),CHAR(29),"")</f>
        <v/>
      </c>
    </row>
    <row r="9">
      <c r="A9" s="4" t="n"/>
      <c r="B9" s="5">
        <f>IFERROR(MID(H9,FIND("01",H9)+2,14),"")</f>
        <v/>
      </c>
      <c r="C9" s="4">
        <f>IF(A9="","",IFERROR(VLOOKUP(B9,TblArticles,2,FALSE),"GTIN inconnu"))</f>
        <v/>
      </c>
      <c r="D9" s="5">
        <f>IF(A9="","",IFERROR(VLOOKUP(B9,TblArticles,3,FALSE),""))</f>
        <v/>
      </c>
      <c r="E9" s="6">
        <f>IFERROR(DATE(2000+VALUE(MID(H9,FIND("15",H9,FIND("01",H9)+16)+2,2)),VALUE(MID(H9,FIND("15",H9,FIND("01",H9)+16)+4,2)),VALUE(MID(H9,FIND("15",H9,FIND("01",H9)+16)+6,2))),"")</f>
        <v/>
      </c>
      <c r="F9" s="5">
        <f>IFERROR(MID(H9,FIND("10",H9,FIND("15",H9,FIND("01",H9)+16)+8)+2,50),"")</f>
        <v/>
      </c>
      <c r="G9" s="5" t="n"/>
      <c r="H9" s="5">
        <f>SUBSTITUTE(SUBSTITUTE(SUBSTITUTE(SUBSTITUTE(A9,"(",""),")","")," ",""),CHAR(29),"")</f>
        <v/>
      </c>
    </row>
    <row r="10">
      <c r="A10" s="7" t="n"/>
      <c r="B10" s="8">
        <f>IFERROR(MID(H10,FIND("01",H10)+2,14),"")</f>
        <v/>
      </c>
      <c r="C10" s="7">
        <f>IF(A10="","",IFERROR(VLOOKUP(B10,TblArticles,2,FALSE),"GTIN inconnu"))</f>
        <v/>
      </c>
      <c r="D10" s="8">
        <f>IF(A10="","",IFERROR(VLOOKUP(B10,TblArticles,3,FALSE),""))</f>
        <v/>
      </c>
      <c r="E10" s="9">
        <f>IFERROR(DATE(2000+VALUE(MID(H10,FIND("15",H10,FIND("01",H10)+16)+2,2)),VALUE(MID(H10,FIND("15",H10,FIND("01",H10)+16)+4,2)),VALUE(MID(H10,FIND("15",H10,FIND("01",H10)+16)+6,2))),"")</f>
        <v/>
      </c>
      <c r="F10" s="8">
        <f>IFERROR(MID(H10,FIND("10",H10,FIND("15",H10,FIND("01",H10)+16)+8)+2,50),"")</f>
        <v/>
      </c>
      <c r="G10" s="8" t="n"/>
      <c r="H10" s="8">
        <f>SUBSTITUTE(SUBSTITUTE(SUBSTITUTE(SUBSTITUTE(A10,"(",""),")","")," ",""),CHAR(29),"")</f>
        <v/>
      </c>
    </row>
    <row r="11">
      <c r="A11" s="4" t="n"/>
      <c r="B11" s="5">
        <f>IFERROR(MID(H11,FIND("01",H11)+2,14),"")</f>
        <v/>
      </c>
      <c r="C11" s="4">
        <f>IF(A11="","",IFERROR(VLOOKUP(B11,TblArticles,2,FALSE),"GTIN inconnu"))</f>
        <v/>
      </c>
      <c r="D11" s="5">
        <f>IF(A11="","",IFERROR(VLOOKUP(B11,TblArticles,3,FALSE),""))</f>
        <v/>
      </c>
      <c r="E11" s="6">
        <f>IFERROR(DATE(2000+VALUE(MID(H11,FIND("15",H11,FIND("01",H11)+16)+2,2)),VALUE(MID(H11,FIND("15",H11,FIND("01",H11)+16)+4,2)),VALUE(MID(H11,FIND("15",H11,FIND("01",H11)+16)+6,2))),"")</f>
        <v/>
      </c>
      <c r="F11" s="5">
        <f>IFERROR(MID(H11,FIND("10",H11,FIND("15",H11,FIND("01",H11)+16)+8)+2,50),"")</f>
        <v/>
      </c>
      <c r="G11" s="5" t="n"/>
      <c r="H11" s="5">
        <f>SUBSTITUTE(SUBSTITUTE(SUBSTITUTE(SUBSTITUTE(A11,"(",""),")","")," ",""),CHAR(29),"")</f>
        <v/>
      </c>
    </row>
    <row r="12">
      <c r="A12" s="7" t="n"/>
      <c r="B12" s="8">
        <f>IFERROR(MID(H12,FIND("01",H12)+2,14),"")</f>
        <v/>
      </c>
      <c r="C12" s="7">
        <f>IF(A12="","",IFERROR(VLOOKUP(B12,TblArticles,2,FALSE),"GTIN inconnu"))</f>
        <v/>
      </c>
      <c r="D12" s="8">
        <f>IF(A12="","",IFERROR(VLOOKUP(B12,TblArticles,3,FALSE),""))</f>
        <v/>
      </c>
      <c r="E12" s="9">
        <f>IFERROR(DATE(2000+VALUE(MID(H12,FIND("15",H12,FIND("01",H12)+16)+2,2)),VALUE(MID(H12,FIND("15",H12,FIND("01",H12)+16)+4,2)),VALUE(MID(H12,FIND("15",H12,FIND("01",H12)+16)+6,2))),"")</f>
        <v/>
      </c>
      <c r="F12" s="8">
        <f>IFERROR(MID(H12,FIND("10",H12,FIND("15",H12,FIND("01",H12)+16)+8)+2,50),"")</f>
        <v/>
      </c>
      <c r="G12" s="8" t="n"/>
      <c r="H12" s="8">
        <f>SUBSTITUTE(SUBSTITUTE(SUBSTITUTE(SUBSTITUTE(A12,"(",""),")","")," ",""),CHAR(29),"")</f>
        <v/>
      </c>
    </row>
    <row r="13">
      <c r="A13" s="4" t="n"/>
      <c r="B13" s="5">
        <f>IFERROR(MID(H13,FIND("01",H13)+2,14),"")</f>
        <v/>
      </c>
      <c r="C13" s="4">
        <f>IF(A13="","",IFERROR(VLOOKUP(B13,TblArticles,2,FALSE),"GTIN inconnu"))</f>
        <v/>
      </c>
      <c r="D13" s="5">
        <f>IF(A13="","",IFERROR(VLOOKUP(B13,TblArticles,3,FALSE),""))</f>
        <v/>
      </c>
      <c r="E13" s="6">
        <f>IFERROR(DATE(2000+VALUE(MID(H13,FIND("15",H13,FIND("01",H13)+16)+2,2)),VALUE(MID(H13,FIND("15",H13,FIND("01",H13)+16)+4,2)),VALUE(MID(H13,FIND("15",H13,FIND("01",H13)+16)+6,2))),"")</f>
        <v/>
      </c>
      <c r="F13" s="5">
        <f>IFERROR(MID(H13,FIND("10",H13,FIND("15",H13,FIND("01",H13)+16)+8)+2,50),"")</f>
        <v/>
      </c>
      <c r="G13" s="5" t="n"/>
      <c r="H13" s="5">
        <f>SUBSTITUTE(SUBSTITUTE(SUBSTITUTE(SUBSTITUTE(A13,"(",""),")","")," ",""),CHAR(29),"")</f>
        <v/>
      </c>
    </row>
    <row r="14">
      <c r="A14" s="7" t="n"/>
      <c r="B14" s="8">
        <f>IFERROR(MID(H14,FIND("01",H14)+2,14),"")</f>
        <v/>
      </c>
      <c r="C14" s="7">
        <f>IF(A14="","",IFERROR(VLOOKUP(B14,TblArticles,2,FALSE),"GTIN inconnu"))</f>
        <v/>
      </c>
      <c r="D14" s="8">
        <f>IF(A14="","",IFERROR(VLOOKUP(B14,TblArticles,3,FALSE),""))</f>
        <v/>
      </c>
      <c r="E14" s="9">
        <f>IFERROR(DATE(2000+VALUE(MID(H14,FIND("15",H14,FIND("01",H14)+16)+2,2)),VALUE(MID(H14,FIND("15",H14,FIND("01",H14)+16)+4,2)),VALUE(MID(H14,FIND("15",H14,FIND("01",H14)+16)+6,2))),"")</f>
        <v/>
      </c>
      <c r="F14" s="8">
        <f>IFERROR(MID(H14,FIND("10",H14,FIND("15",H14,FIND("01",H14)+16)+8)+2,50),"")</f>
        <v/>
      </c>
      <c r="G14" s="8" t="n"/>
      <c r="H14" s="8">
        <f>SUBSTITUTE(SUBSTITUTE(SUBSTITUTE(SUBSTITUTE(A14,"(",""),")","")," ",""),CHAR(29),"")</f>
        <v/>
      </c>
    </row>
    <row r="15">
      <c r="A15" s="4" t="n"/>
      <c r="B15" s="5">
        <f>IFERROR(MID(H15,FIND("01",H15)+2,14),"")</f>
        <v/>
      </c>
      <c r="C15" s="4">
        <f>IF(A15="","",IFERROR(VLOOKUP(B15,TblArticles,2,FALSE),"GTIN inconnu"))</f>
        <v/>
      </c>
      <c r="D15" s="5">
        <f>IF(A15="","",IFERROR(VLOOKUP(B15,TblArticles,3,FALSE),""))</f>
        <v/>
      </c>
      <c r="E15" s="6">
        <f>IFERROR(DATE(2000+VALUE(MID(H15,FIND("15",H15,FIND("01",H15)+16)+2,2)),VALUE(MID(H15,FIND("15",H15,FIND("01",H15)+16)+4,2)),VALUE(MID(H15,FIND("15",H15,FIND("01",H15)+16)+6,2))),"")</f>
        <v/>
      </c>
      <c r="F15" s="5">
        <f>IFERROR(MID(H15,FIND("10",H15,FIND("15",H15,FIND("01",H15)+16)+8)+2,50),"")</f>
        <v/>
      </c>
      <c r="G15" s="5" t="n"/>
      <c r="H15" s="5">
        <f>SUBSTITUTE(SUBSTITUTE(SUBSTITUTE(SUBSTITUTE(A15,"(",""),")","")," ",""),CHAR(29),"")</f>
        <v/>
      </c>
    </row>
    <row r="16">
      <c r="A16" s="7" t="n"/>
      <c r="B16" s="8">
        <f>IFERROR(MID(H16,FIND("01",H16)+2,14),"")</f>
        <v/>
      </c>
      <c r="C16" s="7">
        <f>IF(A16="","",IFERROR(VLOOKUP(B16,TblArticles,2,FALSE),"GTIN inconnu"))</f>
        <v/>
      </c>
      <c r="D16" s="8">
        <f>IF(A16="","",IFERROR(VLOOKUP(B16,TblArticles,3,FALSE),""))</f>
        <v/>
      </c>
      <c r="E16" s="9">
        <f>IFERROR(DATE(2000+VALUE(MID(H16,FIND("15",H16,FIND("01",H16)+16)+2,2)),VALUE(MID(H16,FIND("15",H16,FIND("01",H16)+16)+4,2)),VALUE(MID(H16,FIND("15",H16,FIND("01",H16)+16)+6,2))),"")</f>
        <v/>
      </c>
      <c r="F16" s="8">
        <f>IFERROR(MID(H16,FIND("10",H16,FIND("15",H16,FIND("01",H16)+16)+8)+2,50),"")</f>
        <v/>
      </c>
      <c r="G16" s="8" t="n"/>
      <c r="H16" s="8">
        <f>SUBSTITUTE(SUBSTITUTE(SUBSTITUTE(SUBSTITUTE(A16,"(",""),")","")," ",""),CHAR(29),"")</f>
        <v/>
      </c>
    </row>
    <row r="17">
      <c r="A17" s="4" t="n"/>
      <c r="B17" s="5">
        <f>IFERROR(MID(H17,FIND("01",H17)+2,14),"")</f>
        <v/>
      </c>
      <c r="C17" s="4">
        <f>IF(A17="","",IFERROR(VLOOKUP(B17,TblArticles,2,FALSE),"GTIN inconnu"))</f>
        <v/>
      </c>
      <c r="D17" s="5">
        <f>IF(A17="","",IFERROR(VLOOKUP(B17,TblArticles,3,FALSE),""))</f>
        <v/>
      </c>
      <c r="E17" s="6">
        <f>IFERROR(DATE(2000+VALUE(MID(H17,FIND("15",H17,FIND("01",H17)+16)+2,2)),VALUE(MID(H17,FIND("15",H17,FIND("01",H17)+16)+4,2)),VALUE(MID(H17,FIND("15",H17,FIND("01",H17)+16)+6,2))),"")</f>
        <v/>
      </c>
      <c r="F17" s="5">
        <f>IFERROR(MID(H17,FIND("10",H17,FIND("15",H17,FIND("01",H17)+16)+8)+2,50),"")</f>
        <v/>
      </c>
      <c r="G17" s="5" t="n"/>
      <c r="H17" s="5">
        <f>SUBSTITUTE(SUBSTITUTE(SUBSTITUTE(SUBSTITUTE(A17,"(",""),")","")," ",""),CHAR(29),"")</f>
        <v/>
      </c>
    </row>
    <row r="18">
      <c r="A18" s="7" t="n"/>
      <c r="B18" s="8">
        <f>IFERROR(MID(H18,FIND("01",H18)+2,14),"")</f>
        <v/>
      </c>
      <c r="C18" s="7">
        <f>IF(A18="","",IFERROR(VLOOKUP(B18,TblArticles,2,FALSE),"GTIN inconnu"))</f>
        <v/>
      </c>
      <c r="D18" s="8">
        <f>IF(A18="","",IFERROR(VLOOKUP(B18,TblArticles,3,FALSE),""))</f>
        <v/>
      </c>
      <c r="E18" s="9">
        <f>IFERROR(DATE(2000+VALUE(MID(H18,FIND("15",H18,FIND("01",H18)+16)+2,2)),VALUE(MID(H18,FIND("15",H18,FIND("01",H18)+16)+4,2)),VALUE(MID(H18,FIND("15",H18,FIND("01",H18)+16)+6,2))),"")</f>
        <v/>
      </c>
      <c r="F18" s="8">
        <f>IFERROR(MID(H18,FIND("10",H18,FIND("15",H18,FIND("01",H18)+16)+8)+2,50),"")</f>
        <v/>
      </c>
      <c r="G18" s="8" t="n"/>
      <c r="H18" s="8">
        <f>SUBSTITUTE(SUBSTITUTE(SUBSTITUTE(SUBSTITUTE(A18,"(",""),")","")," ",""),CHAR(29),"")</f>
        <v/>
      </c>
    </row>
    <row r="19">
      <c r="A19" s="4" t="n"/>
      <c r="B19" s="5">
        <f>IFERROR(MID(H19,FIND("01",H19)+2,14),"")</f>
        <v/>
      </c>
      <c r="C19" s="4">
        <f>IF(A19="","",IFERROR(VLOOKUP(B19,TblArticles,2,FALSE),"GTIN inconnu"))</f>
        <v/>
      </c>
      <c r="D19" s="5">
        <f>IF(A19="","",IFERROR(VLOOKUP(B19,TblArticles,3,FALSE),""))</f>
        <v/>
      </c>
      <c r="E19" s="6">
        <f>IFERROR(DATE(2000+VALUE(MID(H19,FIND("15",H19,FIND("01",H19)+16)+2,2)),VALUE(MID(H19,FIND("15",H19,FIND("01",H19)+16)+4,2)),VALUE(MID(H19,FIND("15",H19,FIND("01",H19)+16)+6,2))),"")</f>
        <v/>
      </c>
      <c r="F19" s="5">
        <f>IFERROR(MID(H19,FIND("10",H19,FIND("15",H19,FIND("01",H19)+16)+8)+2,50),"")</f>
        <v/>
      </c>
      <c r="G19" s="5" t="n"/>
      <c r="H19" s="5">
        <f>SUBSTITUTE(SUBSTITUTE(SUBSTITUTE(SUBSTITUTE(A19,"(",""),")","")," ",""),CHAR(29),"")</f>
        <v/>
      </c>
    </row>
    <row r="20">
      <c r="A20" s="7" t="n"/>
      <c r="B20" s="8">
        <f>IFERROR(MID(H20,FIND("01",H20)+2,14),"")</f>
        <v/>
      </c>
      <c r="C20" s="7">
        <f>IF(A20="","",IFERROR(VLOOKUP(B20,TblArticles,2,FALSE),"GTIN inconnu"))</f>
        <v/>
      </c>
      <c r="D20" s="8">
        <f>IF(A20="","",IFERROR(VLOOKUP(B20,TblArticles,3,FALSE),""))</f>
        <v/>
      </c>
      <c r="E20" s="9">
        <f>IFERROR(DATE(2000+VALUE(MID(H20,FIND("15",H20,FIND("01",H20)+16)+2,2)),VALUE(MID(H20,FIND("15",H20,FIND("01",H20)+16)+4,2)),VALUE(MID(H20,FIND("15",H20,FIND("01",H20)+16)+6,2))),"")</f>
        <v/>
      </c>
      <c r="F20" s="8">
        <f>IFERROR(MID(H20,FIND("10",H20,FIND("15",H20,FIND("01",H20)+16)+8)+2,50),"")</f>
        <v/>
      </c>
      <c r="G20" s="8" t="n"/>
      <c r="H20" s="8">
        <f>SUBSTITUTE(SUBSTITUTE(SUBSTITUTE(SUBSTITUTE(A20,"(",""),")","")," ",""),CHAR(29),"")</f>
        <v/>
      </c>
    </row>
    <row r="21">
      <c r="A21" s="4" t="n"/>
      <c r="B21" s="5">
        <f>IFERROR(MID(H21,FIND("01",H21)+2,14),"")</f>
        <v/>
      </c>
      <c r="C21" s="4">
        <f>IF(A21="","",IFERROR(VLOOKUP(B21,TblArticles,2,FALSE),"GTIN inconnu"))</f>
        <v/>
      </c>
      <c r="D21" s="5">
        <f>IF(A21="","",IFERROR(VLOOKUP(B21,TblArticles,3,FALSE),""))</f>
        <v/>
      </c>
      <c r="E21" s="6">
        <f>IFERROR(DATE(2000+VALUE(MID(H21,FIND("15",H21,FIND("01",H21)+16)+2,2)),VALUE(MID(H21,FIND("15",H21,FIND("01",H21)+16)+4,2)),VALUE(MID(H21,FIND("15",H21,FIND("01",H21)+16)+6,2))),"")</f>
        <v/>
      </c>
      <c r="F21" s="5">
        <f>IFERROR(MID(H21,FIND("10",H21,FIND("15",H21,FIND("01",H21)+16)+8)+2,50),"")</f>
        <v/>
      </c>
      <c r="G21" s="5" t="n"/>
      <c r="H21" s="5">
        <f>SUBSTITUTE(SUBSTITUTE(SUBSTITUTE(SUBSTITUTE(A21,"(",""),")","")," ",""),CHAR(29),"")</f>
        <v/>
      </c>
    </row>
    <row r="22">
      <c r="A22" s="7" t="n"/>
      <c r="B22" s="8">
        <f>IFERROR(MID(H22,FIND("01",H22)+2,14),"")</f>
        <v/>
      </c>
      <c r="C22" s="7">
        <f>IF(A22="","",IFERROR(VLOOKUP(B22,TblArticles,2,FALSE),"GTIN inconnu"))</f>
        <v/>
      </c>
      <c r="D22" s="8">
        <f>IF(A22="","",IFERROR(VLOOKUP(B22,TblArticles,3,FALSE),""))</f>
        <v/>
      </c>
      <c r="E22" s="9">
        <f>IFERROR(DATE(2000+VALUE(MID(H22,FIND("15",H22,FIND("01",H22)+16)+2,2)),VALUE(MID(H22,FIND("15",H22,FIND("01",H22)+16)+4,2)),VALUE(MID(H22,FIND("15",H22,FIND("01",H22)+16)+6,2))),"")</f>
        <v/>
      </c>
      <c r="F22" s="8">
        <f>IFERROR(MID(H22,FIND("10",H22,FIND("15",H22,FIND("01",H22)+16)+8)+2,50),"")</f>
        <v/>
      </c>
      <c r="G22" s="8" t="n"/>
      <c r="H22" s="8">
        <f>SUBSTITUTE(SUBSTITUTE(SUBSTITUTE(SUBSTITUTE(A22,"(",""),")","")," ",""),CHAR(29),"")</f>
        <v/>
      </c>
    </row>
    <row r="23">
      <c r="A23" s="4" t="n"/>
      <c r="B23" s="5">
        <f>IFERROR(MID(H23,FIND("01",H23)+2,14),"")</f>
        <v/>
      </c>
      <c r="C23" s="4">
        <f>IF(A23="","",IFERROR(VLOOKUP(B23,TblArticles,2,FALSE),"GTIN inconnu"))</f>
        <v/>
      </c>
      <c r="D23" s="5">
        <f>IF(A23="","",IFERROR(VLOOKUP(B23,TblArticles,3,FALSE),""))</f>
        <v/>
      </c>
      <c r="E23" s="6">
        <f>IFERROR(DATE(2000+VALUE(MID(H23,FIND("15",H23,FIND("01",H23)+16)+2,2)),VALUE(MID(H23,FIND("15",H23,FIND("01",H23)+16)+4,2)),VALUE(MID(H23,FIND("15",H23,FIND("01",H23)+16)+6,2))),"")</f>
        <v/>
      </c>
      <c r="F23" s="5">
        <f>IFERROR(MID(H23,FIND("10",H23,FIND("15",H23,FIND("01",H23)+16)+8)+2,50),"")</f>
        <v/>
      </c>
      <c r="G23" s="5" t="n"/>
      <c r="H23" s="5">
        <f>SUBSTITUTE(SUBSTITUTE(SUBSTITUTE(SUBSTITUTE(A23,"(",""),")","")," ",""),CHAR(29),"")</f>
        <v/>
      </c>
    </row>
    <row r="24">
      <c r="A24" s="7" t="n"/>
      <c r="B24" s="8">
        <f>IFERROR(MID(H24,FIND("01",H24)+2,14),"")</f>
        <v/>
      </c>
      <c r="C24" s="7">
        <f>IF(A24="","",IFERROR(VLOOKUP(B24,TblArticles,2,FALSE),"GTIN inconnu"))</f>
        <v/>
      </c>
      <c r="D24" s="8">
        <f>IF(A24="","",IFERROR(VLOOKUP(B24,TblArticles,3,FALSE),""))</f>
        <v/>
      </c>
      <c r="E24" s="9">
        <f>IFERROR(DATE(2000+VALUE(MID(H24,FIND("15",H24,FIND("01",H24)+16)+2,2)),VALUE(MID(H24,FIND("15",H24,FIND("01",H24)+16)+4,2)),VALUE(MID(H24,FIND("15",H24,FIND("01",H24)+16)+6,2))),"")</f>
        <v/>
      </c>
      <c r="F24" s="8">
        <f>IFERROR(MID(H24,FIND("10",H24,FIND("15",H24,FIND("01",H24)+16)+8)+2,50),"")</f>
        <v/>
      </c>
      <c r="G24" s="8" t="n"/>
      <c r="H24" s="8">
        <f>SUBSTITUTE(SUBSTITUTE(SUBSTITUTE(SUBSTITUTE(A24,"(",""),")","")," ",""),CHAR(29),"")</f>
        <v/>
      </c>
    </row>
    <row r="25">
      <c r="A25" s="4" t="n"/>
      <c r="B25" s="5">
        <f>IFERROR(MID(H25,FIND("01",H25)+2,14),"")</f>
        <v/>
      </c>
      <c r="C25" s="4">
        <f>IF(A25="","",IFERROR(VLOOKUP(B25,TblArticles,2,FALSE),"GTIN inconnu"))</f>
        <v/>
      </c>
      <c r="D25" s="5">
        <f>IF(A25="","",IFERROR(VLOOKUP(B25,TblArticles,3,FALSE),""))</f>
        <v/>
      </c>
      <c r="E25" s="6">
        <f>IFERROR(DATE(2000+VALUE(MID(H25,FIND("15",H25,FIND("01",H25)+16)+2,2)),VALUE(MID(H25,FIND("15",H25,FIND("01",H25)+16)+4,2)),VALUE(MID(H25,FIND("15",H25,FIND("01",H25)+16)+6,2))),"")</f>
        <v/>
      </c>
      <c r="F25" s="5">
        <f>IFERROR(MID(H25,FIND("10",H25,FIND("15",H25,FIND("01",H25)+16)+8)+2,50),"")</f>
        <v/>
      </c>
      <c r="G25" s="5" t="n"/>
      <c r="H25" s="5">
        <f>SUBSTITUTE(SUBSTITUTE(SUBSTITUTE(SUBSTITUTE(A25,"(",""),")","")," ",""),CHAR(29),"")</f>
        <v/>
      </c>
    </row>
    <row r="26">
      <c r="A26" s="7" t="n"/>
      <c r="B26" s="8">
        <f>IFERROR(MID(H26,FIND("01",H26)+2,14),"")</f>
        <v/>
      </c>
      <c r="C26" s="7">
        <f>IF(A26="","",IFERROR(VLOOKUP(B26,TblArticles,2,FALSE),"GTIN inconnu"))</f>
        <v/>
      </c>
      <c r="D26" s="8">
        <f>IF(A26="","",IFERROR(VLOOKUP(B26,TblArticles,3,FALSE),""))</f>
        <v/>
      </c>
      <c r="E26" s="9">
        <f>IFERROR(DATE(2000+VALUE(MID(H26,FIND("15",H26,FIND("01",H26)+16)+2,2)),VALUE(MID(H26,FIND("15",H26,FIND("01",H26)+16)+4,2)),VALUE(MID(H26,FIND("15",H26,FIND("01",H26)+16)+6,2))),"")</f>
        <v/>
      </c>
      <c r="F26" s="8">
        <f>IFERROR(MID(H26,FIND("10",H26,FIND("15",H26,FIND("01",H26)+16)+8)+2,50),"")</f>
        <v/>
      </c>
      <c r="G26" s="8" t="n"/>
      <c r="H26" s="8">
        <f>SUBSTITUTE(SUBSTITUTE(SUBSTITUTE(SUBSTITUTE(A26,"(",""),")","")," ",""),CHAR(29),"")</f>
        <v/>
      </c>
    </row>
    <row r="27">
      <c r="A27" s="4" t="n"/>
      <c r="B27" s="5">
        <f>IFERROR(MID(H27,FIND("01",H27)+2,14),"")</f>
        <v/>
      </c>
      <c r="C27" s="4">
        <f>IF(A27="","",IFERROR(VLOOKUP(B27,TblArticles,2,FALSE),"GTIN inconnu"))</f>
        <v/>
      </c>
      <c r="D27" s="5">
        <f>IF(A27="","",IFERROR(VLOOKUP(B27,TblArticles,3,FALSE),""))</f>
        <v/>
      </c>
      <c r="E27" s="6">
        <f>IFERROR(DATE(2000+VALUE(MID(H27,FIND("15",H27,FIND("01",H27)+16)+2,2)),VALUE(MID(H27,FIND("15",H27,FIND("01",H27)+16)+4,2)),VALUE(MID(H27,FIND("15",H27,FIND("01",H27)+16)+6,2))),"")</f>
        <v/>
      </c>
      <c r="F27" s="5">
        <f>IFERROR(MID(H27,FIND("10",H27,FIND("15",H27,FIND("01",H27)+16)+8)+2,50),"")</f>
        <v/>
      </c>
      <c r="G27" s="5" t="n"/>
      <c r="H27" s="5">
        <f>SUBSTITUTE(SUBSTITUTE(SUBSTITUTE(SUBSTITUTE(A27,"(",""),")","")," ",""),CHAR(29),"")</f>
        <v/>
      </c>
    </row>
    <row r="28">
      <c r="A28" s="7" t="n"/>
      <c r="B28" s="8">
        <f>IFERROR(MID(H28,FIND("01",H28)+2,14),"")</f>
        <v/>
      </c>
      <c r="C28" s="7">
        <f>IF(A28="","",IFERROR(VLOOKUP(B28,TblArticles,2,FALSE),"GTIN inconnu"))</f>
        <v/>
      </c>
      <c r="D28" s="8">
        <f>IF(A28="","",IFERROR(VLOOKUP(B28,TblArticles,3,FALSE),""))</f>
        <v/>
      </c>
      <c r="E28" s="9">
        <f>IFERROR(DATE(2000+VALUE(MID(H28,FIND("15",H28,FIND("01",H28)+16)+2,2)),VALUE(MID(H28,FIND("15",H28,FIND("01",H28)+16)+4,2)),VALUE(MID(H28,FIND("15",H28,FIND("01",H28)+16)+6,2))),"")</f>
        <v/>
      </c>
      <c r="F28" s="8">
        <f>IFERROR(MID(H28,FIND("10",H28,FIND("15",H28,FIND("01",H28)+16)+8)+2,50),"")</f>
        <v/>
      </c>
      <c r="G28" s="8" t="n"/>
      <c r="H28" s="8">
        <f>SUBSTITUTE(SUBSTITUTE(SUBSTITUTE(SUBSTITUTE(A28,"(",""),")","")," ",""),CHAR(29),"")</f>
        <v/>
      </c>
    </row>
    <row r="29">
      <c r="A29" s="4" t="n"/>
      <c r="B29" s="5">
        <f>IFERROR(MID(H29,FIND("01",H29)+2,14),"")</f>
        <v/>
      </c>
      <c r="C29" s="4">
        <f>IF(A29="","",IFERROR(VLOOKUP(B29,TblArticles,2,FALSE),"GTIN inconnu"))</f>
        <v/>
      </c>
      <c r="D29" s="5">
        <f>IF(A29="","",IFERROR(VLOOKUP(B29,TblArticles,3,FALSE),""))</f>
        <v/>
      </c>
      <c r="E29" s="6">
        <f>IFERROR(DATE(2000+VALUE(MID(H29,FIND("15",H29,FIND("01",H29)+16)+2,2)),VALUE(MID(H29,FIND("15",H29,FIND("01",H29)+16)+4,2)),VALUE(MID(H29,FIND("15",H29,FIND("01",H29)+16)+6,2))),"")</f>
        <v/>
      </c>
      <c r="F29" s="5">
        <f>IFERROR(MID(H29,FIND("10",H29,FIND("15",H29,FIND("01",H29)+16)+8)+2,50),"")</f>
        <v/>
      </c>
      <c r="G29" s="5" t="n"/>
      <c r="H29" s="5">
        <f>SUBSTITUTE(SUBSTITUTE(SUBSTITUTE(SUBSTITUTE(A29,"(",""),")","")," ",""),CHAR(29),"")</f>
        <v/>
      </c>
    </row>
    <row r="30">
      <c r="A30" s="7" t="n"/>
      <c r="B30" s="8">
        <f>IFERROR(MID(H30,FIND("01",H30)+2,14),"")</f>
        <v/>
      </c>
      <c r="C30" s="7">
        <f>IF(A30="","",IFERROR(VLOOKUP(B30,TblArticles,2,FALSE),"GTIN inconnu"))</f>
        <v/>
      </c>
      <c r="D30" s="8">
        <f>IF(A30="","",IFERROR(VLOOKUP(B30,TblArticles,3,FALSE),""))</f>
        <v/>
      </c>
      <c r="E30" s="9">
        <f>IFERROR(DATE(2000+VALUE(MID(H30,FIND("15",H30,FIND("01",H30)+16)+2,2)),VALUE(MID(H30,FIND("15",H30,FIND("01",H30)+16)+4,2)),VALUE(MID(H30,FIND("15",H30,FIND("01",H30)+16)+6,2))),"")</f>
        <v/>
      </c>
      <c r="F30" s="8">
        <f>IFERROR(MID(H30,FIND("10",H30,FIND("15",H30,FIND("01",H30)+16)+8)+2,50),"")</f>
        <v/>
      </c>
      <c r="G30" s="8" t="n"/>
      <c r="H30" s="8">
        <f>SUBSTITUTE(SUBSTITUTE(SUBSTITUTE(SUBSTITUTE(A30,"(",""),")","")," ",""),CHAR(29),"")</f>
        <v/>
      </c>
    </row>
    <row r="31">
      <c r="A31" s="4" t="n"/>
      <c r="B31" s="5">
        <f>IFERROR(MID(H31,FIND("01",H31)+2,14),"")</f>
        <v/>
      </c>
      <c r="C31" s="4">
        <f>IF(A31="","",IFERROR(VLOOKUP(B31,TblArticles,2,FALSE),"GTIN inconnu"))</f>
        <v/>
      </c>
      <c r="D31" s="5">
        <f>IF(A31="","",IFERROR(VLOOKUP(B31,TblArticles,3,FALSE),""))</f>
        <v/>
      </c>
      <c r="E31" s="6">
        <f>IFERROR(DATE(2000+VALUE(MID(H31,FIND("15",H31,FIND("01",H31)+16)+2,2)),VALUE(MID(H31,FIND("15",H31,FIND("01",H31)+16)+4,2)),VALUE(MID(H31,FIND("15",H31,FIND("01",H31)+16)+6,2))),"")</f>
        <v/>
      </c>
      <c r="F31" s="5">
        <f>IFERROR(MID(H31,FIND("10",H31,FIND("15",H31,FIND("01",H31)+16)+8)+2,50),"")</f>
        <v/>
      </c>
      <c r="G31" s="5" t="n"/>
      <c r="H31" s="5">
        <f>SUBSTITUTE(SUBSTITUTE(SUBSTITUTE(SUBSTITUTE(A31,"(",""),")","")," ",""),CHAR(29),"")</f>
        <v/>
      </c>
    </row>
    <row r="32">
      <c r="A32" s="7" t="n"/>
      <c r="B32" s="8">
        <f>IFERROR(MID(H32,FIND("01",H32)+2,14),"")</f>
        <v/>
      </c>
      <c r="C32" s="7">
        <f>IF(A32="","",IFERROR(VLOOKUP(B32,TblArticles,2,FALSE),"GTIN inconnu"))</f>
        <v/>
      </c>
      <c r="D32" s="8">
        <f>IF(A32="","",IFERROR(VLOOKUP(B32,TblArticles,3,FALSE),""))</f>
        <v/>
      </c>
      <c r="E32" s="9">
        <f>IFERROR(DATE(2000+VALUE(MID(H32,FIND("15",H32,FIND("01",H32)+16)+2,2)),VALUE(MID(H32,FIND("15",H32,FIND("01",H32)+16)+4,2)),VALUE(MID(H32,FIND("15",H32,FIND("01",H32)+16)+6,2))),"")</f>
        <v/>
      </c>
      <c r="F32" s="8">
        <f>IFERROR(MID(H32,FIND("10",H32,FIND("15",H32,FIND("01",H32)+16)+8)+2,50),"")</f>
        <v/>
      </c>
      <c r="G32" s="8" t="n"/>
      <c r="H32" s="8">
        <f>SUBSTITUTE(SUBSTITUTE(SUBSTITUTE(SUBSTITUTE(A32,"(",""),")","")," ",""),CHAR(29),"")</f>
        <v/>
      </c>
    </row>
    <row r="33">
      <c r="A33" s="4" t="n"/>
      <c r="B33" s="5">
        <f>IFERROR(MID(H33,FIND("01",H33)+2,14),"")</f>
        <v/>
      </c>
      <c r="C33" s="4">
        <f>IF(A33="","",IFERROR(VLOOKUP(B33,TblArticles,2,FALSE),"GTIN inconnu"))</f>
        <v/>
      </c>
      <c r="D33" s="5">
        <f>IF(A33="","",IFERROR(VLOOKUP(B33,TblArticles,3,FALSE),""))</f>
        <v/>
      </c>
      <c r="E33" s="6">
        <f>IFERROR(DATE(2000+VALUE(MID(H33,FIND("15",H33,FIND("01",H33)+16)+2,2)),VALUE(MID(H33,FIND("15",H33,FIND("01",H33)+16)+4,2)),VALUE(MID(H33,FIND("15",H33,FIND("01",H33)+16)+6,2))),"")</f>
        <v/>
      </c>
      <c r="F33" s="5">
        <f>IFERROR(MID(H33,FIND("10",H33,FIND("15",H33,FIND("01",H33)+16)+8)+2,50),"")</f>
        <v/>
      </c>
      <c r="G33" s="5" t="n"/>
      <c r="H33" s="5">
        <f>SUBSTITUTE(SUBSTITUTE(SUBSTITUTE(SUBSTITUTE(A33,"(",""),")","")," ",""),CHAR(29),"")</f>
        <v/>
      </c>
    </row>
    <row r="34">
      <c r="A34" s="7" t="n"/>
      <c r="B34" s="8">
        <f>IFERROR(MID(H34,FIND("01",H34)+2,14),"")</f>
        <v/>
      </c>
      <c r="C34" s="7">
        <f>IF(A34="","",IFERROR(VLOOKUP(B34,TblArticles,2,FALSE),"GTIN inconnu"))</f>
        <v/>
      </c>
      <c r="D34" s="8">
        <f>IF(A34="","",IFERROR(VLOOKUP(B34,TblArticles,3,FALSE),""))</f>
        <v/>
      </c>
      <c r="E34" s="9">
        <f>IFERROR(DATE(2000+VALUE(MID(H34,FIND("15",H34,FIND("01",H34)+16)+2,2)),VALUE(MID(H34,FIND("15",H34,FIND("01",H34)+16)+4,2)),VALUE(MID(H34,FIND("15",H34,FIND("01",H34)+16)+6,2))),"")</f>
        <v/>
      </c>
      <c r="F34" s="8">
        <f>IFERROR(MID(H34,FIND("10",H34,FIND("15",H34,FIND("01",H34)+16)+8)+2,50),"")</f>
        <v/>
      </c>
      <c r="G34" s="8" t="n"/>
      <c r="H34" s="8">
        <f>SUBSTITUTE(SUBSTITUTE(SUBSTITUTE(SUBSTITUTE(A34,"(",""),")","")," ",""),CHAR(29),"")</f>
        <v/>
      </c>
    </row>
    <row r="35">
      <c r="A35" s="4" t="n"/>
      <c r="B35" s="5">
        <f>IFERROR(MID(H35,FIND("01",H35)+2,14),"")</f>
        <v/>
      </c>
      <c r="C35" s="4">
        <f>IF(A35="","",IFERROR(VLOOKUP(B35,TblArticles,2,FALSE),"GTIN inconnu"))</f>
        <v/>
      </c>
      <c r="D35" s="5">
        <f>IF(A35="","",IFERROR(VLOOKUP(B35,TblArticles,3,FALSE),""))</f>
        <v/>
      </c>
      <c r="E35" s="6">
        <f>IFERROR(DATE(2000+VALUE(MID(H35,FIND("15",H35,FIND("01",H35)+16)+2,2)),VALUE(MID(H35,FIND("15",H35,FIND("01",H35)+16)+4,2)),VALUE(MID(H35,FIND("15",H35,FIND("01",H35)+16)+6,2))),"")</f>
        <v/>
      </c>
      <c r="F35" s="5">
        <f>IFERROR(MID(H35,FIND("10",H35,FIND("15",H35,FIND("01",H35)+16)+8)+2,50),"")</f>
        <v/>
      </c>
      <c r="G35" s="5" t="n"/>
      <c r="H35" s="5">
        <f>SUBSTITUTE(SUBSTITUTE(SUBSTITUTE(SUBSTITUTE(A35,"(",""),")","")," ",""),CHAR(29),"")</f>
        <v/>
      </c>
    </row>
    <row r="36">
      <c r="A36" s="7" t="n"/>
      <c r="B36" s="8">
        <f>IFERROR(MID(H36,FIND("01",H36)+2,14),"")</f>
        <v/>
      </c>
      <c r="C36" s="7">
        <f>IF(A36="","",IFERROR(VLOOKUP(B36,TblArticles,2,FALSE),"GTIN inconnu"))</f>
        <v/>
      </c>
      <c r="D36" s="8">
        <f>IF(A36="","",IFERROR(VLOOKUP(B36,TblArticles,3,FALSE),""))</f>
        <v/>
      </c>
      <c r="E36" s="9">
        <f>IFERROR(DATE(2000+VALUE(MID(H36,FIND("15",H36,FIND("01",H36)+16)+2,2)),VALUE(MID(H36,FIND("15",H36,FIND("01",H36)+16)+4,2)),VALUE(MID(H36,FIND("15",H36,FIND("01",H36)+16)+6,2))),"")</f>
        <v/>
      </c>
      <c r="F36" s="8">
        <f>IFERROR(MID(H36,FIND("10",H36,FIND("15",H36,FIND("01",H36)+16)+8)+2,50),"")</f>
        <v/>
      </c>
      <c r="G36" s="8" t="n"/>
      <c r="H36" s="8">
        <f>SUBSTITUTE(SUBSTITUTE(SUBSTITUTE(SUBSTITUTE(A36,"(",""),")","")," ",""),CHAR(29),"")</f>
        <v/>
      </c>
    </row>
    <row r="37">
      <c r="A37" s="4" t="n"/>
      <c r="B37" s="5">
        <f>IFERROR(MID(H37,FIND("01",H37)+2,14),"")</f>
        <v/>
      </c>
      <c r="C37" s="4">
        <f>IF(A37="","",IFERROR(VLOOKUP(B37,TblArticles,2,FALSE),"GTIN inconnu"))</f>
        <v/>
      </c>
      <c r="D37" s="5">
        <f>IF(A37="","",IFERROR(VLOOKUP(B37,TblArticles,3,FALSE),""))</f>
        <v/>
      </c>
      <c r="E37" s="6">
        <f>IFERROR(DATE(2000+VALUE(MID(H37,FIND("15",H37,FIND("01",H37)+16)+2,2)),VALUE(MID(H37,FIND("15",H37,FIND("01",H37)+16)+4,2)),VALUE(MID(H37,FIND("15",H37,FIND("01",H37)+16)+6,2))),"")</f>
        <v/>
      </c>
      <c r="F37" s="5">
        <f>IFERROR(MID(H37,FIND("10",H37,FIND("15",H37,FIND("01",H37)+16)+8)+2,50),"")</f>
        <v/>
      </c>
      <c r="G37" s="5" t="n"/>
      <c r="H37" s="5">
        <f>SUBSTITUTE(SUBSTITUTE(SUBSTITUTE(SUBSTITUTE(A37,"(",""),")","")," ",""),CHAR(29),"")</f>
        <v/>
      </c>
    </row>
    <row r="38">
      <c r="A38" s="7" t="n"/>
      <c r="B38" s="8">
        <f>IFERROR(MID(H38,FIND("01",H38)+2,14),"")</f>
        <v/>
      </c>
      <c r="C38" s="7">
        <f>IF(A38="","",IFERROR(VLOOKUP(B38,TblArticles,2,FALSE),"GTIN inconnu"))</f>
        <v/>
      </c>
      <c r="D38" s="8">
        <f>IF(A38="","",IFERROR(VLOOKUP(B38,TblArticles,3,FALSE),""))</f>
        <v/>
      </c>
      <c r="E38" s="9">
        <f>IFERROR(DATE(2000+VALUE(MID(H38,FIND("15",H38,FIND("01",H38)+16)+2,2)),VALUE(MID(H38,FIND("15",H38,FIND("01",H38)+16)+4,2)),VALUE(MID(H38,FIND("15",H38,FIND("01",H38)+16)+6,2))),"")</f>
        <v/>
      </c>
      <c r="F38" s="8">
        <f>IFERROR(MID(H38,FIND("10",H38,FIND("15",H38,FIND("01",H38)+16)+8)+2,50),"")</f>
        <v/>
      </c>
      <c r="G38" s="8" t="n"/>
      <c r="H38" s="8">
        <f>SUBSTITUTE(SUBSTITUTE(SUBSTITUTE(SUBSTITUTE(A38,"(",""),")","")," ",""),CHAR(29),"")</f>
        <v/>
      </c>
    </row>
    <row r="39">
      <c r="A39" s="4" t="n"/>
      <c r="B39" s="5">
        <f>IFERROR(MID(H39,FIND("01",H39)+2,14),"")</f>
        <v/>
      </c>
      <c r="C39" s="4">
        <f>IF(A39="","",IFERROR(VLOOKUP(B39,TblArticles,2,FALSE),"GTIN inconnu"))</f>
        <v/>
      </c>
      <c r="D39" s="5">
        <f>IF(A39="","",IFERROR(VLOOKUP(B39,TblArticles,3,FALSE),""))</f>
        <v/>
      </c>
      <c r="E39" s="6">
        <f>IFERROR(DATE(2000+VALUE(MID(H39,FIND("15",H39,FIND("01",H39)+16)+2,2)),VALUE(MID(H39,FIND("15",H39,FIND("01",H39)+16)+4,2)),VALUE(MID(H39,FIND("15",H39,FIND("01",H39)+16)+6,2))),"")</f>
        <v/>
      </c>
      <c r="F39" s="5">
        <f>IFERROR(MID(H39,FIND("10",H39,FIND("15",H39,FIND("01",H39)+16)+8)+2,50),"")</f>
        <v/>
      </c>
      <c r="G39" s="5" t="n"/>
      <c r="H39" s="5">
        <f>SUBSTITUTE(SUBSTITUTE(SUBSTITUTE(SUBSTITUTE(A39,"(",""),")","")," ",""),CHAR(29),"")</f>
        <v/>
      </c>
    </row>
    <row r="40">
      <c r="A40" s="7" t="n"/>
      <c r="B40" s="8">
        <f>IFERROR(MID(H40,FIND("01",H40)+2,14),"")</f>
        <v/>
      </c>
      <c r="C40" s="7">
        <f>IF(A40="","",IFERROR(VLOOKUP(B40,TblArticles,2,FALSE),"GTIN inconnu"))</f>
        <v/>
      </c>
      <c r="D40" s="8">
        <f>IF(A40="","",IFERROR(VLOOKUP(B40,TblArticles,3,FALSE),""))</f>
        <v/>
      </c>
      <c r="E40" s="9">
        <f>IFERROR(DATE(2000+VALUE(MID(H40,FIND("15",H40,FIND("01",H40)+16)+2,2)),VALUE(MID(H40,FIND("15",H40,FIND("01",H40)+16)+4,2)),VALUE(MID(H40,FIND("15",H40,FIND("01",H40)+16)+6,2))),"")</f>
        <v/>
      </c>
      <c r="F40" s="8">
        <f>IFERROR(MID(H40,FIND("10",H40,FIND("15",H40,FIND("01",H40)+16)+8)+2,50),"")</f>
        <v/>
      </c>
      <c r="G40" s="8" t="n"/>
      <c r="H40" s="8">
        <f>SUBSTITUTE(SUBSTITUTE(SUBSTITUTE(SUBSTITUTE(A40,"(",""),")","")," ",""),CHAR(29),"")</f>
        <v/>
      </c>
    </row>
    <row r="41">
      <c r="A41" s="4" t="n"/>
      <c r="B41" s="5">
        <f>IFERROR(MID(H41,FIND("01",H41)+2,14),"")</f>
        <v/>
      </c>
      <c r="C41" s="4">
        <f>IF(A41="","",IFERROR(VLOOKUP(B41,TblArticles,2,FALSE),"GTIN inconnu"))</f>
        <v/>
      </c>
      <c r="D41" s="5">
        <f>IF(A41="","",IFERROR(VLOOKUP(B41,TblArticles,3,FALSE),""))</f>
        <v/>
      </c>
      <c r="E41" s="6">
        <f>IFERROR(DATE(2000+VALUE(MID(H41,FIND("15",H41,FIND("01",H41)+16)+2,2)),VALUE(MID(H41,FIND("15",H41,FIND("01",H41)+16)+4,2)),VALUE(MID(H41,FIND("15",H41,FIND("01",H41)+16)+6,2))),"")</f>
        <v/>
      </c>
      <c r="F41" s="5">
        <f>IFERROR(MID(H41,FIND("10",H41,FIND("15",H41,FIND("01",H41)+16)+8)+2,50),"")</f>
        <v/>
      </c>
      <c r="G41" s="5" t="n"/>
      <c r="H41" s="5">
        <f>SUBSTITUTE(SUBSTITUTE(SUBSTITUTE(SUBSTITUTE(A41,"(",""),")","")," ",""),CHAR(29),"")</f>
        <v/>
      </c>
    </row>
    <row r="42">
      <c r="A42" s="7" t="n"/>
      <c r="B42" s="8">
        <f>IFERROR(MID(H42,FIND("01",H42)+2,14),"")</f>
        <v/>
      </c>
      <c r="C42" s="7">
        <f>IF(A42="","",IFERROR(VLOOKUP(B42,TblArticles,2,FALSE),"GTIN inconnu"))</f>
        <v/>
      </c>
      <c r="D42" s="8">
        <f>IF(A42="","",IFERROR(VLOOKUP(B42,TblArticles,3,FALSE),""))</f>
        <v/>
      </c>
      <c r="E42" s="9">
        <f>IFERROR(DATE(2000+VALUE(MID(H42,FIND("15",H42,FIND("01",H42)+16)+2,2)),VALUE(MID(H42,FIND("15",H42,FIND("01",H42)+16)+4,2)),VALUE(MID(H42,FIND("15",H42,FIND("01",H42)+16)+6,2))),"")</f>
        <v/>
      </c>
      <c r="F42" s="8">
        <f>IFERROR(MID(H42,FIND("10",H42,FIND("15",H42,FIND("01",H42)+16)+8)+2,50),"")</f>
        <v/>
      </c>
      <c r="G42" s="8" t="n"/>
      <c r="H42" s="8">
        <f>SUBSTITUTE(SUBSTITUTE(SUBSTITUTE(SUBSTITUTE(A42,"(",""),")","")," ",""),CHAR(29),"")</f>
        <v/>
      </c>
    </row>
    <row r="43">
      <c r="A43" s="4" t="n"/>
      <c r="B43" s="5">
        <f>IFERROR(MID(H43,FIND("01",H43)+2,14),"")</f>
        <v/>
      </c>
      <c r="C43" s="4">
        <f>IF(A43="","",IFERROR(VLOOKUP(B43,TblArticles,2,FALSE),"GTIN inconnu"))</f>
        <v/>
      </c>
      <c r="D43" s="5">
        <f>IF(A43="","",IFERROR(VLOOKUP(B43,TblArticles,3,FALSE),""))</f>
        <v/>
      </c>
      <c r="E43" s="6">
        <f>IFERROR(DATE(2000+VALUE(MID(H43,FIND("15",H43,FIND("01",H43)+16)+2,2)),VALUE(MID(H43,FIND("15",H43,FIND("01",H43)+16)+4,2)),VALUE(MID(H43,FIND("15",H43,FIND("01",H43)+16)+6,2))),"")</f>
        <v/>
      </c>
      <c r="F43" s="5">
        <f>IFERROR(MID(H43,FIND("10",H43,FIND("15",H43,FIND("01",H43)+16)+8)+2,50),"")</f>
        <v/>
      </c>
      <c r="G43" s="5" t="n"/>
      <c r="H43" s="5">
        <f>SUBSTITUTE(SUBSTITUTE(SUBSTITUTE(SUBSTITUTE(A43,"(",""),")","")," ",""),CHAR(29),"")</f>
        <v/>
      </c>
    </row>
    <row r="44">
      <c r="A44" s="7" t="n"/>
      <c r="B44" s="8">
        <f>IFERROR(MID(H44,FIND("01",H44)+2,14),"")</f>
        <v/>
      </c>
      <c r="C44" s="7">
        <f>IF(A44="","",IFERROR(VLOOKUP(B44,TblArticles,2,FALSE),"GTIN inconnu"))</f>
        <v/>
      </c>
      <c r="D44" s="8">
        <f>IF(A44="","",IFERROR(VLOOKUP(B44,TblArticles,3,FALSE),""))</f>
        <v/>
      </c>
      <c r="E44" s="9">
        <f>IFERROR(DATE(2000+VALUE(MID(H44,FIND("15",H44,FIND("01",H44)+16)+2,2)),VALUE(MID(H44,FIND("15",H44,FIND("01",H44)+16)+4,2)),VALUE(MID(H44,FIND("15",H44,FIND("01",H44)+16)+6,2))),"")</f>
        <v/>
      </c>
      <c r="F44" s="8">
        <f>IFERROR(MID(H44,FIND("10",H44,FIND("15",H44,FIND("01",H44)+16)+8)+2,50),"")</f>
        <v/>
      </c>
      <c r="G44" s="8" t="n"/>
      <c r="H44" s="8">
        <f>SUBSTITUTE(SUBSTITUTE(SUBSTITUTE(SUBSTITUTE(A44,"(",""),")","")," ",""),CHAR(29),"")</f>
        <v/>
      </c>
    </row>
    <row r="45">
      <c r="A45" s="4" t="n"/>
      <c r="B45" s="5">
        <f>IFERROR(MID(H45,FIND("01",H45)+2,14),"")</f>
        <v/>
      </c>
      <c r="C45" s="4">
        <f>IF(A45="","",IFERROR(VLOOKUP(B45,TblArticles,2,FALSE),"GTIN inconnu"))</f>
        <v/>
      </c>
      <c r="D45" s="5">
        <f>IF(A45="","",IFERROR(VLOOKUP(B45,TblArticles,3,FALSE),""))</f>
        <v/>
      </c>
      <c r="E45" s="6">
        <f>IFERROR(DATE(2000+VALUE(MID(H45,FIND("15",H45,FIND("01",H45)+16)+2,2)),VALUE(MID(H45,FIND("15",H45,FIND("01",H45)+16)+4,2)),VALUE(MID(H45,FIND("15",H45,FIND("01",H45)+16)+6,2))),"")</f>
        <v/>
      </c>
      <c r="F45" s="5">
        <f>IFERROR(MID(H45,FIND("10",H45,FIND("15",H45,FIND("01",H45)+16)+8)+2,50),"")</f>
        <v/>
      </c>
      <c r="G45" s="5" t="n"/>
      <c r="H45" s="5">
        <f>SUBSTITUTE(SUBSTITUTE(SUBSTITUTE(SUBSTITUTE(A45,"(",""),")","")," ",""),CHAR(29),"")</f>
        <v/>
      </c>
    </row>
    <row r="46">
      <c r="A46" s="7" t="n"/>
      <c r="B46" s="8">
        <f>IFERROR(MID(H46,FIND("01",H46)+2,14),"")</f>
        <v/>
      </c>
      <c r="C46" s="7">
        <f>IF(A46="","",IFERROR(VLOOKUP(B46,TblArticles,2,FALSE),"GTIN inconnu"))</f>
        <v/>
      </c>
      <c r="D46" s="8">
        <f>IF(A46="","",IFERROR(VLOOKUP(B46,TblArticles,3,FALSE),""))</f>
        <v/>
      </c>
      <c r="E46" s="9">
        <f>IFERROR(DATE(2000+VALUE(MID(H46,FIND("15",H46,FIND("01",H46)+16)+2,2)),VALUE(MID(H46,FIND("15",H46,FIND("01",H46)+16)+4,2)),VALUE(MID(H46,FIND("15",H46,FIND("01",H46)+16)+6,2))),"")</f>
        <v/>
      </c>
      <c r="F46" s="8">
        <f>IFERROR(MID(H46,FIND("10",H46,FIND("15",H46,FIND("01",H46)+16)+8)+2,50),"")</f>
        <v/>
      </c>
      <c r="G46" s="8" t="n"/>
      <c r="H46" s="8">
        <f>SUBSTITUTE(SUBSTITUTE(SUBSTITUTE(SUBSTITUTE(A46,"(",""),")","")," ",""),CHAR(29),"")</f>
        <v/>
      </c>
    </row>
    <row r="47">
      <c r="A47" s="4" t="n"/>
      <c r="B47" s="5">
        <f>IFERROR(MID(H47,FIND("01",H47)+2,14),"")</f>
        <v/>
      </c>
      <c r="C47" s="4">
        <f>IF(A47="","",IFERROR(VLOOKUP(B47,TblArticles,2,FALSE),"GTIN inconnu"))</f>
        <v/>
      </c>
      <c r="D47" s="5">
        <f>IF(A47="","",IFERROR(VLOOKUP(B47,TblArticles,3,FALSE),""))</f>
        <v/>
      </c>
      <c r="E47" s="6">
        <f>IFERROR(DATE(2000+VALUE(MID(H47,FIND("15",H47,FIND("01",H47)+16)+2,2)),VALUE(MID(H47,FIND("15",H47,FIND("01",H47)+16)+4,2)),VALUE(MID(H47,FIND("15",H47,FIND("01",H47)+16)+6,2))),"")</f>
        <v/>
      </c>
      <c r="F47" s="5">
        <f>IFERROR(MID(H47,FIND("10",H47,FIND("15",H47,FIND("01",H47)+16)+8)+2,50),"")</f>
        <v/>
      </c>
      <c r="G47" s="5" t="n"/>
      <c r="H47" s="5">
        <f>SUBSTITUTE(SUBSTITUTE(SUBSTITUTE(SUBSTITUTE(A47,"(",""),")","")," ",""),CHAR(29),"")</f>
        <v/>
      </c>
    </row>
    <row r="48">
      <c r="A48" s="7" t="n"/>
      <c r="B48" s="8">
        <f>IFERROR(MID(H48,FIND("01",H48)+2,14),"")</f>
        <v/>
      </c>
      <c r="C48" s="7">
        <f>IF(A48="","",IFERROR(VLOOKUP(B48,TblArticles,2,FALSE),"GTIN inconnu"))</f>
        <v/>
      </c>
      <c r="D48" s="8">
        <f>IF(A48="","",IFERROR(VLOOKUP(B48,TblArticles,3,FALSE),""))</f>
        <v/>
      </c>
      <c r="E48" s="9">
        <f>IFERROR(DATE(2000+VALUE(MID(H48,FIND("15",H48,FIND("01",H48)+16)+2,2)),VALUE(MID(H48,FIND("15",H48,FIND("01",H48)+16)+4,2)),VALUE(MID(H48,FIND("15",H48,FIND("01",H48)+16)+6,2))),"")</f>
        <v/>
      </c>
      <c r="F48" s="8">
        <f>IFERROR(MID(H48,FIND("10",H48,FIND("15",H48,FIND("01",H48)+16)+8)+2,50),"")</f>
        <v/>
      </c>
      <c r="G48" s="8" t="n"/>
      <c r="H48" s="8">
        <f>SUBSTITUTE(SUBSTITUTE(SUBSTITUTE(SUBSTITUTE(A48,"(",""),")","")," ",""),CHAR(29),"")</f>
        <v/>
      </c>
    </row>
    <row r="49">
      <c r="A49" s="4" t="n"/>
      <c r="B49" s="5">
        <f>IFERROR(MID(H49,FIND("01",H49)+2,14),"")</f>
        <v/>
      </c>
      <c r="C49" s="4">
        <f>IF(A49="","",IFERROR(VLOOKUP(B49,TblArticles,2,FALSE),"GTIN inconnu"))</f>
        <v/>
      </c>
      <c r="D49" s="5">
        <f>IF(A49="","",IFERROR(VLOOKUP(B49,TblArticles,3,FALSE),""))</f>
        <v/>
      </c>
      <c r="E49" s="6">
        <f>IFERROR(DATE(2000+VALUE(MID(H49,FIND("15",H49,FIND("01",H49)+16)+2,2)),VALUE(MID(H49,FIND("15",H49,FIND("01",H49)+16)+4,2)),VALUE(MID(H49,FIND("15",H49,FIND("01",H49)+16)+6,2))),"")</f>
        <v/>
      </c>
      <c r="F49" s="5">
        <f>IFERROR(MID(H49,FIND("10",H49,FIND("15",H49,FIND("01",H49)+16)+8)+2,50),"")</f>
        <v/>
      </c>
      <c r="G49" s="5" t="n"/>
      <c r="H49" s="5">
        <f>SUBSTITUTE(SUBSTITUTE(SUBSTITUTE(SUBSTITUTE(A49,"(",""),")","")," ",""),CHAR(29),"")</f>
        <v/>
      </c>
    </row>
    <row r="50">
      <c r="A50" s="7" t="n"/>
      <c r="B50" s="8">
        <f>IFERROR(MID(H50,FIND("01",H50)+2,14),"")</f>
        <v/>
      </c>
      <c r="C50" s="7">
        <f>IF(A50="","",IFERROR(VLOOKUP(B50,TblArticles,2,FALSE),"GTIN inconnu"))</f>
        <v/>
      </c>
      <c r="D50" s="8">
        <f>IF(A50="","",IFERROR(VLOOKUP(B50,TblArticles,3,FALSE),""))</f>
        <v/>
      </c>
      <c r="E50" s="9">
        <f>IFERROR(DATE(2000+VALUE(MID(H50,FIND("15",H50,FIND("01",H50)+16)+2,2)),VALUE(MID(H50,FIND("15",H50,FIND("01",H50)+16)+4,2)),VALUE(MID(H50,FIND("15",H50,FIND("01",H50)+16)+6,2))),"")</f>
        <v/>
      </c>
      <c r="F50" s="8">
        <f>IFERROR(MID(H50,FIND("10",H50,FIND("15",H50,FIND("01",H50)+16)+8)+2,50),"")</f>
        <v/>
      </c>
      <c r="G50" s="8" t="n"/>
      <c r="H50" s="8">
        <f>SUBSTITUTE(SUBSTITUTE(SUBSTITUTE(SUBSTITUTE(A50,"(",""),")","")," ",""),CHAR(29),"")</f>
        <v/>
      </c>
    </row>
    <row r="51">
      <c r="A51" s="4" t="n"/>
      <c r="B51" s="5">
        <f>IFERROR(MID(H51,FIND("01",H51)+2,14),"")</f>
        <v/>
      </c>
      <c r="C51" s="4">
        <f>IF(A51="","",IFERROR(VLOOKUP(B51,TblArticles,2,FALSE),"GTIN inconnu"))</f>
        <v/>
      </c>
      <c r="D51" s="5">
        <f>IF(A51="","",IFERROR(VLOOKUP(B51,TblArticles,3,FALSE),""))</f>
        <v/>
      </c>
      <c r="E51" s="6">
        <f>IFERROR(DATE(2000+VALUE(MID(H51,FIND("15",H51,FIND("01",H51)+16)+2,2)),VALUE(MID(H51,FIND("15",H51,FIND("01",H51)+16)+4,2)),VALUE(MID(H51,FIND("15",H51,FIND("01",H51)+16)+6,2))),"")</f>
        <v/>
      </c>
      <c r="F51" s="5">
        <f>IFERROR(MID(H51,FIND("10",H51,FIND("15",H51,FIND("01",H51)+16)+8)+2,50),"")</f>
        <v/>
      </c>
      <c r="G51" s="5" t="n"/>
      <c r="H51" s="5">
        <f>SUBSTITUTE(SUBSTITUTE(SUBSTITUTE(SUBSTITUTE(A51,"(",""),")","")," ",""),CHAR(29),"")</f>
        <v/>
      </c>
    </row>
    <row r="52">
      <c r="A52" s="7" t="n"/>
      <c r="B52" s="8">
        <f>IFERROR(MID(H52,FIND("01",H52)+2,14),"")</f>
        <v/>
      </c>
      <c r="C52" s="7">
        <f>IF(A52="","",IFERROR(VLOOKUP(B52,TblArticles,2,FALSE),"GTIN inconnu"))</f>
        <v/>
      </c>
      <c r="D52" s="8">
        <f>IF(A52="","",IFERROR(VLOOKUP(B52,TblArticles,3,FALSE),""))</f>
        <v/>
      </c>
      <c r="E52" s="9">
        <f>IFERROR(DATE(2000+VALUE(MID(H52,FIND("15",H52,FIND("01",H52)+16)+2,2)),VALUE(MID(H52,FIND("15",H52,FIND("01",H52)+16)+4,2)),VALUE(MID(H52,FIND("15",H52,FIND("01",H52)+16)+6,2))),"")</f>
        <v/>
      </c>
      <c r="F52" s="8">
        <f>IFERROR(MID(H52,FIND("10",H52,FIND("15",H52,FIND("01",H52)+16)+8)+2,50),"")</f>
        <v/>
      </c>
      <c r="G52" s="8" t="n"/>
      <c r="H52" s="8">
        <f>SUBSTITUTE(SUBSTITUTE(SUBSTITUTE(SUBSTITUTE(A52,"(",""),")","")," ",""),CHAR(29),"")</f>
        <v/>
      </c>
    </row>
    <row r="53">
      <c r="A53" s="4" t="n"/>
      <c r="B53" s="5">
        <f>IFERROR(MID(H53,FIND("01",H53)+2,14),"")</f>
        <v/>
      </c>
      <c r="C53" s="4">
        <f>IF(A53="","",IFERROR(VLOOKUP(B53,TblArticles,2,FALSE),"GTIN inconnu"))</f>
        <v/>
      </c>
      <c r="D53" s="5">
        <f>IF(A53="","",IFERROR(VLOOKUP(B53,TblArticles,3,FALSE),""))</f>
        <v/>
      </c>
      <c r="E53" s="6">
        <f>IFERROR(DATE(2000+VALUE(MID(H53,FIND("15",H53,FIND("01",H53)+16)+2,2)),VALUE(MID(H53,FIND("15",H53,FIND("01",H53)+16)+4,2)),VALUE(MID(H53,FIND("15",H53,FIND("01",H53)+16)+6,2))),"")</f>
        <v/>
      </c>
      <c r="F53" s="5">
        <f>IFERROR(MID(H53,FIND("10",H53,FIND("15",H53,FIND("01",H53)+16)+8)+2,50),"")</f>
        <v/>
      </c>
      <c r="G53" s="5" t="n"/>
      <c r="H53" s="5">
        <f>SUBSTITUTE(SUBSTITUTE(SUBSTITUTE(SUBSTITUTE(A53,"(",""),")","")," ",""),CHAR(29),"")</f>
        <v/>
      </c>
    </row>
    <row r="54">
      <c r="A54" s="7" t="n"/>
      <c r="B54" s="8">
        <f>IFERROR(MID(H54,FIND("01",H54)+2,14),"")</f>
        <v/>
      </c>
      <c r="C54" s="7">
        <f>IF(A54="","",IFERROR(VLOOKUP(B54,TblArticles,2,FALSE),"GTIN inconnu"))</f>
        <v/>
      </c>
      <c r="D54" s="8">
        <f>IF(A54="","",IFERROR(VLOOKUP(B54,TblArticles,3,FALSE),""))</f>
        <v/>
      </c>
      <c r="E54" s="9">
        <f>IFERROR(DATE(2000+VALUE(MID(H54,FIND("15",H54,FIND("01",H54)+16)+2,2)),VALUE(MID(H54,FIND("15",H54,FIND("01",H54)+16)+4,2)),VALUE(MID(H54,FIND("15",H54,FIND("01",H54)+16)+6,2))),"")</f>
        <v/>
      </c>
      <c r="F54" s="8">
        <f>IFERROR(MID(H54,FIND("10",H54,FIND("15",H54,FIND("01",H54)+16)+8)+2,50),"")</f>
        <v/>
      </c>
      <c r="G54" s="8" t="n"/>
      <c r="H54" s="8">
        <f>SUBSTITUTE(SUBSTITUTE(SUBSTITUTE(SUBSTITUTE(A54,"(",""),")","")," ",""),CHAR(29),"")</f>
        <v/>
      </c>
    </row>
    <row r="55">
      <c r="A55" s="4" t="n"/>
      <c r="B55" s="5">
        <f>IFERROR(MID(H55,FIND("01",H55)+2,14),"")</f>
        <v/>
      </c>
      <c r="C55" s="4">
        <f>IF(A55="","",IFERROR(VLOOKUP(B55,TblArticles,2,FALSE),"GTIN inconnu"))</f>
        <v/>
      </c>
      <c r="D55" s="5">
        <f>IF(A55="","",IFERROR(VLOOKUP(B55,TblArticles,3,FALSE),""))</f>
        <v/>
      </c>
      <c r="E55" s="6">
        <f>IFERROR(DATE(2000+VALUE(MID(H55,FIND("15",H55,FIND("01",H55)+16)+2,2)),VALUE(MID(H55,FIND("15",H55,FIND("01",H55)+16)+4,2)),VALUE(MID(H55,FIND("15",H55,FIND("01",H55)+16)+6,2))),"")</f>
        <v/>
      </c>
      <c r="F55" s="5">
        <f>IFERROR(MID(H55,FIND("10",H55,FIND("15",H55,FIND("01",H55)+16)+8)+2,50),"")</f>
        <v/>
      </c>
      <c r="G55" s="5" t="n"/>
      <c r="H55" s="5">
        <f>SUBSTITUTE(SUBSTITUTE(SUBSTITUTE(SUBSTITUTE(A55,"(",""),")","")," ",""),CHAR(29),"")</f>
        <v/>
      </c>
    </row>
    <row r="56">
      <c r="A56" s="7" t="n"/>
      <c r="B56" s="8">
        <f>IFERROR(MID(H56,FIND("01",H56)+2,14),"")</f>
        <v/>
      </c>
      <c r="C56" s="7">
        <f>IF(A56="","",IFERROR(VLOOKUP(B56,TblArticles,2,FALSE),"GTIN inconnu"))</f>
        <v/>
      </c>
      <c r="D56" s="8">
        <f>IF(A56="","",IFERROR(VLOOKUP(B56,TblArticles,3,FALSE),""))</f>
        <v/>
      </c>
      <c r="E56" s="9">
        <f>IFERROR(DATE(2000+VALUE(MID(H56,FIND("15",H56,FIND("01",H56)+16)+2,2)),VALUE(MID(H56,FIND("15",H56,FIND("01",H56)+16)+4,2)),VALUE(MID(H56,FIND("15",H56,FIND("01",H56)+16)+6,2))),"")</f>
        <v/>
      </c>
      <c r="F56" s="8">
        <f>IFERROR(MID(H56,FIND("10",H56,FIND("15",H56,FIND("01",H56)+16)+8)+2,50),"")</f>
        <v/>
      </c>
      <c r="G56" s="8" t="n"/>
      <c r="H56" s="8">
        <f>SUBSTITUTE(SUBSTITUTE(SUBSTITUTE(SUBSTITUTE(A56,"(",""),")","")," ",""),CHAR(29),"")</f>
        <v/>
      </c>
    </row>
    <row r="57">
      <c r="A57" s="4" t="n"/>
      <c r="B57" s="5">
        <f>IFERROR(MID(H57,FIND("01",H57)+2,14),"")</f>
        <v/>
      </c>
      <c r="C57" s="4">
        <f>IF(A57="","",IFERROR(VLOOKUP(B57,TblArticles,2,FALSE),"GTIN inconnu"))</f>
        <v/>
      </c>
      <c r="D57" s="5">
        <f>IF(A57="","",IFERROR(VLOOKUP(B57,TblArticles,3,FALSE),""))</f>
        <v/>
      </c>
      <c r="E57" s="6">
        <f>IFERROR(DATE(2000+VALUE(MID(H57,FIND("15",H57,FIND("01",H57)+16)+2,2)),VALUE(MID(H57,FIND("15",H57,FIND("01",H57)+16)+4,2)),VALUE(MID(H57,FIND("15",H57,FIND("01",H57)+16)+6,2))),"")</f>
        <v/>
      </c>
      <c r="F57" s="5">
        <f>IFERROR(MID(H57,FIND("10",H57,FIND("15",H57,FIND("01",H57)+16)+8)+2,50),"")</f>
        <v/>
      </c>
      <c r="G57" s="5" t="n"/>
      <c r="H57" s="5">
        <f>SUBSTITUTE(SUBSTITUTE(SUBSTITUTE(SUBSTITUTE(A57,"(",""),")","")," ",""),CHAR(29),"")</f>
        <v/>
      </c>
    </row>
    <row r="58">
      <c r="A58" s="7" t="n"/>
      <c r="B58" s="8">
        <f>IFERROR(MID(H58,FIND("01",H58)+2,14),"")</f>
        <v/>
      </c>
      <c r="C58" s="7">
        <f>IF(A58="","",IFERROR(VLOOKUP(B58,TblArticles,2,FALSE),"GTIN inconnu"))</f>
        <v/>
      </c>
      <c r="D58" s="8">
        <f>IF(A58="","",IFERROR(VLOOKUP(B58,TblArticles,3,FALSE),""))</f>
        <v/>
      </c>
      <c r="E58" s="9">
        <f>IFERROR(DATE(2000+VALUE(MID(H58,FIND("15",H58,FIND("01",H58)+16)+2,2)),VALUE(MID(H58,FIND("15",H58,FIND("01",H58)+16)+4,2)),VALUE(MID(H58,FIND("15",H58,FIND("01",H58)+16)+6,2))),"")</f>
        <v/>
      </c>
      <c r="F58" s="8">
        <f>IFERROR(MID(H58,FIND("10",H58,FIND("15",H58,FIND("01",H58)+16)+8)+2,50),"")</f>
        <v/>
      </c>
      <c r="G58" s="8" t="n"/>
      <c r="H58" s="8">
        <f>SUBSTITUTE(SUBSTITUTE(SUBSTITUTE(SUBSTITUTE(A58,"(",""),")","")," ",""),CHAR(29),"")</f>
        <v/>
      </c>
    </row>
    <row r="59">
      <c r="A59" s="4" t="n"/>
      <c r="B59" s="5">
        <f>IFERROR(MID(H59,FIND("01",H59)+2,14),"")</f>
        <v/>
      </c>
      <c r="C59" s="4">
        <f>IF(A59="","",IFERROR(VLOOKUP(B59,TblArticles,2,FALSE),"GTIN inconnu"))</f>
        <v/>
      </c>
      <c r="D59" s="5">
        <f>IF(A59="","",IFERROR(VLOOKUP(B59,TblArticles,3,FALSE),""))</f>
        <v/>
      </c>
      <c r="E59" s="6">
        <f>IFERROR(DATE(2000+VALUE(MID(H59,FIND("15",H59,FIND("01",H59)+16)+2,2)),VALUE(MID(H59,FIND("15",H59,FIND("01",H59)+16)+4,2)),VALUE(MID(H59,FIND("15",H59,FIND("01",H59)+16)+6,2))),"")</f>
        <v/>
      </c>
      <c r="F59" s="5">
        <f>IFERROR(MID(H59,FIND("10",H59,FIND("15",H59,FIND("01",H59)+16)+8)+2,50),"")</f>
        <v/>
      </c>
      <c r="G59" s="5" t="n"/>
      <c r="H59" s="5">
        <f>SUBSTITUTE(SUBSTITUTE(SUBSTITUTE(SUBSTITUTE(A59,"(",""),")","")," ",""),CHAR(29),"")</f>
        <v/>
      </c>
    </row>
    <row r="60">
      <c r="A60" s="7" t="n"/>
      <c r="B60" s="8">
        <f>IFERROR(MID(H60,FIND("01",H60)+2,14),"")</f>
        <v/>
      </c>
      <c r="C60" s="7">
        <f>IF(A60="","",IFERROR(VLOOKUP(B60,TblArticles,2,FALSE),"GTIN inconnu"))</f>
        <v/>
      </c>
      <c r="D60" s="8">
        <f>IF(A60="","",IFERROR(VLOOKUP(B60,TblArticles,3,FALSE),""))</f>
        <v/>
      </c>
      <c r="E60" s="9">
        <f>IFERROR(DATE(2000+VALUE(MID(H60,FIND("15",H60,FIND("01",H60)+16)+2,2)),VALUE(MID(H60,FIND("15",H60,FIND("01",H60)+16)+4,2)),VALUE(MID(H60,FIND("15",H60,FIND("01",H60)+16)+6,2))),"")</f>
        <v/>
      </c>
      <c r="F60" s="8">
        <f>IFERROR(MID(H60,FIND("10",H60,FIND("15",H60,FIND("01",H60)+16)+8)+2,50),"")</f>
        <v/>
      </c>
      <c r="G60" s="8" t="n"/>
      <c r="H60" s="8">
        <f>SUBSTITUTE(SUBSTITUTE(SUBSTITUTE(SUBSTITUTE(A60,"(",""),")","")," ",""),CHAR(29),"")</f>
        <v/>
      </c>
    </row>
    <row r="61">
      <c r="A61" s="4" t="n"/>
      <c r="B61" s="5">
        <f>IFERROR(MID(H61,FIND("01",H61)+2,14),"")</f>
        <v/>
      </c>
      <c r="C61" s="4">
        <f>IF(A61="","",IFERROR(VLOOKUP(B61,TblArticles,2,FALSE),"GTIN inconnu"))</f>
        <v/>
      </c>
      <c r="D61" s="5">
        <f>IF(A61="","",IFERROR(VLOOKUP(B61,TblArticles,3,FALSE),""))</f>
        <v/>
      </c>
      <c r="E61" s="6">
        <f>IFERROR(DATE(2000+VALUE(MID(H61,FIND("15",H61,FIND("01",H61)+16)+2,2)),VALUE(MID(H61,FIND("15",H61,FIND("01",H61)+16)+4,2)),VALUE(MID(H61,FIND("15",H61,FIND("01",H61)+16)+6,2))),"")</f>
        <v/>
      </c>
      <c r="F61" s="5">
        <f>IFERROR(MID(H61,FIND("10",H61,FIND("15",H61,FIND("01",H61)+16)+8)+2,50),"")</f>
        <v/>
      </c>
      <c r="G61" s="5" t="n"/>
      <c r="H61" s="5">
        <f>SUBSTITUTE(SUBSTITUTE(SUBSTITUTE(SUBSTITUTE(A61,"(",""),")","")," ",""),CHAR(29),"")</f>
        <v/>
      </c>
    </row>
    <row r="62">
      <c r="A62" s="7" t="n"/>
      <c r="B62" s="8">
        <f>IFERROR(MID(H62,FIND("01",H62)+2,14),"")</f>
        <v/>
      </c>
      <c r="C62" s="7">
        <f>IF(A62="","",IFERROR(VLOOKUP(B62,TblArticles,2,FALSE),"GTIN inconnu"))</f>
        <v/>
      </c>
      <c r="D62" s="8">
        <f>IF(A62="","",IFERROR(VLOOKUP(B62,TblArticles,3,FALSE),""))</f>
        <v/>
      </c>
      <c r="E62" s="9">
        <f>IFERROR(DATE(2000+VALUE(MID(H62,FIND("15",H62,FIND("01",H62)+16)+2,2)),VALUE(MID(H62,FIND("15",H62,FIND("01",H62)+16)+4,2)),VALUE(MID(H62,FIND("15",H62,FIND("01",H62)+16)+6,2))),"")</f>
        <v/>
      </c>
      <c r="F62" s="8">
        <f>IFERROR(MID(H62,FIND("10",H62,FIND("15",H62,FIND("01",H62)+16)+8)+2,50),"")</f>
        <v/>
      </c>
      <c r="G62" s="8" t="n"/>
      <c r="H62" s="8">
        <f>SUBSTITUTE(SUBSTITUTE(SUBSTITUTE(SUBSTITUTE(A62,"(",""),")","")," ",""),CHAR(29),"")</f>
        <v/>
      </c>
    </row>
    <row r="63">
      <c r="A63" s="4" t="n"/>
      <c r="B63" s="5">
        <f>IFERROR(MID(H63,FIND("01",H63)+2,14),"")</f>
        <v/>
      </c>
      <c r="C63" s="4">
        <f>IF(A63="","",IFERROR(VLOOKUP(B63,TblArticles,2,FALSE),"GTIN inconnu"))</f>
        <v/>
      </c>
      <c r="D63" s="5">
        <f>IF(A63="","",IFERROR(VLOOKUP(B63,TblArticles,3,FALSE),""))</f>
        <v/>
      </c>
      <c r="E63" s="6">
        <f>IFERROR(DATE(2000+VALUE(MID(H63,FIND("15",H63,FIND("01",H63)+16)+2,2)),VALUE(MID(H63,FIND("15",H63,FIND("01",H63)+16)+4,2)),VALUE(MID(H63,FIND("15",H63,FIND("01",H63)+16)+6,2))),"")</f>
        <v/>
      </c>
      <c r="F63" s="5">
        <f>IFERROR(MID(H63,FIND("10",H63,FIND("15",H63,FIND("01",H63)+16)+8)+2,50),"")</f>
        <v/>
      </c>
      <c r="G63" s="5" t="n"/>
      <c r="H63" s="5">
        <f>SUBSTITUTE(SUBSTITUTE(SUBSTITUTE(SUBSTITUTE(A63,"(",""),")","")," ",""),CHAR(29),"")</f>
        <v/>
      </c>
    </row>
    <row r="64">
      <c r="A64" s="7" t="n"/>
      <c r="B64" s="8">
        <f>IFERROR(MID(H64,FIND("01",H64)+2,14),"")</f>
        <v/>
      </c>
      <c r="C64" s="7">
        <f>IF(A64="","",IFERROR(VLOOKUP(B64,TblArticles,2,FALSE),"GTIN inconnu"))</f>
        <v/>
      </c>
      <c r="D64" s="8">
        <f>IF(A64="","",IFERROR(VLOOKUP(B64,TblArticles,3,FALSE),""))</f>
        <v/>
      </c>
      <c r="E64" s="9">
        <f>IFERROR(DATE(2000+VALUE(MID(H64,FIND("15",H64,FIND("01",H64)+16)+2,2)),VALUE(MID(H64,FIND("15",H64,FIND("01",H64)+16)+4,2)),VALUE(MID(H64,FIND("15",H64,FIND("01",H64)+16)+6,2))),"")</f>
        <v/>
      </c>
      <c r="F64" s="8">
        <f>IFERROR(MID(H64,FIND("10",H64,FIND("15",H64,FIND("01",H64)+16)+8)+2,50),"")</f>
        <v/>
      </c>
      <c r="G64" s="8" t="n"/>
      <c r="H64" s="8">
        <f>SUBSTITUTE(SUBSTITUTE(SUBSTITUTE(SUBSTITUTE(A64,"(",""),")","")," ",""),CHAR(29),"")</f>
        <v/>
      </c>
    </row>
    <row r="65">
      <c r="A65" s="4" t="n"/>
      <c r="B65" s="5">
        <f>IFERROR(MID(H65,FIND("01",H65)+2,14),"")</f>
        <v/>
      </c>
      <c r="C65" s="4">
        <f>IF(A65="","",IFERROR(VLOOKUP(B65,TblArticles,2,FALSE),"GTIN inconnu"))</f>
        <v/>
      </c>
      <c r="D65" s="5">
        <f>IF(A65="","",IFERROR(VLOOKUP(B65,TblArticles,3,FALSE),""))</f>
        <v/>
      </c>
      <c r="E65" s="6">
        <f>IFERROR(DATE(2000+VALUE(MID(H65,FIND("15",H65,FIND("01",H65)+16)+2,2)),VALUE(MID(H65,FIND("15",H65,FIND("01",H65)+16)+4,2)),VALUE(MID(H65,FIND("15",H65,FIND("01",H65)+16)+6,2))),"")</f>
        <v/>
      </c>
      <c r="F65" s="5">
        <f>IFERROR(MID(H65,FIND("10",H65,FIND("15",H65,FIND("01",H65)+16)+8)+2,50),"")</f>
        <v/>
      </c>
      <c r="G65" s="5" t="n"/>
      <c r="H65" s="5">
        <f>SUBSTITUTE(SUBSTITUTE(SUBSTITUTE(SUBSTITUTE(A65,"(",""),")","")," ",""),CHAR(29),"")</f>
        <v/>
      </c>
    </row>
    <row r="66">
      <c r="A66" s="7" t="n"/>
      <c r="B66" s="8">
        <f>IFERROR(MID(H66,FIND("01",H66)+2,14),"")</f>
        <v/>
      </c>
      <c r="C66" s="7">
        <f>IF(A66="","",IFERROR(VLOOKUP(B66,TblArticles,2,FALSE),"GTIN inconnu"))</f>
        <v/>
      </c>
      <c r="D66" s="8">
        <f>IF(A66="","",IFERROR(VLOOKUP(B66,TblArticles,3,FALSE),""))</f>
        <v/>
      </c>
      <c r="E66" s="9">
        <f>IFERROR(DATE(2000+VALUE(MID(H66,FIND("15",H66,FIND("01",H66)+16)+2,2)),VALUE(MID(H66,FIND("15",H66,FIND("01",H66)+16)+4,2)),VALUE(MID(H66,FIND("15",H66,FIND("01",H66)+16)+6,2))),"")</f>
        <v/>
      </c>
      <c r="F66" s="8">
        <f>IFERROR(MID(H66,FIND("10",H66,FIND("15",H66,FIND("01",H66)+16)+8)+2,50),"")</f>
        <v/>
      </c>
      <c r="G66" s="8" t="n"/>
      <c r="H66" s="8">
        <f>SUBSTITUTE(SUBSTITUTE(SUBSTITUTE(SUBSTITUTE(A66,"(",""),")","")," ",""),CHAR(29),"")</f>
        <v/>
      </c>
    </row>
    <row r="67">
      <c r="A67" s="4" t="n"/>
      <c r="B67" s="5">
        <f>IFERROR(MID(H67,FIND("01",H67)+2,14),"")</f>
        <v/>
      </c>
      <c r="C67" s="4">
        <f>IF(A67="","",IFERROR(VLOOKUP(B67,TblArticles,2,FALSE),"GTIN inconnu"))</f>
        <v/>
      </c>
      <c r="D67" s="5">
        <f>IF(A67="","",IFERROR(VLOOKUP(B67,TblArticles,3,FALSE),""))</f>
        <v/>
      </c>
      <c r="E67" s="6">
        <f>IFERROR(DATE(2000+VALUE(MID(H67,FIND("15",H67,FIND("01",H67)+16)+2,2)),VALUE(MID(H67,FIND("15",H67,FIND("01",H67)+16)+4,2)),VALUE(MID(H67,FIND("15",H67,FIND("01",H67)+16)+6,2))),"")</f>
        <v/>
      </c>
      <c r="F67" s="5">
        <f>IFERROR(MID(H67,FIND("10",H67,FIND("15",H67,FIND("01",H67)+16)+8)+2,50),"")</f>
        <v/>
      </c>
      <c r="G67" s="5" t="n"/>
      <c r="H67" s="5">
        <f>SUBSTITUTE(SUBSTITUTE(SUBSTITUTE(SUBSTITUTE(A67,"(",""),")","")," ",""),CHAR(29),"")</f>
        <v/>
      </c>
    </row>
    <row r="68">
      <c r="A68" s="7" t="n"/>
      <c r="B68" s="8">
        <f>IFERROR(MID(H68,FIND("01",H68)+2,14),"")</f>
        <v/>
      </c>
      <c r="C68" s="7">
        <f>IF(A68="","",IFERROR(VLOOKUP(B68,TblArticles,2,FALSE),"GTIN inconnu"))</f>
        <v/>
      </c>
      <c r="D68" s="8">
        <f>IF(A68="","",IFERROR(VLOOKUP(B68,TblArticles,3,FALSE),""))</f>
        <v/>
      </c>
      <c r="E68" s="9">
        <f>IFERROR(DATE(2000+VALUE(MID(H68,FIND("15",H68,FIND("01",H68)+16)+2,2)),VALUE(MID(H68,FIND("15",H68,FIND("01",H68)+16)+4,2)),VALUE(MID(H68,FIND("15",H68,FIND("01",H68)+16)+6,2))),"")</f>
        <v/>
      </c>
      <c r="F68" s="8">
        <f>IFERROR(MID(H68,FIND("10",H68,FIND("15",H68,FIND("01",H68)+16)+8)+2,50),"")</f>
        <v/>
      </c>
      <c r="G68" s="8" t="n"/>
      <c r="H68" s="8">
        <f>SUBSTITUTE(SUBSTITUTE(SUBSTITUTE(SUBSTITUTE(A68,"(",""),")","")," ",""),CHAR(29),"")</f>
        <v/>
      </c>
    </row>
    <row r="69">
      <c r="A69" s="4" t="n"/>
      <c r="B69" s="5">
        <f>IFERROR(MID(H69,FIND("01",H69)+2,14),"")</f>
        <v/>
      </c>
      <c r="C69" s="4">
        <f>IF(A69="","",IFERROR(VLOOKUP(B69,TblArticles,2,FALSE),"GTIN inconnu"))</f>
        <v/>
      </c>
      <c r="D69" s="5">
        <f>IF(A69="","",IFERROR(VLOOKUP(B69,TblArticles,3,FALSE),""))</f>
        <v/>
      </c>
      <c r="E69" s="6">
        <f>IFERROR(DATE(2000+VALUE(MID(H69,FIND("15",H69,FIND("01",H69)+16)+2,2)),VALUE(MID(H69,FIND("15",H69,FIND("01",H69)+16)+4,2)),VALUE(MID(H69,FIND("15",H69,FIND("01",H69)+16)+6,2))),"")</f>
        <v/>
      </c>
      <c r="F69" s="5">
        <f>IFERROR(MID(H69,FIND("10",H69,FIND("15",H69,FIND("01",H69)+16)+8)+2,50),"")</f>
        <v/>
      </c>
      <c r="G69" s="5" t="n"/>
      <c r="H69" s="5">
        <f>SUBSTITUTE(SUBSTITUTE(SUBSTITUTE(SUBSTITUTE(A69,"(",""),")","")," ",""),CHAR(29),"")</f>
        <v/>
      </c>
    </row>
    <row r="70">
      <c r="A70" s="7" t="n"/>
      <c r="B70" s="8">
        <f>IFERROR(MID(H70,FIND("01",H70)+2,14),"")</f>
        <v/>
      </c>
      <c r="C70" s="7">
        <f>IF(A70="","",IFERROR(VLOOKUP(B70,TblArticles,2,FALSE),"GTIN inconnu"))</f>
        <v/>
      </c>
      <c r="D70" s="8">
        <f>IF(A70="","",IFERROR(VLOOKUP(B70,TblArticles,3,FALSE),""))</f>
        <v/>
      </c>
      <c r="E70" s="9">
        <f>IFERROR(DATE(2000+VALUE(MID(H70,FIND("15",H70,FIND("01",H70)+16)+2,2)),VALUE(MID(H70,FIND("15",H70,FIND("01",H70)+16)+4,2)),VALUE(MID(H70,FIND("15",H70,FIND("01",H70)+16)+6,2))),"")</f>
        <v/>
      </c>
      <c r="F70" s="8">
        <f>IFERROR(MID(H70,FIND("10",H70,FIND("15",H70,FIND("01",H70)+16)+8)+2,50),"")</f>
        <v/>
      </c>
      <c r="G70" s="8" t="n"/>
      <c r="H70" s="8">
        <f>SUBSTITUTE(SUBSTITUTE(SUBSTITUTE(SUBSTITUTE(A70,"(",""),")","")," ",""),CHAR(29),"")</f>
        <v/>
      </c>
    </row>
    <row r="71">
      <c r="A71" s="4" t="n"/>
      <c r="B71" s="5">
        <f>IFERROR(MID(H71,FIND("01",H71)+2,14),"")</f>
        <v/>
      </c>
      <c r="C71" s="4">
        <f>IF(A71="","",IFERROR(VLOOKUP(B71,TblArticles,2,FALSE),"GTIN inconnu"))</f>
        <v/>
      </c>
      <c r="D71" s="5">
        <f>IF(A71="","",IFERROR(VLOOKUP(B71,TblArticles,3,FALSE),""))</f>
        <v/>
      </c>
      <c r="E71" s="6">
        <f>IFERROR(DATE(2000+VALUE(MID(H71,FIND("15",H71,FIND("01",H71)+16)+2,2)),VALUE(MID(H71,FIND("15",H71,FIND("01",H71)+16)+4,2)),VALUE(MID(H71,FIND("15",H71,FIND("01",H71)+16)+6,2))),"")</f>
        <v/>
      </c>
      <c r="F71" s="5">
        <f>IFERROR(MID(H71,FIND("10",H71,FIND("15",H71,FIND("01",H71)+16)+8)+2,50),"")</f>
        <v/>
      </c>
      <c r="G71" s="5" t="n"/>
      <c r="H71" s="5">
        <f>SUBSTITUTE(SUBSTITUTE(SUBSTITUTE(SUBSTITUTE(A71,"(",""),")","")," ",""),CHAR(29),"")</f>
        <v/>
      </c>
    </row>
    <row r="72">
      <c r="A72" s="7" t="n"/>
      <c r="B72" s="8">
        <f>IFERROR(MID(H72,FIND("01",H72)+2,14),"")</f>
        <v/>
      </c>
      <c r="C72" s="7">
        <f>IF(A72="","",IFERROR(VLOOKUP(B72,TblArticles,2,FALSE),"GTIN inconnu"))</f>
        <v/>
      </c>
      <c r="D72" s="8">
        <f>IF(A72="","",IFERROR(VLOOKUP(B72,TblArticles,3,FALSE),""))</f>
        <v/>
      </c>
      <c r="E72" s="9">
        <f>IFERROR(DATE(2000+VALUE(MID(H72,FIND("15",H72,FIND("01",H72)+16)+2,2)),VALUE(MID(H72,FIND("15",H72,FIND("01",H72)+16)+4,2)),VALUE(MID(H72,FIND("15",H72,FIND("01",H72)+16)+6,2))),"")</f>
        <v/>
      </c>
      <c r="F72" s="8">
        <f>IFERROR(MID(H72,FIND("10",H72,FIND("15",H72,FIND("01",H72)+16)+8)+2,50),"")</f>
        <v/>
      </c>
      <c r="G72" s="8" t="n"/>
      <c r="H72" s="8">
        <f>SUBSTITUTE(SUBSTITUTE(SUBSTITUTE(SUBSTITUTE(A72,"(",""),")","")," ",""),CHAR(29),"")</f>
        <v/>
      </c>
    </row>
    <row r="73">
      <c r="A73" s="4" t="n"/>
      <c r="B73" s="5">
        <f>IFERROR(MID(H73,FIND("01",H73)+2,14),"")</f>
        <v/>
      </c>
      <c r="C73" s="4">
        <f>IF(A73="","",IFERROR(VLOOKUP(B73,TblArticles,2,FALSE),"GTIN inconnu"))</f>
        <v/>
      </c>
      <c r="D73" s="5">
        <f>IF(A73="","",IFERROR(VLOOKUP(B73,TblArticles,3,FALSE),""))</f>
        <v/>
      </c>
      <c r="E73" s="6">
        <f>IFERROR(DATE(2000+VALUE(MID(H73,FIND("15",H73,FIND("01",H73)+16)+2,2)),VALUE(MID(H73,FIND("15",H73,FIND("01",H73)+16)+4,2)),VALUE(MID(H73,FIND("15",H73,FIND("01",H73)+16)+6,2))),"")</f>
        <v/>
      </c>
      <c r="F73" s="5">
        <f>IFERROR(MID(H73,FIND("10",H73,FIND("15",H73,FIND("01",H73)+16)+8)+2,50),"")</f>
        <v/>
      </c>
      <c r="G73" s="5" t="n"/>
      <c r="H73" s="5">
        <f>SUBSTITUTE(SUBSTITUTE(SUBSTITUTE(SUBSTITUTE(A73,"(",""),")","")," ",""),CHAR(29),"")</f>
        <v/>
      </c>
    </row>
    <row r="74">
      <c r="A74" s="7" t="n"/>
      <c r="B74" s="8">
        <f>IFERROR(MID(H74,FIND("01",H74)+2,14),"")</f>
        <v/>
      </c>
      <c r="C74" s="7">
        <f>IF(A74="","",IFERROR(VLOOKUP(B74,TblArticles,2,FALSE),"GTIN inconnu"))</f>
        <v/>
      </c>
      <c r="D74" s="8">
        <f>IF(A74="","",IFERROR(VLOOKUP(B74,TblArticles,3,FALSE),""))</f>
        <v/>
      </c>
      <c r="E74" s="9">
        <f>IFERROR(DATE(2000+VALUE(MID(H74,FIND("15",H74,FIND("01",H74)+16)+2,2)),VALUE(MID(H74,FIND("15",H74,FIND("01",H74)+16)+4,2)),VALUE(MID(H74,FIND("15",H74,FIND("01",H74)+16)+6,2))),"")</f>
        <v/>
      </c>
      <c r="F74" s="8">
        <f>IFERROR(MID(H74,FIND("10",H74,FIND("15",H74,FIND("01",H74)+16)+8)+2,50),"")</f>
        <v/>
      </c>
      <c r="G74" s="8" t="n"/>
      <c r="H74" s="8">
        <f>SUBSTITUTE(SUBSTITUTE(SUBSTITUTE(SUBSTITUTE(A74,"(",""),")","")," ",""),CHAR(29),"")</f>
        <v/>
      </c>
    </row>
    <row r="75">
      <c r="A75" s="4" t="n"/>
      <c r="B75" s="5">
        <f>IFERROR(MID(H75,FIND("01",H75)+2,14),"")</f>
        <v/>
      </c>
      <c r="C75" s="4">
        <f>IF(A75="","",IFERROR(VLOOKUP(B75,TblArticles,2,FALSE),"GTIN inconnu"))</f>
        <v/>
      </c>
      <c r="D75" s="5">
        <f>IF(A75="","",IFERROR(VLOOKUP(B75,TblArticles,3,FALSE),""))</f>
        <v/>
      </c>
      <c r="E75" s="6">
        <f>IFERROR(DATE(2000+VALUE(MID(H75,FIND("15",H75,FIND("01",H75)+16)+2,2)),VALUE(MID(H75,FIND("15",H75,FIND("01",H75)+16)+4,2)),VALUE(MID(H75,FIND("15",H75,FIND("01",H75)+16)+6,2))),"")</f>
        <v/>
      </c>
      <c r="F75" s="5">
        <f>IFERROR(MID(H75,FIND("10",H75,FIND("15",H75,FIND("01",H75)+16)+8)+2,50),"")</f>
        <v/>
      </c>
      <c r="G75" s="5" t="n"/>
      <c r="H75" s="5">
        <f>SUBSTITUTE(SUBSTITUTE(SUBSTITUTE(SUBSTITUTE(A75,"(",""),")","")," ",""),CHAR(29),"")</f>
        <v/>
      </c>
    </row>
    <row r="76">
      <c r="A76" s="7" t="n"/>
      <c r="B76" s="8">
        <f>IFERROR(MID(H76,FIND("01",H76)+2,14),"")</f>
        <v/>
      </c>
      <c r="C76" s="7">
        <f>IF(A76="","",IFERROR(VLOOKUP(B76,TblArticles,2,FALSE),"GTIN inconnu"))</f>
        <v/>
      </c>
      <c r="D76" s="8">
        <f>IF(A76="","",IFERROR(VLOOKUP(B76,TblArticles,3,FALSE),""))</f>
        <v/>
      </c>
      <c r="E76" s="9">
        <f>IFERROR(DATE(2000+VALUE(MID(H76,FIND("15",H76,FIND("01",H76)+16)+2,2)),VALUE(MID(H76,FIND("15",H76,FIND("01",H76)+16)+4,2)),VALUE(MID(H76,FIND("15",H76,FIND("01",H76)+16)+6,2))),"")</f>
        <v/>
      </c>
      <c r="F76" s="8">
        <f>IFERROR(MID(H76,FIND("10",H76,FIND("15",H76,FIND("01",H76)+16)+8)+2,50),"")</f>
        <v/>
      </c>
      <c r="G76" s="8" t="n"/>
      <c r="H76" s="8">
        <f>SUBSTITUTE(SUBSTITUTE(SUBSTITUTE(SUBSTITUTE(A76,"(",""),")","")," ",""),CHAR(29),"")</f>
        <v/>
      </c>
    </row>
    <row r="77">
      <c r="A77" s="4" t="n"/>
      <c r="B77" s="5">
        <f>IFERROR(MID(H77,FIND("01",H77)+2,14),"")</f>
        <v/>
      </c>
      <c r="C77" s="4">
        <f>IF(A77="","",IFERROR(VLOOKUP(B77,TblArticles,2,FALSE),"GTIN inconnu"))</f>
        <v/>
      </c>
      <c r="D77" s="5">
        <f>IF(A77="","",IFERROR(VLOOKUP(B77,TblArticles,3,FALSE),""))</f>
        <v/>
      </c>
      <c r="E77" s="6">
        <f>IFERROR(DATE(2000+VALUE(MID(H77,FIND("15",H77,FIND("01",H77)+16)+2,2)),VALUE(MID(H77,FIND("15",H77,FIND("01",H77)+16)+4,2)),VALUE(MID(H77,FIND("15",H77,FIND("01",H77)+16)+6,2))),"")</f>
        <v/>
      </c>
      <c r="F77" s="5">
        <f>IFERROR(MID(H77,FIND("10",H77,FIND("15",H77,FIND("01",H77)+16)+8)+2,50),"")</f>
        <v/>
      </c>
      <c r="G77" s="5" t="n"/>
      <c r="H77" s="5">
        <f>SUBSTITUTE(SUBSTITUTE(SUBSTITUTE(SUBSTITUTE(A77,"(",""),")","")," ",""),CHAR(29),"")</f>
        <v/>
      </c>
    </row>
    <row r="78">
      <c r="A78" s="7" t="n"/>
      <c r="B78" s="8">
        <f>IFERROR(MID(H78,FIND("01",H78)+2,14),"")</f>
        <v/>
      </c>
      <c r="C78" s="7">
        <f>IF(A78="","",IFERROR(VLOOKUP(B78,TblArticles,2,FALSE),"GTIN inconnu"))</f>
        <v/>
      </c>
      <c r="D78" s="8">
        <f>IF(A78="","",IFERROR(VLOOKUP(B78,TblArticles,3,FALSE),""))</f>
        <v/>
      </c>
      <c r="E78" s="9">
        <f>IFERROR(DATE(2000+VALUE(MID(H78,FIND("15",H78,FIND("01",H78)+16)+2,2)),VALUE(MID(H78,FIND("15",H78,FIND("01",H78)+16)+4,2)),VALUE(MID(H78,FIND("15",H78,FIND("01",H78)+16)+6,2))),"")</f>
        <v/>
      </c>
      <c r="F78" s="8">
        <f>IFERROR(MID(H78,FIND("10",H78,FIND("15",H78,FIND("01",H78)+16)+8)+2,50),"")</f>
        <v/>
      </c>
      <c r="G78" s="8" t="n"/>
      <c r="H78" s="8">
        <f>SUBSTITUTE(SUBSTITUTE(SUBSTITUTE(SUBSTITUTE(A78,"(",""),")","")," ",""),CHAR(29),"")</f>
        <v/>
      </c>
    </row>
    <row r="79">
      <c r="A79" s="4" t="n"/>
      <c r="B79" s="5">
        <f>IFERROR(MID(H79,FIND("01",H79)+2,14),"")</f>
        <v/>
      </c>
      <c r="C79" s="4">
        <f>IF(A79="","",IFERROR(VLOOKUP(B79,TblArticles,2,FALSE),"GTIN inconnu"))</f>
        <v/>
      </c>
      <c r="D79" s="5">
        <f>IF(A79="","",IFERROR(VLOOKUP(B79,TblArticles,3,FALSE),""))</f>
        <v/>
      </c>
      <c r="E79" s="6">
        <f>IFERROR(DATE(2000+VALUE(MID(H79,FIND("15",H79,FIND("01",H79)+16)+2,2)),VALUE(MID(H79,FIND("15",H79,FIND("01",H79)+16)+4,2)),VALUE(MID(H79,FIND("15",H79,FIND("01",H79)+16)+6,2))),"")</f>
        <v/>
      </c>
      <c r="F79" s="5">
        <f>IFERROR(MID(H79,FIND("10",H79,FIND("15",H79,FIND("01",H79)+16)+8)+2,50),"")</f>
        <v/>
      </c>
      <c r="G79" s="5" t="n"/>
      <c r="H79" s="5">
        <f>SUBSTITUTE(SUBSTITUTE(SUBSTITUTE(SUBSTITUTE(A79,"(",""),")","")," ",""),CHAR(29),"")</f>
        <v/>
      </c>
    </row>
    <row r="80">
      <c r="A80" s="7" t="n"/>
      <c r="B80" s="8">
        <f>IFERROR(MID(H80,FIND("01",H80)+2,14),"")</f>
        <v/>
      </c>
      <c r="C80" s="7">
        <f>IF(A80="","",IFERROR(VLOOKUP(B80,TblArticles,2,FALSE),"GTIN inconnu"))</f>
        <v/>
      </c>
      <c r="D80" s="8">
        <f>IF(A80="","",IFERROR(VLOOKUP(B80,TblArticles,3,FALSE),""))</f>
        <v/>
      </c>
      <c r="E80" s="9">
        <f>IFERROR(DATE(2000+VALUE(MID(H80,FIND("15",H80,FIND("01",H80)+16)+2,2)),VALUE(MID(H80,FIND("15",H80,FIND("01",H80)+16)+4,2)),VALUE(MID(H80,FIND("15",H80,FIND("01",H80)+16)+6,2))),"")</f>
        <v/>
      </c>
      <c r="F80" s="8">
        <f>IFERROR(MID(H80,FIND("10",H80,FIND("15",H80,FIND("01",H80)+16)+8)+2,50),"")</f>
        <v/>
      </c>
      <c r="G80" s="8" t="n"/>
      <c r="H80" s="8">
        <f>SUBSTITUTE(SUBSTITUTE(SUBSTITUTE(SUBSTITUTE(A80,"(",""),")","")," ",""),CHAR(29),"")</f>
        <v/>
      </c>
    </row>
    <row r="81">
      <c r="A81" s="4" t="n"/>
      <c r="B81" s="5">
        <f>IFERROR(MID(H81,FIND("01",H81)+2,14),"")</f>
        <v/>
      </c>
      <c r="C81" s="4">
        <f>IF(A81="","",IFERROR(VLOOKUP(B81,TblArticles,2,FALSE),"GTIN inconnu"))</f>
        <v/>
      </c>
      <c r="D81" s="5">
        <f>IF(A81="","",IFERROR(VLOOKUP(B81,TblArticles,3,FALSE),""))</f>
        <v/>
      </c>
      <c r="E81" s="6">
        <f>IFERROR(DATE(2000+VALUE(MID(H81,FIND("15",H81,FIND("01",H81)+16)+2,2)),VALUE(MID(H81,FIND("15",H81,FIND("01",H81)+16)+4,2)),VALUE(MID(H81,FIND("15",H81,FIND("01",H81)+16)+6,2))),"")</f>
        <v/>
      </c>
      <c r="F81" s="5">
        <f>IFERROR(MID(H81,FIND("10",H81,FIND("15",H81,FIND("01",H81)+16)+8)+2,50),"")</f>
        <v/>
      </c>
      <c r="G81" s="5" t="n"/>
      <c r="H81" s="5">
        <f>SUBSTITUTE(SUBSTITUTE(SUBSTITUTE(SUBSTITUTE(A81,"(",""),")","")," ",""),CHAR(29),"")</f>
        <v/>
      </c>
    </row>
    <row r="82">
      <c r="A82" s="7" t="n"/>
      <c r="B82" s="8">
        <f>IFERROR(MID(H82,FIND("01",H82)+2,14),"")</f>
        <v/>
      </c>
      <c r="C82" s="7">
        <f>IF(A82="","",IFERROR(VLOOKUP(B82,TblArticles,2,FALSE),"GTIN inconnu"))</f>
        <v/>
      </c>
      <c r="D82" s="8">
        <f>IF(A82="","",IFERROR(VLOOKUP(B82,TblArticles,3,FALSE),""))</f>
        <v/>
      </c>
      <c r="E82" s="9">
        <f>IFERROR(DATE(2000+VALUE(MID(H82,FIND("15",H82,FIND("01",H82)+16)+2,2)),VALUE(MID(H82,FIND("15",H82,FIND("01",H82)+16)+4,2)),VALUE(MID(H82,FIND("15",H82,FIND("01",H82)+16)+6,2))),"")</f>
        <v/>
      </c>
      <c r="F82" s="8">
        <f>IFERROR(MID(H82,FIND("10",H82,FIND("15",H82,FIND("01",H82)+16)+8)+2,50),"")</f>
        <v/>
      </c>
      <c r="G82" s="8" t="n"/>
      <c r="H82" s="8">
        <f>SUBSTITUTE(SUBSTITUTE(SUBSTITUTE(SUBSTITUTE(A82,"(",""),")","")," ",""),CHAR(29),"")</f>
        <v/>
      </c>
    </row>
    <row r="83">
      <c r="A83" s="4" t="n"/>
      <c r="B83" s="5">
        <f>IFERROR(MID(H83,FIND("01",H83)+2,14),"")</f>
        <v/>
      </c>
      <c r="C83" s="4">
        <f>IF(A83="","",IFERROR(VLOOKUP(B83,TblArticles,2,FALSE),"GTIN inconnu"))</f>
        <v/>
      </c>
      <c r="D83" s="5">
        <f>IF(A83="","",IFERROR(VLOOKUP(B83,TblArticles,3,FALSE),""))</f>
        <v/>
      </c>
      <c r="E83" s="6">
        <f>IFERROR(DATE(2000+VALUE(MID(H83,FIND("15",H83,FIND("01",H83)+16)+2,2)),VALUE(MID(H83,FIND("15",H83,FIND("01",H83)+16)+4,2)),VALUE(MID(H83,FIND("15",H83,FIND("01",H83)+16)+6,2))),"")</f>
        <v/>
      </c>
      <c r="F83" s="5">
        <f>IFERROR(MID(H83,FIND("10",H83,FIND("15",H83,FIND("01",H83)+16)+8)+2,50),"")</f>
        <v/>
      </c>
      <c r="G83" s="5" t="n"/>
      <c r="H83" s="5">
        <f>SUBSTITUTE(SUBSTITUTE(SUBSTITUTE(SUBSTITUTE(A83,"(",""),")","")," ",""),CHAR(29),"")</f>
        <v/>
      </c>
    </row>
    <row r="84">
      <c r="A84" s="7" t="n"/>
      <c r="B84" s="8">
        <f>IFERROR(MID(H84,FIND("01",H84)+2,14),"")</f>
        <v/>
      </c>
      <c r="C84" s="7">
        <f>IF(A84="","",IFERROR(VLOOKUP(B84,TblArticles,2,FALSE),"GTIN inconnu"))</f>
        <v/>
      </c>
      <c r="D84" s="8">
        <f>IF(A84="","",IFERROR(VLOOKUP(B84,TblArticles,3,FALSE),""))</f>
        <v/>
      </c>
      <c r="E84" s="9">
        <f>IFERROR(DATE(2000+VALUE(MID(H84,FIND("15",H84,FIND("01",H84)+16)+2,2)),VALUE(MID(H84,FIND("15",H84,FIND("01",H84)+16)+4,2)),VALUE(MID(H84,FIND("15",H84,FIND("01",H84)+16)+6,2))),"")</f>
        <v/>
      </c>
      <c r="F84" s="8">
        <f>IFERROR(MID(H84,FIND("10",H84,FIND("15",H84,FIND("01",H84)+16)+8)+2,50),"")</f>
        <v/>
      </c>
      <c r="G84" s="8" t="n"/>
      <c r="H84" s="8">
        <f>SUBSTITUTE(SUBSTITUTE(SUBSTITUTE(SUBSTITUTE(A84,"(",""),")","")," ",""),CHAR(29),"")</f>
        <v/>
      </c>
    </row>
    <row r="85">
      <c r="A85" s="4" t="n"/>
      <c r="B85" s="5">
        <f>IFERROR(MID(H85,FIND("01",H85)+2,14),"")</f>
        <v/>
      </c>
      <c r="C85" s="4">
        <f>IF(A85="","",IFERROR(VLOOKUP(B85,TblArticles,2,FALSE),"GTIN inconnu"))</f>
        <v/>
      </c>
      <c r="D85" s="5">
        <f>IF(A85="","",IFERROR(VLOOKUP(B85,TblArticles,3,FALSE),""))</f>
        <v/>
      </c>
      <c r="E85" s="6">
        <f>IFERROR(DATE(2000+VALUE(MID(H85,FIND("15",H85,FIND("01",H85)+16)+2,2)),VALUE(MID(H85,FIND("15",H85,FIND("01",H85)+16)+4,2)),VALUE(MID(H85,FIND("15",H85,FIND("01",H85)+16)+6,2))),"")</f>
        <v/>
      </c>
      <c r="F85" s="5">
        <f>IFERROR(MID(H85,FIND("10",H85,FIND("15",H85,FIND("01",H85)+16)+8)+2,50),"")</f>
        <v/>
      </c>
      <c r="G85" s="5" t="n"/>
      <c r="H85" s="5">
        <f>SUBSTITUTE(SUBSTITUTE(SUBSTITUTE(SUBSTITUTE(A85,"(",""),")","")," ",""),CHAR(29),"")</f>
        <v/>
      </c>
    </row>
    <row r="86">
      <c r="A86" s="7" t="n"/>
      <c r="B86" s="8">
        <f>IFERROR(MID(H86,FIND("01",H86)+2,14),"")</f>
        <v/>
      </c>
      <c r="C86" s="7">
        <f>IF(A86="","",IFERROR(VLOOKUP(B86,TblArticles,2,FALSE),"GTIN inconnu"))</f>
        <v/>
      </c>
      <c r="D86" s="8">
        <f>IF(A86="","",IFERROR(VLOOKUP(B86,TblArticles,3,FALSE),""))</f>
        <v/>
      </c>
      <c r="E86" s="9">
        <f>IFERROR(DATE(2000+VALUE(MID(H86,FIND("15",H86,FIND("01",H86)+16)+2,2)),VALUE(MID(H86,FIND("15",H86,FIND("01",H86)+16)+4,2)),VALUE(MID(H86,FIND("15",H86,FIND("01",H86)+16)+6,2))),"")</f>
        <v/>
      </c>
      <c r="F86" s="8">
        <f>IFERROR(MID(H86,FIND("10",H86,FIND("15",H86,FIND("01",H86)+16)+8)+2,50),"")</f>
        <v/>
      </c>
      <c r="G86" s="8" t="n"/>
      <c r="H86" s="8">
        <f>SUBSTITUTE(SUBSTITUTE(SUBSTITUTE(SUBSTITUTE(A86,"(",""),")","")," ",""),CHAR(29),"")</f>
        <v/>
      </c>
    </row>
    <row r="87">
      <c r="A87" s="4" t="n"/>
      <c r="B87" s="5">
        <f>IFERROR(MID(H87,FIND("01",H87)+2,14),"")</f>
        <v/>
      </c>
      <c r="C87" s="4">
        <f>IF(A87="","",IFERROR(VLOOKUP(B87,TblArticles,2,FALSE),"GTIN inconnu"))</f>
        <v/>
      </c>
      <c r="D87" s="5">
        <f>IF(A87="","",IFERROR(VLOOKUP(B87,TblArticles,3,FALSE),""))</f>
        <v/>
      </c>
      <c r="E87" s="6">
        <f>IFERROR(DATE(2000+VALUE(MID(H87,FIND("15",H87,FIND("01",H87)+16)+2,2)),VALUE(MID(H87,FIND("15",H87,FIND("01",H87)+16)+4,2)),VALUE(MID(H87,FIND("15",H87,FIND("01",H87)+16)+6,2))),"")</f>
        <v/>
      </c>
      <c r="F87" s="5">
        <f>IFERROR(MID(H87,FIND("10",H87,FIND("15",H87,FIND("01",H87)+16)+8)+2,50),"")</f>
        <v/>
      </c>
      <c r="G87" s="5" t="n"/>
      <c r="H87" s="5">
        <f>SUBSTITUTE(SUBSTITUTE(SUBSTITUTE(SUBSTITUTE(A87,"(",""),")","")," ",""),CHAR(29),"")</f>
        <v/>
      </c>
    </row>
    <row r="88">
      <c r="A88" s="7" t="n"/>
      <c r="B88" s="8">
        <f>IFERROR(MID(H88,FIND("01",H88)+2,14),"")</f>
        <v/>
      </c>
      <c r="C88" s="7">
        <f>IF(A88="","",IFERROR(VLOOKUP(B88,TblArticles,2,FALSE),"GTIN inconnu"))</f>
        <v/>
      </c>
      <c r="D88" s="8">
        <f>IF(A88="","",IFERROR(VLOOKUP(B88,TblArticles,3,FALSE),""))</f>
        <v/>
      </c>
      <c r="E88" s="9">
        <f>IFERROR(DATE(2000+VALUE(MID(H88,FIND("15",H88,FIND("01",H88)+16)+2,2)),VALUE(MID(H88,FIND("15",H88,FIND("01",H88)+16)+4,2)),VALUE(MID(H88,FIND("15",H88,FIND("01",H88)+16)+6,2))),"")</f>
        <v/>
      </c>
      <c r="F88" s="8">
        <f>IFERROR(MID(H88,FIND("10",H88,FIND("15",H88,FIND("01",H88)+16)+8)+2,50),"")</f>
        <v/>
      </c>
      <c r="G88" s="8" t="n"/>
      <c r="H88" s="8">
        <f>SUBSTITUTE(SUBSTITUTE(SUBSTITUTE(SUBSTITUTE(A88,"(",""),")","")," ",""),CHAR(29),"")</f>
        <v/>
      </c>
    </row>
    <row r="89">
      <c r="A89" s="4" t="n"/>
      <c r="B89" s="5">
        <f>IFERROR(MID(H89,FIND("01",H89)+2,14),"")</f>
        <v/>
      </c>
      <c r="C89" s="4">
        <f>IF(A89="","",IFERROR(VLOOKUP(B89,TblArticles,2,FALSE),"GTIN inconnu"))</f>
        <v/>
      </c>
      <c r="D89" s="5">
        <f>IF(A89="","",IFERROR(VLOOKUP(B89,TblArticles,3,FALSE),""))</f>
        <v/>
      </c>
      <c r="E89" s="6">
        <f>IFERROR(DATE(2000+VALUE(MID(H89,FIND("15",H89,FIND("01",H89)+16)+2,2)),VALUE(MID(H89,FIND("15",H89,FIND("01",H89)+16)+4,2)),VALUE(MID(H89,FIND("15",H89,FIND("01",H89)+16)+6,2))),"")</f>
        <v/>
      </c>
      <c r="F89" s="5">
        <f>IFERROR(MID(H89,FIND("10",H89,FIND("15",H89,FIND("01",H89)+16)+8)+2,50),"")</f>
        <v/>
      </c>
      <c r="G89" s="5" t="n"/>
      <c r="H89" s="5">
        <f>SUBSTITUTE(SUBSTITUTE(SUBSTITUTE(SUBSTITUTE(A89,"(",""),")","")," ",""),CHAR(29),"")</f>
        <v/>
      </c>
    </row>
    <row r="90">
      <c r="A90" s="7" t="n"/>
      <c r="B90" s="8">
        <f>IFERROR(MID(H90,FIND("01",H90)+2,14),"")</f>
        <v/>
      </c>
      <c r="C90" s="7">
        <f>IF(A90="","",IFERROR(VLOOKUP(B90,TblArticles,2,FALSE),"GTIN inconnu"))</f>
        <v/>
      </c>
      <c r="D90" s="8">
        <f>IF(A90="","",IFERROR(VLOOKUP(B90,TblArticles,3,FALSE),""))</f>
        <v/>
      </c>
      <c r="E90" s="9">
        <f>IFERROR(DATE(2000+VALUE(MID(H90,FIND("15",H90,FIND("01",H90)+16)+2,2)),VALUE(MID(H90,FIND("15",H90,FIND("01",H90)+16)+4,2)),VALUE(MID(H90,FIND("15",H90,FIND("01",H90)+16)+6,2))),"")</f>
        <v/>
      </c>
      <c r="F90" s="8">
        <f>IFERROR(MID(H90,FIND("10",H90,FIND("15",H90,FIND("01",H90)+16)+8)+2,50),"")</f>
        <v/>
      </c>
      <c r="G90" s="8" t="n"/>
      <c r="H90" s="8">
        <f>SUBSTITUTE(SUBSTITUTE(SUBSTITUTE(SUBSTITUTE(A90,"(",""),")","")," ",""),CHAR(29),"")</f>
        <v/>
      </c>
    </row>
    <row r="91">
      <c r="A91" s="4" t="n"/>
      <c r="B91" s="5">
        <f>IFERROR(MID(H91,FIND("01",H91)+2,14),"")</f>
        <v/>
      </c>
      <c r="C91" s="4">
        <f>IF(A91="","",IFERROR(VLOOKUP(B91,TblArticles,2,FALSE),"GTIN inconnu"))</f>
        <v/>
      </c>
      <c r="D91" s="5">
        <f>IF(A91="","",IFERROR(VLOOKUP(B91,TblArticles,3,FALSE),""))</f>
        <v/>
      </c>
      <c r="E91" s="6">
        <f>IFERROR(DATE(2000+VALUE(MID(H91,FIND("15",H91,FIND("01",H91)+16)+2,2)),VALUE(MID(H91,FIND("15",H91,FIND("01",H91)+16)+4,2)),VALUE(MID(H91,FIND("15",H91,FIND("01",H91)+16)+6,2))),"")</f>
        <v/>
      </c>
      <c r="F91" s="5">
        <f>IFERROR(MID(H91,FIND("10",H91,FIND("15",H91,FIND("01",H91)+16)+8)+2,50),"")</f>
        <v/>
      </c>
      <c r="G91" s="5" t="n"/>
      <c r="H91" s="5">
        <f>SUBSTITUTE(SUBSTITUTE(SUBSTITUTE(SUBSTITUTE(A91,"(",""),")","")," ",""),CHAR(29),"")</f>
        <v/>
      </c>
    </row>
    <row r="92">
      <c r="A92" s="7" t="n"/>
      <c r="B92" s="8">
        <f>IFERROR(MID(H92,FIND("01",H92)+2,14),"")</f>
        <v/>
      </c>
      <c r="C92" s="7">
        <f>IF(A92="","",IFERROR(VLOOKUP(B92,TblArticles,2,FALSE),"GTIN inconnu"))</f>
        <v/>
      </c>
      <c r="D92" s="8">
        <f>IF(A92="","",IFERROR(VLOOKUP(B92,TblArticles,3,FALSE),""))</f>
        <v/>
      </c>
      <c r="E92" s="9">
        <f>IFERROR(DATE(2000+VALUE(MID(H92,FIND("15",H92,FIND("01",H92)+16)+2,2)),VALUE(MID(H92,FIND("15",H92,FIND("01",H92)+16)+4,2)),VALUE(MID(H92,FIND("15",H92,FIND("01",H92)+16)+6,2))),"")</f>
        <v/>
      </c>
      <c r="F92" s="8">
        <f>IFERROR(MID(H92,FIND("10",H92,FIND("15",H92,FIND("01",H92)+16)+8)+2,50),"")</f>
        <v/>
      </c>
      <c r="G92" s="8" t="n"/>
      <c r="H92" s="8">
        <f>SUBSTITUTE(SUBSTITUTE(SUBSTITUTE(SUBSTITUTE(A92,"(",""),")","")," ",""),CHAR(29),"")</f>
        <v/>
      </c>
    </row>
    <row r="93">
      <c r="A93" s="4" t="n"/>
      <c r="B93" s="5">
        <f>IFERROR(MID(H93,FIND("01",H93)+2,14),"")</f>
        <v/>
      </c>
      <c r="C93" s="4">
        <f>IF(A93="","",IFERROR(VLOOKUP(B93,TblArticles,2,FALSE),"GTIN inconnu"))</f>
        <v/>
      </c>
      <c r="D93" s="5">
        <f>IF(A93="","",IFERROR(VLOOKUP(B93,TblArticles,3,FALSE),""))</f>
        <v/>
      </c>
      <c r="E93" s="6">
        <f>IFERROR(DATE(2000+VALUE(MID(H93,FIND("15",H93,FIND("01",H93)+16)+2,2)),VALUE(MID(H93,FIND("15",H93,FIND("01",H93)+16)+4,2)),VALUE(MID(H93,FIND("15",H93,FIND("01",H93)+16)+6,2))),"")</f>
        <v/>
      </c>
      <c r="F93" s="5">
        <f>IFERROR(MID(H93,FIND("10",H93,FIND("15",H93,FIND("01",H93)+16)+8)+2,50),"")</f>
        <v/>
      </c>
      <c r="G93" s="5" t="n"/>
      <c r="H93" s="5">
        <f>SUBSTITUTE(SUBSTITUTE(SUBSTITUTE(SUBSTITUTE(A93,"(",""),")","")," ",""),CHAR(29),"")</f>
        <v/>
      </c>
    </row>
    <row r="94">
      <c r="A94" s="7" t="n"/>
      <c r="B94" s="8">
        <f>IFERROR(MID(H94,FIND("01",H94)+2,14),"")</f>
        <v/>
      </c>
      <c r="C94" s="7">
        <f>IF(A94="","",IFERROR(VLOOKUP(B94,TblArticles,2,FALSE),"GTIN inconnu"))</f>
        <v/>
      </c>
      <c r="D94" s="8">
        <f>IF(A94="","",IFERROR(VLOOKUP(B94,TblArticles,3,FALSE),""))</f>
        <v/>
      </c>
      <c r="E94" s="9">
        <f>IFERROR(DATE(2000+VALUE(MID(H94,FIND("15",H94,FIND("01",H94)+16)+2,2)),VALUE(MID(H94,FIND("15",H94,FIND("01",H94)+16)+4,2)),VALUE(MID(H94,FIND("15",H94,FIND("01",H94)+16)+6,2))),"")</f>
        <v/>
      </c>
      <c r="F94" s="8">
        <f>IFERROR(MID(H94,FIND("10",H94,FIND("15",H94,FIND("01",H94)+16)+8)+2,50),"")</f>
        <v/>
      </c>
      <c r="G94" s="8" t="n"/>
      <c r="H94" s="8">
        <f>SUBSTITUTE(SUBSTITUTE(SUBSTITUTE(SUBSTITUTE(A94,"(",""),")","")," ",""),CHAR(29),"")</f>
        <v/>
      </c>
    </row>
    <row r="95">
      <c r="A95" s="4" t="n"/>
      <c r="B95" s="5">
        <f>IFERROR(MID(H95,FIND("01",H95)+2,14),"")</f>
        <v/>
      </c>
      <c r="C95" s="4">
        <f>IF(A95="","",IFERROR(VLOOKUP(B95,TblArticles,2,FALSE),"GTIN inconnu"))</f>
        <v/>
      </c>
      <c r="D95" s="5">
        <f>IF(A95="","",IFERROR(VLOOKUP(B95,TblArticles,3,FALSE),""))</f>
        <v/>
      </c>
      <c r="E95" s="6">
        <f>IFERROR(DATE(2000+VALUE(MID(H95,FIND("15",H95,FIND("01",H95)+16)+2,2)),VALUE(MID(H95,FIND("15",H95,FIND("01",H95)+16)+4,2)),VALUE(MID(H95,FIND("15",H95,FIND("01",H95)+16)+6,2))),"")</f>
        <v/>
      </c>
      <c r="F95" s="5">
        <f>IFERROR(MID(H95,FIND("10",H95,FIND("15",H95,FIND("01",H95)+16)+8)+2,50),"")</f>
        <v/>
      </c>
      <c r="G95" s="5" t="n"/>
      <c r="H95" s="5">
        <f>SUBSTITUTE(SUBSTITUTE(SUBSTITUTE(SUBSTITUTE(A95,"(",""),")","")," ",""),CHAR(29),"")</f>
        <v/>
      </c>
    </row>
    <row r="96">
      <c r="A96" s="7" t="n"/>
      <c r="B96" s="8">
        <f>IFERROR(MID(H96,FIND("01",H96)+2,14),"")</f>
        <v/>
      </c>
      <c r="C96" s="7">
        <f>IF(A96="","",IFERROR(VLOOKUP(B96,TblArticles,2,FALSE),"GTIN inconnu"))</f>
        <v/>
      </c>
      <c r="D96" s="8">
        <f>IF(A96="","",IFERROR(VLOOKUP(B96,TblArticles,3,FALSE),""))</f>
        <v/>
      </c>
      <c r="E96" s="9">
        <f>IFERROR(DATE(2000+VALUE(MID(H96,FIND("15",H96,FIND("01",H96)+16)+2,2)),VALUE(MID(H96,FIND("15",H96,FIND("01",H96)+16)+4,2)),VALUE(MID(H96,FIND("15",H96,FIND("01",H96)+16)+6,2))),"")</f>
        <v/>
      </c>
      <c r="F96" s="8">
        <f>IFERROR(MID(H96,FIND("10",H96,FIND("15",H96,FIND("01",H96)+16)+8)+2,50),"")</f>
        <v/>
      </c>
      <c r="G96" s="8" t="n"/>
      <c r="H96" s="8">
        <f>SUBSTITUTE(SUBSTITUTE(SUBSTITUTE(SUBSTITUTE(A96,"(",""),")","")," ",""),CHAR(29),"")</f>
        <v/>
      </c>
    </row>
    <row r="97">
      <c r="A97" s="4" t="n"/>
      <c r="B97" s="5">
        <f>IFERROR(MID(H97,FIND("01",H97)+2,14),"")</f>
        <v/>
      </c>
      <c r="C97" s="4">
        <f>IF(A97="","",IFERROR(VLOOKUP(B97,TblArticles,2,FALSE),"GTIN inconnu"))</f>
        <v/>
      </c>
      <c r="D97" s="5">
        <f>IF(A97="","",IFERROR(VLOOKUP(B97,TblArticles,3,FALSE),""))</f>
        <v/>
      </c>
      <c r="E97" s="6">
        <f>IFERROR(DATE(2000+VALUE(MID(H97,FIND("15",H97,FIND("01",H97)+16)+2,2)),VALUE(MID(H97,FIND("15",H97,FIND("01",H97)+16)+4,2)),VALUE(MID(H97,FIND("15",H97,FIND("01",H97)+16)+6,2))),"")</f>
        <v/>
      </c>
      <c r="F97" s="5">
        <f>IFERROR(MID(H97,FIND("10",H97,FIND("15",H97,FIND("01",H97)+16)+8)+2,50),"")</f>
        <v/>
      </c>
      <c r="G97" s="5" t="n"/>
      <c r="H97" s="5">
        <f>SUBSTITUTE(SUBSTITUTE(SUBSTITUTE(SUBSTITUTE(A97,"(",""),")","")," ",""),CHAR(29),"")</f>
        <v/>
      </c>
    </row>
    <row r="98">
      <c r="A98" s="7" t="n"/>
      <c r="B98" s="8">
        <f>IFERROR(MID(H98,FIND("01",H98)+2,14),"")</f>
        <v/>
      </c>
      <c r="C98" s="7">
        <f>IF(A98="","",IFERROR(VLOOKUP(B98,TblArticles,2,FALSE),"GTIN inconnu"))</f>
        <v/>
      </c>
      <c r="D98" s="8">
        <f>IF(A98="","",IFERROR(VLOOKUP(B98,TblArticles,3,FALSE),""))</f>
        <v/>
      </c>
      <c r="E98" s="9">
        <f>IFERROR(DATE(2000+VALUE(MID(H98,FIND("15",H98,FIND("01",H98)+16)+2,2)),VALUE(MID(H98,FIND("15",H98,FIND("01",H98)+16)+4,2)),VALUE(MID(H98,FIND("15",H98,FIND("01",H98)+16)+6,2))),"")</f>
        <v/>
      </c>
      <c r="F98" s="8">
        <f>IFERROR(MID(H98,FIND("10",H98,FIND("15",H98,FIND("01",H98)+16)+8)+2,50),"")</f>
        <v/>
      </c>
      <c r="G98" s="8" t="n"/>
      <c r="H98" s="8">
        <f>SUBSTITUTE(SUBSTITUTE(SUBSTITUTE(SUBSTITUTE(A98,"(",""),")","")," ",""),CHAR(29),"")</f>
        <v/>
      </c>
    </row>
    <row r="99">
      <c r="A99" s="4" t="n"/>
      <c r="B99" s="5">
        <f>IFERROR(MID(H99,FIND("01",H99)+2,14),"")</f>
        <v/>
      </c>
      <c r="C99" s="4">
        <f>IF(A99="","",IFERROR(VLOOKUP(B99,TblArticles,2,FALSE),"GTIN inconnu"))</f>
        <v/>
      </c>
      <c r="D99" s="5">
        <f>IF(A99="","",IFERROR(VLOOKUP(B99,TblArticles,3,FALSE),""))</f>
        <v/>
      </c>
      <c r="E99" s="6">
        <f>IFERROR(DATE(2000+VALUE(MID(H99,FIND("15",H99,FIND("01",H99)+16)+2,2)),VALUE(MID(H99,FIND("15",H99,FIND("01",H99)+16)+4,2)),VALUE(MID(H99,FIND("15",H99,FIND("01",H99)+16)+6,2))),"")</f>
        <v/>
      </c>
      <c r="F99" s="5">
        <f>IFERROR(MID(H99,FIND("10",H99,FIND("15",H99,FIND("01",H99)+16)+8)+2,50),"")</f>
        <v/>
      </c>
      <c r="G99" s="5" t="n"/>
      <c r="H99" s="5">
        <f>SUBSTITUTE(SUBSTITUTE(SUBSTITUTE(SUBSTITUTE(A99,"(",""),")","")," ",""),CHAR(29),"")</f>
        <v/>
      </c>
    </row>
    <row r="100">
      <c r="A100" s="7" t="n"/>
      <c r="B100" s="8">
        <f>IFERROR(MID(H100,FIND("01",H100)+2,14),"")</f>
        <v/>
      </c>
      <c r="C100" s="7">
        <f>IF(A100="","",IFERROR(VLOOKUP(B100,TblArticles,2,FALSE),"GTIN inconnu"))</f>
        <v/>
      </c>
      <c r="D100" s="8">
        <f>IF(A100="","",IFERROR(VLOOKUP(B100,TblArticles,3,FALSE),""))</f>
        <v/>
      </c>
      <c r="E100" s="9">
        <f>IFERROR(DATE(2000+VALUE(MID(H100,FIND("15",H100,FIND("01",H100)+16)+2,2)),VALUE(MID(H100,FIND("15",H100,FIND("01",H100)+16)+4,2)),VALUE(MID(H100,FIND("15",H100,FIND("01",H100)+16)+6,2))),"")</f>
        <v/>
      </c>
      <c r="F100" s="8">
        <f>IFERROR(MID(H100,FIND("10",H100,FIND("15",H100,FIND("01",H100)+16)+8)+2,50),"")</f>
        <v/>
      </c>
      <c r="G100" s="8" t="n"/>
      <c r="H100" s="8">
        <f>SUBSTITUTE(SUBSTITUTE(SUBSTITUTE(SUBSTITUTE(A100,"(",""),")","")," ",""),CHAR(29),"")</f>
        <v/>
      </c>
    </row>
    <row r="101">
      <c r="A101" s="4" t="n"/>
      <c r="B101" s="5">
        <f>IFERROR(MID(H101,FIND("01",H101)+2,14),"")</f>
        <v/>
      </c>
      <c r="C101" s="4">
        <f>IF(A101="","",IFERROR(VLOOKUP(B101,TblArticles,2,FALSE),"GTIN inconnu"))</f>
        <v/>
      </c>
      <c r="D101" s="5">
        <f>IF(A101="","",IFERROR(VLOOKUP(B101,TblArticles,3,FALSE),""))</f>
        <v/>
      </c>
      <c r="E101" s="6">
        <f>IFERROR(DATE(2000+VALUE(MID(H101,FIND("15",H101,FIND("01",H101)+16)+2,2)),VALUE(MID(H101,FIND("15",H101,FIND("01",H101)+16)+4,2)),VALUE(MID(H101,FIND("15",H101,FIND("01",H101)+16)+6,2))),"")</f>
        <v/>
      </c>
      <c r="F101" s="5">
        <f>IFERROR(MID(H101,FIND("10",H101,FIND("15",H101,FIND("01",H101)+16)+8)+2,50),"")</f>
        <v/>
      </c>
      <c r="G101" s="5" t="n"/>
      <c r="H101" s="5">
        <f>SUBSTITUTE(SUBSTITUTE(SUBSTITUTE(SUBSTITUTE(A101,"(",""),")","")," ",""),CHAR(29),"")</f>
        <v/>
      </c>
    </row>
    <row r="102">
      <c r="A102" s="7" t="n"/>
      <c r="B102" s="8">
        <f>IFERROR(MID(H102,FIND("01",H102)+2,14),"")</f>
        <v/>
      </c>
      <c r="C102" s="7">
        <f>IF(A102="","",IFERROR(VLOOKUP(B102,TblArticles,2,FALSE),"GTIN inconnu"))</f>
        <v/>
      </c>
      <c r="D102" s="8">
        <f>IF(A102="","",IFERROR(VLOOKUP(B102,TblArticles,3,FALSE),""))</f>
        <v/>
      </c>
      <c r="E102" s="9">
        <f>IFERROR(DATE(2000+VALUE(MID(H102,FIND("15",H102,FIND("01",H102)+16)+2,2)),VALUE(MID(H102,FIND("15",H102,FIND("01",H102)+16)+4,2)),VALUE(MID(H102,FIND("15",H102,FIND("01",H102)+16)+6,2))),"")</f>
        <v/>
      </c>
      <c r="F102" s="8">
        <f>IFERROR(MID(H102,FIND("10",H102,FIND("15",H102,FIND("01",H102)+16)+8)+2,50),"")</f>
        <v/>
      </c>
      <c r="G102" s="8" t="n"/>
      <c r="H102" s="8">
        <f>SUBSTITUTE(SUBSTITUTE(SUBSTITUTE(SUBSTITUTE(A102,"(",""),")","")," ",""),CHAR(29),"")</f>
        <v/>
      </c>
    </row>
    <row r="103">
      <c r="A103" s="4" t="n"/>
      <c r="B103" s="5">
        <f>IFERROR(MID(H103,FIND("01",H103)+2,14),"")</f>
        <v/>
      </c>
      <c r="C103" s="4">
        <f>IF(A103="","",IFERROR(VLOOKUP(B103,TblArticles,2,FALSE),"GTIN inconnu"))</f>
        <v/>
      </c>
      <c r="D103" s="5">
        <f>IF(A103="","",IFERROR(VLOOKUP(B103,TblArticles,3,FALSE),""))</f>
        <v/>
      </c>
      <c r="E103" s="6">
        <f>IFERROR(DATE(2000+VALUE(MID(H103,FIND("15",H103,FIND("01",H103)+16)+2,2)),VALUE(MID(H103,FIND("15",H103,FIND("01",H103)+16)+4,2)),VALUE(MID(H103,FIND("15",H103,FIND("01",H103)+16)+6,2))),"")</f>
        <v/>
      </c>
      <c r="F103" s="5">
        <f>IFERROR(MID(H103,FIND("10",H103,FIND("15",H103,FIND("01",H103)+16)+8)+2,50),"")</f>
        <v/>
      </c>
      <c r="G103" s="5" t="n"/>
      <c r="H103" s="5">
        <f>SUBSTITUTE(SUBSTITUTE(SUBSTITUTE(SUBSTITUTE(A103,"(",""),")","")," ",""),CHAR(29),"")</f>
        <v/>
      </c>
    </row>
    <row r="104">
      <c r="A104" s="7" t="n"/>
      <c r="B104" s="8">
        <f>IFERROR(MID(H104,FIND("01",H104)+2,14),"")</f>
        <v/>
      </c>
      <c r="C104" s="7">
        <f>IF(A104="","",IFERROR(VLOOKUP(B104,TblArticles,2,FALSE),"GTIN inconnu"))</f>
        <v/>
      </c>
      <c r="D104" s="8">
        <f>IF(A104="","",IFERROR(VLOOKUP(B104,TblArticles,3,FALSE),""))</f>
        <v/>
      </c>
      <c r="E104" s="9">
        <f>IFERROR(DATE(2000+VALUE(MID(H104,FIND("15",H104,FIND("01",H104)+16)+2,2)),VALUE(MID(H104,FIND("15",H104,FIND("01",H104)+16)+4,2)),VALUE(MID(H104,FIND("15",H104,FIND("01",H104)+16)+6,2))),"")</f>
        <v/>
      </c>
      <c r="F104" s="8">
        <f>IFERROR(MID(H104,FIND("10",H104,FIND("15",H104,FIND("01",H104)+16)+8)+2,50),"")</f>
        <v/>
      </c>
      <c r="G104" s="8" t="n"/>
      <c r="H104" s="8">
        <f>SUBSTITUTE(SUBSTITUTE(SUBSTITUTE(SUBSTITUTE(A104,"(",""),")","")," ",""),CHAR(29),"")</f>
        <v/>
      </c>
    </row>
    <row r="105">
      <c r="A105" s="4" t="n"/>
      <c r="B105" s="5">
        <f>IFERROR(MID(H105,FIND("01",H105)+2,14),"")</f>
        <v/>
      </c>
      <c r="C105" s="4">
        <f>IF(A105="","",IFERROR(VLOOKUP(B105,TblArticles,2,FALSE),"GTIN inconnu"))</f>
        <v/>
      </c>
      <c r="D105" s="5">
        <f>IF(A105="","",IFERROR(VLOOKUP(B105,TblArticles,3,FALSE),""))</f>
        <v/>
      </c>
      <c r="E105" s="6">
        <f>IFERROR(DATE(2000+VALUE(MID(H105,FIND("15",H105,FIND("01",H105)+16)+2,2)),VALUE(MID(H105,FIND("15",H105,FIND("01",H105)+16)+4,2)),VALUE(MID(H105,FIND("15",H105,FIND("01",H105)+16)+6,2))),"")</f>
        <v/>
      </c>
      <c r="F105" s="5">
        <f>IFERROR(MID(H105,FIND("10",H105,FIND("15",H105,FIND("01",H105)+16)+8)+2,50),"")</f>
        <v/>
      </c>
      <c r="G105" s="5" t="n"/>
      <c r="H105" s="5">
        <f>SUBSTITUTE(SUBSTITUTE(SUBSTITUTE(SUBSTITUTE(A105,"(",""),")","")," ",""),CHAR(29),"")</f>
        <v/>
      </c>
    </row>
    <row r="106">
      <c r="A106" s="7" t="n"/>
      <c r="B106" s="8">
        <f>IFERROR(MID(H106,FIND("01",H106)+2,14),"")</f>
        <v/>
      </c>
      <c r="C106" s="7">
        <f>IF(A106="","",IFERROR(VLOOKUP(B106,TblArticles,2,FALSE),"GTIN inconnu"))</f>
        <v/>
      </c>
      <c r="D106" s="8">
        <f>IF(A106="","",IFERROR(VLOOKUP(B106,TblArticles,3,FALSE),""))</f>
        <v/>
      </c>
      <c r="E106" s="9">
        <f>IFERROR(DATE(2000+VALUE(MID(H106,FIND("15",H106,FIND("01",H106)+16)+2,2)),VALUE(MID(H106,FIND("15",H106,FIND("01",H106)+16)+4,2)),VALUE(MID(H106,FIND("15",H106,FIND("01",H106)+16)+6,2))),"")</f>
        <v/>
      </c>
      <c r="F106" s="8">
        <f>IFERROR(MID(H106,FIND("10",H106,FIND("15",H106,FIND("01",H106)+16)+8)+2,50),"")</f>
        <v/>
      </c>
      <c r="G106" s="8" t="n"/>
      <c r="H106" s="8">
        <f>SUBSTITUTE(SUBSTITUTE(SUBSTITUTE(SUBSTITUTE(A106,"(",""),")","")," ",""),CHAR(29),"")</f>
        <v/>
      </c>
    </row>
    <row r="107">
      <c r="A107" s="4" t="n"/>
      <c r="B107" s="5">
        <f>IFERROR(MID(H107,FIND("01",H107)+2,14),"")</f>
        <v/>
      </c>
      <c r="C107" s="4">
        <f>IF(A107="","",IFERROR(VLOOKUP(B107,TblArticles,2,FALSE),"GTIN inconnu"))</f>
        <v/>
      </c>
      <c r="D107" s="5">
        <f>IF(A107="","",IFERROR(VLOOKUP(B107,TblArticles,3,FALSE),""))</f>
        <v/>
      </c>
      <c r="E107" s="6">
        <f>IFERROR(DATE(2000+VALUE(MID(H107,FIND("15",H107,FIND("01",H107)+16)+2,2)),VALUE(MID(H107,FIND("15",H107,FIND("01",H107)+16)+4,2)),VALUE(MID(H107,FIND("15",H107,FIND("01",H107)+16)+6,2))),"")</f>
        <v/>
      </c>
      <c r="F107" s="5">
        <f>IFERROR(MID(H107,FIND("10",H107,FIND("15",H107,FIND("01",H107)+16)+8)+2,50),"")</f>
        <v/>
      </c>
      <c r="G107" s="5" t="n"/>
      <c r="H107" s="5">
        <f>SUBSTITUTE(SUBSTITUTE(SUBSTITUTE(SUBSTITUTE(A107,"(",""),")","")," ",""),CHAR(29),"")</f>
        <v/>
      </c>
    </row>
    <row r="108">
      <c r="A108" s="7" t="n"/>
      <c r="B108" s="8">
        <f>IFERROR(MID(H108,FIND("01",H108)+2,14),"")</f>
        <v/>
      </c>
      <c r="C108" s="7">
        <f>IF(A108="","",IFERROR(VLOOKUP(B108,TblArticles,2,FALSE),"GTIN inconnu"))</f>
        <v/>
      </c>
      <c r="D108" s="8">
        <f>IF(A108="","",IFERROR(VLOOKUP(B108,TblArticles,3,FALSE),""))</f>
        <v/>
      </c>
      <c r="E108" s="9">
        <f>IFERROR(DATE(2000+VALUE(MID(H108,FIND("15",H108,FIND("01",H108)+16)+2,2)),VALUE(MID(H108,FIND("15",H108,FIND("01",H108)+16)+4,2)),VALUE(MID(H108,FIND("15",H108,FIND("01",H108)+16)+6,2))),"")</f>
        <v/>
      </c>
      <c r="F108" s="8">
        <f>IFERROR(MID(H108,FIND("10",H108,FIND("15",H108,FIND("01",H108)+16)+8)+2,50),"")</f>
        <v/>
      </c>
      <c r="G108" s="8" t="n"/>
      <c r="H108" s="8">
        <f>SUBSTITUTE(SUBSTITUTE(SUBSTITUTE(SUBSTITUTE(A108,"(",""),")","")," ",""),CHAR(29),"")</f>
        <v/>
      </c>
    </row>
    <row r="109">
      <c r="A109" s="4" t="n"/>
      <c r="B109" s="5">
        <f>IFERROR(MID(H109,FIND("01",H109)+2,14),"")</f>
        <v/>
      </c>
      <c r="C109" s="4">
        <f>IF(A109="","",IFERROR(VLOOKUP(B109,TblArticles,2,FALSE),"GTIN inconnu"))</f>
        <v/>
      </c>
      <c r="D109" s="5">
        <f>IF(A109="","",IFERROR(VLOOKUP(B109,TblArticles,3,FALSE),""))</f>
        <v/>
      </c>
      <c r="E109" s="6">
        <f>IFERROR(DATE(2000+VALUE(MID(H109,FIND("15",H109,FIND("01",H109)+16)+2,2)),VALUE(MID(H109,FIND("15",H109,FIND("01",H109)+16)+4,2)),VALUE(MID(H109,FIND("15",H109,FIND("01",H109)+16)+6,2))),"")</f>
        <v/>
      </c>
      <c r="F109" s="5">
        <f>IFERROR(MID(H109,FIND("10",H109,FIND("15",H109,FIND("01",H109)+16)+8)+2,50),"")</f>
        <v/>
      </c>
      <c r="G109" s="5" t="n"/>
      <c r="H109" s="5">
        <f>SUBSTITUTE(SUBSTITUTE(SUBSTITUTE(SUBSTITUTE(A109,"(",""),")","")," ",""),CHAR(29),"")</f>
        <v/>
      </c>
    </row>
    <row r="110">
      <c r="A110" s="7" t="n"/>
      <c r="B110" s="8">
        <f>IFERROR(MID(H110,FIND("01",H110)+2,14),"")</f>
        <v/>
      </c>
      <c r="C110" s="7">
        <f>IF(A110="","",IFERROR(VLOOKUP(B110,TblArticles,2,FALSE),"GTIN inconnu"))</f>
        <v/>
      </c>
      <c r="D110" s="8">
        <f>IF(A110="","",IFERROR(VLOOKUP(B110,TblArticles,3,FALSE),""))</f>
        <v/>
      </c>
      <c r="E110" s="9">
        <f>IFERROR(DATE(2000+VALUE(MID(H110,FIND("15",H110,FIND("01",H110)+16)+2,2)),VALUE(MID(H110,FIND("15",H110,FIND("01",H110)+16)+4,2)),VALUE(MID(H110,FIND("15",H110,FIND("01",H110)+16)+6,2))),"")</f>
        <v/>
      </c>
      <c r="F110" s="8">
        <f>IFERROR(MID(H110,FIND("10",H110,FIND("15",H110,FIND("01",H110)+16)+8)+2,50),"")</f>
        <v/>
      </c>
      <c r="G110" s="8" t="n"/>
      <c r="H110" s="8">
        <f>SUBSTITUTE(SUBSTITUTE(SUBSTITUTE(SUBSTITUTE(A110,"(",""),")","")," ",""),CHAR(29),"")</f>
        <v/>
      </c>
    </row>
    <row r="111">
      <c r="A111" s="4" t="n"/>
      <c r="B111" s="5">
        <f>IFERROR(MID(H111,FIND("01",H111)+2,14),"")</f>
        <v/>
      </c>
      <c r="C111" s="4">
        <f>IF(A111="","",IFERROR(VLOOKUP(B111,TblArticles,2,FALSE),"GTIN inconnu"))</f>
        <v/>
      </c>
      <c r="D111" s="5">
        <f>IF(A111="","",IFERROR(VLOOKUP(B111,TblArticles,3,FALSE),""))</f>
        <v/>
      </c>
      <c r="E111" s="6">
        <f>IFERROR(DATE(2000+VALUE(MID(H111,FIND("15",H111,FIND("01",H111)+16)+2,2)),VALUE(MID(H111,FIND("15",H111,FIND("01",H111)+16)+4,2)),VALUE(MID(H111,FIND("15",H111,FIND("01",H111)+16)+6,2))),"")</f>
        <v/>
      </c>
      <c r="F111" s="5">
        <f>IFERROR(MID(H111,FIND("10",H111,FIND("15",H111,FIND("01",H111)+16)+8)+2,50),"")</f>
        <v/>
      </c>
      <c r="G111" s="5" t="n"/>
      <c r="H111" s="5">
        <f>SUBSTITUTE(SUBSTITUTE(SUBSTITUTE(SUBSTITUTE(A111,"(",""),")","")," ",""),CHAR(29),"")</f>
        <v/>
      </c>
    </row>
    <row r="112">
      <c r="A112" s="7" t="n"/>
      <c r="B112" s="8">
        <f>IFERROR(MID(H112,FIND("01",H112)+2,14),"")</f>
        <v/>
      </c>
      <c r="C112" s="7">
        <f>IF(A112="","",IFERROR(VLOOKUP(B112,TblArticles,2,FALSE),"GTIN inconnu"))</f>
        <v/>
      </c>
      <c r="D112" s="8">
        <f>IF(A112="","",IFERROR(VLOOKUP(B112,TblArticles,3,FALSE),""))</f>
        <v/>
      </c>
      <c r="E112" s="9">
        <f>IFERROR(DATE(2000+VALUE(MID(H112,FIND("15",H112,FIND("01",H112)+16)+2,2)),VALUE(MID(H112,FIND("15",H112,FIND("01",H112)+16)+4,2)),VALUE(MID(H112,FIND("15",H112,FIND("01",H112)+16)+6,2))),"")</f>
        <v/>
      </c>
      <c r="F112" s="8">
        <f>IFERROR(MID(H112,FIND("10",H112,FIND("15",H112,FIND("01",H112)+16)+8)+2,50),"")</f>
        <v/>
      </c>
      <c r="G112" s="8" t="n"/>
      <c r="H112" s="8">
        <f>SUBSTITUTE(SUBSTITUTE(SUBSTITUTE(SUBSTITUTE(A112,"(",""),")","")," ",""),CHAR(29),"")</f>
        <v/>
      </c>
    </row>
    <row r="113">
      <c r="A113" s="4" t="n"/>
      <c r="B113" s="5">
        <f>IFERROR(MID(H113,FIND("01",H113)+2,14),"")</f>
        <v/>
      </c>
      <c r="C113" s="4">
        <f>IF(A113="","",IFERROR(VLOOKUP(B113,TblArticles,2,FALSE),"GTIN inconnu"))</f>
        <v/>
      </c>
      <c r="D113" s="5">
        <f>IF(A113="","",IFERROR(VLOOKUP(B113,TblArticles,3,FALSE),""))</f>
        <v/>
      </c>
      <c r="E113" s="6">
        <f>IFERROR(DATE(2000+VALUE(MID(H113,FIND("15",H113,FIND("01",H113)+16)+2,2)),VALUE(MID(H113,FIND("15",H113,FIND("01",H113)+16)+4,2)),VALUE(MID(H113,FIND("15",H113,FIND("01",H113)+16)+6,2))),"")</f>
        <v/>
      </c>
      <c r="F113" s="5">
        <f>IFERROR(MID(H113,FIND("10",H113,FIND("15",H113,FIND("01",H113)+16)+8)+2,50),"")</f>
        <v/>
      </c>
      <c r="G113" s="5" t="n"/>
      <c r="H113" s="5">
        <f>SUBSTITUTE(SUBSTITUTE(SUBSTITUTE(SUBSTITUTE(A113,"(",""),")","")," ",""),CHAR(29),"")</f>
        <v/>
      </c>
    </row>
    <row r="114">
      <c r="A114" s="7" t="n"/>
      <c r="B114" s="8">
        <f>IFERROR(MID(H114,FIND("01",H114)+2,14),"")</f>
        <v/>
      </c>
      <c r="C114" s="7">
        <f>IF(A114="","",IFERROR(VLOOKUP(B114,TblArticles,2,FALSE),"GTIN inconnu"))</f>
        <v/>
      </c>
      <c r="D114" s="8">
        <f>IF(A114="","",IFERROR(VLOOKUP(B114,TblArticles,3,FALSE),""))</f>
        <v/>
      </c>
      <c r="E114" s="9">
        <f>IFERROR(DATE(2000+VALUE(MID(H114,FIND("15",H114,FIND("01",H114)+16)+2,2)),VALUE(MID(H114,FIND("15",H114,FIND("01",H114)+16)+4,2)),VALUE(MID(H114,FIND("15",H114,FIND("01",H114)+16)+6,2))),"")</f>
        <v/>
      </c>
      <c r="F114" s="8">
        <f>IFERROR(MID(H114,FIND("10",H114,FIND("15",H114,FIND("01",H114)+16)+8)+2,50),"")</f>
        <v/>
      </c>
      <c r="G114" s="8" t="n"/>
      <c r="H114" s="8">
        <f>SUBSTITUTE(SUBSTITUTE(SUBSTITUTE(SUBSTITUTE(A114,"(",""),")","")," ",""),CHAR(29),"")</f>
        <v/>
      </c>
    </row>
    <row r="115">
      <c r="A115" s="4" t="n"/>
      <c r="B115" s="5">
        <f>IFERROR(MID(H115,FIND("01",H115)+2,14),"")</f>
        <v/>
      </c>
      <c r="C115" s="4">
        <f>IF(A115="","",IFERROR(VLOOKUP(B115,TblArticles,2,FALSE),"GTIN inconnu"))</f>
        <v/>
      </c>
      <c r="D115" s="5">
        <f>IF(A115="","",IFERROR(VLOOKUP(B115,TblArticles,3,FALSE),""))</f>
        <v/>
      </c>
      <c r="E115" s="6">
        <f>IFERROR(DATE(2000+VALUE(MID(H115,FIND("15",H115,FIND("01",H115)+16)+2,2)),VALUE(MID(H115,FIND("15",H115,FIND("01",H115)+16)+4,2)),VALUE(MID(H115,FIND("15",H115,FIND("01",H115)+16)+6,2))),"")</f>
        <v/>
      </c>
      <c r="F115" s="5">
        <f>IFERROR(MID(H115,FIND("10",H115,FIND("15",H115,FIND("01",H115)+16)+8)+2,50),"")</f>
        <v/>
      </c>
      <c r="G115" s="5" t="n"/>
      <c r="H115" s="5">
        <f>SUBSTITUTE(SUBSTITUTE(SUBSTITUTE(SUBSTITUTE(A115,"(",""),")","")," ",""),CHAR(29),"")</f>
        <v/>
      </c>
    </row>
    <row r="116">
      <c r="A116" s="7" t="n"/>
      <c r="B116" s="8">
        <f>IFERROR(MID(H116,FIND("01",H116)+2,14),"")</f>
        <v/>
      </c>
      <c r="C116" s="7">
        <f>IF(A116="","",IFERROR(VLOOKUP(B116,TblArticles,2,FALSE),"GTIN inconnu"))</f>
        <v/>
      </c>
      <c r="D116" s="8">
        <f>IF(A116="","",IFERROR(VLOOKUP(B116,TblArticles,3,FALSE),""))</f>
        <v/>
      </c>
      <c r="E116" s="9">
        <f>IFERROR(DATE(2000+VALUE(MID(H116,FIND("15",H116,FIND("01",H116)+16)+2,2)),VALUE(MID(H116,FIND("15",H116,FIND("01",H116)+16)+4,2)),VALUE(MID(H116,FIND("15",H116,FIND("01",H116)+16)+6,2))),"")</f>
        <v/>
      </c>
      <c r="F116" s="8">
        <f>IFERROR(MID(H116,FIND("10",H116,FIND("15",H116,FIND("01",H116)+16)+8)+2,50),"")</f>
        <v/>
      </c>
      <c r="G116" s="8" t="n"/>
      <c r="H116" s="8">
        <f>SUBSTITUTE(SUBSTITUTE(SUBSTITUTE(SUBSTITUTE(A116,"(",""),")","")," ",""),CHAR(29),"")</f>
        <v/>
      </c>
    </row>
    <row r="117">
      <c r="A117" s="4" t="n"/>
      <c r="B117" s="5">
        <f>IFERROR(MID(H117,FIND("01",H117)+2,14),"")</f>
        <v/>
      </c>
      <c r="C117" s="4">
        <f>IF(A117="","",IFERROR(VLOOKUP(B117,TblArticles,2,FALSE),"GTIN inconnu"))</f>
        <v/>
      </c>
      <c r="D117" s="5">
        <f>IF(A117="","",IFERROR(VLOOKUP(B117,TblArticles,3,FALSE),""))</f>
        <v/>
      </c>
      <c r="E117" s="6">
        <f>IFERROR(DATE(2000+VALUE(MID(H117,FIND("15",H117,FIND("01",H117)+16)+2,2)),VALUE(MID(H117,FIND("15",H117,FIND("01",H117)+16)+4,2)),VALUE(MID(H117,FIND("15",H117,FIND("01",H117)+16)+6,2))),"")</f>
        <v/>
      </c>
      <c r="F117" s="5">
        <f>IFERROR(MID(H117,FIND("10",H117,FIND("15",H117,FIND("01",H117)+16)+8)+2,50),"")</f>
        <v/>
      </c>
      <c r="G117" s="5" t="n"/>
      <c r="H117" s="5">
        <f>SUBSTITUTE(SUBSTITUTE(SUBSTITUTE(SUBSTITUTE(A117,"(",""),")","")," ",""),CHAR(29),"")</f>
        <v/>
      </c>
    </row>
    <row r="118">
      <c r="A118" s="7" t="n"/>
      <c r="B118" s="8">
        <f>IFERROR(MID(H118,FIND("01",H118)+2,14),"")</f>
        <v/>
      </c>
      <c r="C118" s="7">
        <f>IF(A118="","",IFERROR(VLOOKUP(B118,TblArticles,2,FALSE),"GTIN inconnu"))</f>
        <v/>
      </c>
      <c r="D118" s="8">
        <f>IF(A118="","",IFERROR(VLOOKUP(B118,TblArticles,3,FALSE),""))</f>
        <v/>
      </c>
      <c r="E118" s="9">
        <f>IFERROR(DATE(2000+VALUE(MID(H118,FIND("15",H118,FIND("01",H118)+16)+2,2)),VALUE(MID(H118,FIND("15",H118,FIND("01",H118)+16)+4,2)),VALUE(MID(H118,FIND("15",H118,FIND("01",H118)+16)+6,2))),"")</f>
        <v/>
      </c>
      <c r="F118" s="8">
        <f>IFERROR(MID(H118,FIND("10",H118,FIND("15",H118,FIND("01",H118)+16)+8)+2,50),"")</f>
        <v/>
      </c>
      <c r="G118" s="8" t="n"/>
      <c r="H118" s="8">
        <f>SUBSTITUTE(SUBSTITUTE(SUBSTITUTE(SUBSTITUTE(A118,"(",""),")","")," ",""),CHAR(29),"")</f>
        <v/>
      </c>
    </row>
    <row r="119">
      <c r="A119" s="4" t="n"/>
      <c r="B119" s="5">
        <f>IFERROR(MID(H119,FIND("01",H119)+2,14),"")</f>
        <v/>
      </c>
      <c r="C119" s="4">
        <f>IF(A119="","",IFERROR(VLOOKUP(B119,TblArticles,2,FALSE),"GTIN inconnu"))</f>
        <v/>
      </c>
      <c r="D119" s="5">
        <f>IF(A119="","",IFERROR(VLOOKUP(B119,TblArticles,3,FALSE),""))</f>
        <v/>
      </c>
      <c r="E119" s="6">
        <f>IFERROR(DATE(2000+VALUE(MID(H119,FIND("15",H119,FIND("01",H119)+16)+2,2)),VALUE(MID(H119,FIND("15",H119,FIND("01",H119)+16)+4,2)),VALUE(MID(H119,FIND("15",H119,FIND("01",H119)+16)+6,2))),"")</f>
        <v/>
      </c>
      <c r="F119" s="5">
        <f>IFERROR(MID(H119,FIND("10",H119,FIND("15",H119,FIND("01",H119)+16)+8)+2,50),"")</f>
        <v/>
      </c>
      <c r="G119" s="5" t="n"/>
      <c r="H119" s="5">
        <f>SUBSTITUTE(SUBSTITUTE(SUBSTITUTE(SUBSTITUTE(A119,"(",""),")","")," ",""),CHAR(29),"")</f>
        <v/>
      </c>
    </row>
    <row r="120">
      <c r="A120" s="7" t="n"/>
      <c r="B120" s="8">
        <f>IFERROR(MID(H120,FIND("01",H120)+2,14),"")</f>
        <v/>
      </c>
      <c r="C120" s="7">
        <f>IF(A120="","",IFERROR(VLOOKUP(B120,TblArticles,2,FALSE),"GTIN inconnu"))</f>
        <v/>
      </c>
      <c r="D120" s="8">
        <f>IF(A120="","",IFERROR(VLOOKUP(B120,TblArticles,3,FALSE),""))</f>
        <v/>
      </c>
      <c r="E120" s="9">
        <f>IFERROR(DATE(2000+VALUE(MID(H120,FIND("15",H120,FIND("01",H120)+16)+2,2)),VALUE(MID(H120,FIND("15",H120,FIND("01",H120)+16)+4,2)),VALUE(MID(H120,FIND("15",H120,FIND("01",H120)+16)+6,2))),"")</f>
        <v/>
      </c>
      <c r="F120" s="8">
        <f>IFERROR(MID(H120,FIND("10",H120,FIND("15",H120,FIND("01",H120)+16)+8)+2,50),"")</f>
        <v/>
      </c>
      <c r="G120" s="8" t="n"/>
      <c r="H120" s="8">
        <f>SUBSTITUTE(SUBSTITUTE(SUBSTITUTE(SUBSTITUTE(A120,"(",""),")","")," ",""),CHAR(29),"")</f>
        <v/>
      </c>
    </row>
    <row r="121">
      <c r="A121" s="4" t="n"/>
      <c r="B121" s="5">
        <f>IFERROR(MID(H121,FIND("01",H121)+2,14),"")</f>
        <v/>
      </c>
      <c r="C121" s="4">
        <f>IF(A121="","",IFERROR(VLOOKUP(B121,TblArticles,2,FALSE),"GTIN inconnu"))</f>
        <v/>
      </c>
      <c r="D121" s="5">
        <f>IF(A121="","",IFERROR(VLOOKUP(B121,TblArticles,3,FALSE),""))</f>
        <v/>
      </c>
      <c r="E121" s="6">
        <f>IFERROR(DATE(2000+VALUE(MID(H121,FIND("15",H121,FIND("01",H121)+16)+2,2)),VALUE(MID(H121,FIND("15",H121,FIND("01",H121)+16)+4,2)),VALUE(MID(H121,FIND("15",H121,FIND("01",H121)+16)+6,2))),"")</f>
        <v/>
      </c>
      <c r="F121" s="5">
        <f>IFERROR(MID(H121,FIND("10",H121,FIND("15",H121,FIND("01",H121)+16)+8)+2,50),"")</f>
        <v/>
      </c>
      <c r="G121" s="5" t="n"/>
      <c r="H121" s="5">
        <f>SUBSTITUTE(SUBSTITUTE(SUBSTITUTE(SUBSTITUTE(A121,"(",""),")","")," ",""),CHAR(29),"")</f>
        <v/>
      </c>
    </row>
    <row r="122">
      <c r="A122" s="7" t="n"/>
      <c r="B122" s="8">
        <f>IFERROR(MID(H122,FIND("01",H122)+2,14),"")</f>
        <v/>
      </c>
      <c r="C122" s="7">
        <f>IF(A122="","",IFERROR(VLOOKUP(B122,TblArticles,2,FALSE),"GTIN inconnu"))</f>
        <v/>
      </c>
      <c r="D122" s="8">
        <f>IF(A122="","",IFERROR(VLOOKUP(B122,TblArticles,3,FALSE),""))</f>
        <v/>
      </c>
      <c r="E122" s="9">
        <f>IFERROR(DATE(2000+VALUE(MID(H122,FIND("15",H122,FIND("01",H122)+16)+2,2)),VALUE(MID(H122,FIND("15",H122,FIND("01",H122)+16)+4,2)),VALUE(MID(H122,FIND("15",H122,FIND("01",H122)+16)+6,2))),"")</f>
        <v/>
      </c>
      <c r="F122" s="8">
        <f>IFERROR(MID(H122,FIND("10",H122,FIND("15",H122,FIND("01",H122)+16)+8)+2,50),"")</f>
        <v/>
      </c>
      <c r="G122" s="8" t="n"/>
      <c r="H122" s="8">
        <f>SUBSTITUTE(SUBSTITUTE(SUBSTITUTE(SUBSTITUTE(A122,"(",""),")","")," ",""),CHAR(29),"")</f>
        <v/>
      </c>
    </row>
    <row r="123">
      <c r="A123" s="4" t="n"/>
      <c r="B123" s="5">
        <f>IFERROR(MID(H123,FIND("01",H123)+2,14),"")</f>
        <v/>
      </c>
      <c r="C123" s="4">
        <f>IF(A123="","",IFERROR(VLOOKUP(B123,TblArticles,2,FALSE),"GTIN inconnu"))</f>
        <v/>
      </c>
      <c r="D123" s="5">
        <f>IF(A123="","",IFERROR(VLOOKUP(B123,TblArticles,3,FALSE),""))</f>
        <v/>
      </c>
      <c r="E123" s="6">
        <f>IFERROR(DATE(2000+VALUE(MID(H123,FIND("15",H123,FIND("01",H123)+16)+2,2)),VALUE(MID(H123,FIND("15",H123,FIND("01",H123)+16)+4,2)),VALUE(MID(H123,FIND("15",H123,FIND("01",H123)+16)+6,2))),"")</f>
        <v/>
      </c>
      <c r="F123" s="5">
        <f>IFERROR(MID(H123,FIND("10",H123,FIND("15",H123,FIND("01",H123)+16)+8)+2,50),"")</f>
        <v/>
      </c>
      <c r="G123" s="5" t="n"/>
      <c r="H123" s="5">
        <f>SUBSTITUTE(SUBSTITUTE(SUBSTITUTE(SUBSTITUTE(A123,"(",""),")","")," ",""),CHAR(29),"")</f>
        <v/>
      </c>
    </row>
    <row r="124">
      <c r="A124" s="7" t="n"/>
      <c r="B124" s="8">
        <f>IFERROR(MID(H124,FIND("01",H124)+2,14),"")</f>
        <v/>
      </c>
      <c r="C124" s="7">
        <f>IF(A124="","",IFERROR(VLOOKUP(B124,TblArticles,2,FALSE),"GTIN inconnu"))</f>
        <v/>
      </c>
      <c r="D124" s="8">
        <f>IF(A124="","",IFERROR(VLOOKUP(B124,TblArticles,3,FALSE),""))</f>
        <v/>
      </c>
      <c r="E124" s="9">
        <f>IFERROR(DATE(2000+VALUE(MID(H124,FIND("15",H124,FIND("01",H124)+16)+2,2)),VALUE(MID(H124,FIND("15",H124,FIND("01",H124)+16)+4,2)),VALUE(MID(H124,FIND("15",H124,FIND("01",H124)+16)+6,2))),"")</f>
        <v/>
      </c>
      <c r="F124" s="8">
        <f>IFERROR(MID(H124,FIND("10",H124,FIND("15",H124,FIND("01",H124)+16)+8)+2,50),"")</f>
        <v/>
      </c>
      <c r="G124" s="8" t="n"/>
      <c r="H124" s="8">
        <f>SUBSTITUTE(SUBSTITUTE(SUBSTITUTE(SUBSTITUTE(A124,"(",""),")","")," ",""),CHAR(29),"")</f>
        <v/>
      </c>
    </row>
    <row r="125">
      <c r="A125" s="4" t="n"/>
      <c r="B125" s="5">
        <f>IFERROR(MID(H125,FIND("01",H125)+2,14),"")</f>
        <v/>
      </c>
      <c r="C125" s="4">
        <f>IF(A125="","",IFERROR(VLOOKUP(B125,TblArticles,2,FALSE),"GTIN inconnu"))</f>
        <v/>
      </c>
      <c r="D125" s="5">
        <f>IF(A125="","",IFERROR(VLOOKUP(B125,TblArticles,3,FALSE),""))</f>
        <v/>
      </c>
      <c r="E125" s="6">
        <f>IFERROR(DATE(2000+VALUE(MID(H125,FIND("15",H125,FIND("01",H125)+16)+2,2)),VALUE(MID(H125,FIND("15",H125,FIND("01",H125)+16)+4,2)),VALUE(MID(H125,FIND("15",H125,FIND("01",H125)+16)+6,2))),"")</f>
        <v/>
      </c>
      <c r="F125" s="5">
        <f>IFERROR(MID(H125,FIND("10",H125,FIND("15",H125,FIND("01",H125)+16)+8)+2,50),"")</f>
        <v/>
      </c>
      <c r="G125" s="5" t="n"/>
      <c r="H125" s="5">
        <f>SUBSTITUTE(SUBSTITUTE(SUBSTITUTE(SUBSTITUTE(A125,"(",""),")","")," ",""),CHAR(29),"")</f>
        <v/>
      </c>
    </row>
    <row r="126">
      <c r="A126" s="7" t="n"/>
      <c r="B126" s="8">
        <f>IFERROR(MID(H126,FIND("01",H126)+2,14),"")</f>
        <v/>
      </c>
      <c r="C126" s="7">
        <f>IF(A126="","",IFERROR(VLOOKUP(B126,TblArticles,2,FALSE),"GTIN inconnu"))</f>
        <v/>
      </c>
      <c r="D126" s="8">
        <f>IF(A126="","",IFERROR(VLOOKUP(B126,TblArticles,3,FALSE),""))</f>
        <v/>
      </c>
      <c r="E126" s="9">
        <f>IFERROR(DATE(2000+VALUE(MID(H126,FIND("15",H126,FIND("01",H126)+16)+2,2)),VALUE(MID(H126,FIND("15",H126,FIND("01",H126)+16)+4,2)),VALUE(MID(H126,FIND("15",H126,FIND("01",H126)+16)+6,2))),"")</f>
        <v/>
      </c>
      <c r="F126" s="8">
        <f>IFERROR(MID(H126,FIND("10",H126,FIND("15",H126,FIND("01",H126)+16)+8)+2,50),"")</f>
        <v/>
      </c>
      <c r="G126" s="8" t="n"/>
      <c r="H126" s="8">
        <f>SUBSTITUTE(SUBSTITUTE(SUBSTITUTE(SUBSTITUTE(A126,"(",""),")","")," ",""),CHAR(29),"")</f>
        <v/>
      </c>
    </row>
    <row r="127">
      <c r="A127" s="4" t="n"/>
      <c r="B127" s="5">
        <f>IFERROR(MID(H127,FIND("01",H127)+2,14),"")</f>
        <v/>
      </c>
      <c r="C127" s="4">
        <f>IF(A127="","",IFERROR(VLOOKUP(B127,TblArticles,2,FALSE),"GTIN inconnu"))</f>
        <v/>
      </c>
      <c r="D127" s="5">
        <f>IF(A127="","",IFERROR(VLOOKUP(B127,TblArticles,3,FALSE),""))</f>
        <v/>
      </c>
      <c r="E127" s="6">
        <f>IFERROR(DATE(2000+VALUE(MID(H127,FIND("15",H127,FIND("01",H127)+16)+2,2)),VALUE(MID(H127,FIND("15",H127,FIND("01",H127)+16)+4,2)),VALUE(MID(H127,FIND("15",H127,FIND("01",H127)+16)+6,2))),"")</f>
        <v/>
      </c>
      <c r="F127" s="5">
        <f>IFERROR(MID(H127,FIND("10",H127,FIND("15",H127,FIND("01",H127)+16)+8)+2,50),"")</f>
        <v/>
      </c>
      <c r="G127" s="5" t="n"/>
      <c r="H127" s="5">
        <f>SUBSTITUTE(SUBSTITUTE(SUBSTITUTE(SUBSTITUTE(A127,"(",""),")","")," ",""),CHAR(29),"")</f>
        <v/>
      </c>
    </row>
    <row r="128">
      <c r="A128" s="7" t="n"/>
      <c r="B128" s="8">
        <f>IFERROR(MID(H128,FIND("01",H128)+2,14),"")</f>
        <v/>
      </c>
      <c r="C128" s="7">
        <f>IF(A128="","",IFERROR(VLOOKUP(B128,TblArticles,2,FALSE),"GTIN inconnu"))</f>
        <v/>
      </c>
      <c r="D128" s="8">
        <f>IF(A128="","",IFERROR(VLOOKUP(B128,TblArticles,3,FALSE),""))</f>
        <v/>
      </c>
      <c r="E128" s="9">
        <f>IFERROR(DATE(2000+VALUE(MID(H128,FIND("15",H128,FIND("01",H128)+16)+2,2)),VALUE(MID(H128,FIND("15",H128,FIND("01",H128)+16)+4,2)),VALUE(MID(H128,FIND("15",H128,FIND("01",H128)+16)+6,2))),"")</f>
        <v/>
      </c>
      <c r="F128" s="8">
        <f>IFERROR(MID(H128,FIND("10",H128,FIND("15",H128,FIND("01",H128)+16)+8)+2,50),"")</f>
        <v/>
      </c>
      <c r="G128" s="8" t="n"/>
      <c r="H128" s="8">
        <f>SUBSTITUTE(SUBSTITUTE(SUBSTITUTE(SUBSTITUTE(A128,"(",""),")","")," ",""),CHAR(29),"")</f>
        <v/>
      </c>
    </row>
    <row r="129">
      <c r="A129" s="4" t="n"/>
      <c r="B129" s="5">
        <f>IFERROR(MID(H129,FIND("01",H129)+2,14),"")</f>
        <v/>
      </c>
      <c r="C129" s="4">
        <f>IF(A129="","",IFERROR(VLOOKUP(B129,TblArticles,2,FALSE),"GTIN inconnu"))</f>
        <v/>
      </c>
      <c r="D129" s="5">
        <f>IF(A129="","",IFERROR(VLOOKUP(B129,TblArticles,3,FALSE),""))</f>
        <v/>
      </c>
      <c r="E129" s="6">
        <f>IFERROR(DATE(2000+VALUE(MID(H129,FIND("15",H129,FIND("01",H129)+16)+2,2)),VALUE(MID(H129,FIND("15",H129,FIND("01",H129)+16)+4,2)),VALUE(MID(H129,FIND("15",H129,FIND("01",H129)+16)+6,2))),"")</f>
        <v/>
      </c>
      <c r="F129" s="5">
        <f>IFERROR(MID(H129,FIND("10",H129,FIND("15",H129,FIND("01",H129)+16)+8)+2,50),"")</f>
        <v/>
      </c>
      <c r="G129" s="5" t="n"/>
      <c r="H129" s="5">
        <f>SUBSTITUTE(SUBSTITUTE(SUBSTITUTE(SUBSTITUTE(A129,"(",""),")","")," ",""),CHAR(29),"")</f>
        <v/>
      </c>
    </row>
    <row r="130">
      <c r="A130" s="7" t="n"/>
      <c r="B130" s="8">
        <f>IFERROR(MID(H130,FIND("01",H130)+2,14),"")</f>
        <v/>
      </c>
      <c r="C130" s="7">
        <f>IF(A130="","",IFERROR(VLOOKUP(B130,TblArticles,2,FALSE),"GTIN inconnu"))</f>
        <v/>
      </c>
      <c r="D130" s="8">
        <f>IF(A130="","",IFERROR(VLOOKUP(B130,TblArticles,3,FALSE),""))</f>
        <v/>
      </c>
      <c r="E130" s="9">
        <f>IFERROR(DATE(2000+VALUE(MID(H130,FIND("15",H130,FIND("01",H130)+16)+2,2)),VALUE(MID(H130,FIND("15",H130,FIND("01",H130)+16)+4,2)),VALUE(MID(H130,FIND("15",H130,FIND("01",H130)+16)+6,2))),"")</f>
        <v/>
      </c>
      <c r="F130" s="8">
        <f>IFERROR(MID(H130,FIND("10",H130,FIND("15",H130,FIND("01",H130)+16)+8)+2,50),"")</f>
        <v/>
      </c>
      <c r="G130" s="8" t="n"/>
      <c r="H130" s="8">
        <f>SUBSTITUTE(SUBSTITUTE(SUBSTITUTE(SUBSTITUTE(A130,"(",""),")","")," ",""),CHAR(29),"")</f>
        <v/>
      </c>
    </row>
    <row r="131">
      <c r="A131" s="4" t="n"/>
      <c r="B131" s="5">
        <f>IFERROR(MID(H131,FIND("01",H131)+2,14),"")</f>
        <v/>
      </c>
      <c r="C131" s="4">
        <f>IF(A131="","",IFERROR(VLOOKUP(B131,TblArticles,2,FALSE),"GTIN inconnu"))</f>
        <v/>
      </c>
      <c r="D131" s="5">
        <f>IF(A131="","",IFERROR(VLOOKUP(B131,TblArticles,3,FALSE),""))</f>
        <v/>
      </c>
      <c r="E131" s="6">
        <f>IFERROR(DATE(2000+VALUE(MID(H131,FIND("15",H131,FIND("01",H131)+16)+2,2)),VALUE(MID(H131,FIND("15",H131,FIND("01",H131)+16)+4,2)),VALUE(MID(H131,FIND("15",H131,FIND("01",H131)+16)+6,2))),"")</f>
        <v/>
      </c>
      <c r="F131" s="5">
        <f>IFERROR(MID(H131,FIND("10",H131,FIND("15",H131,FIND("01",H131)+16)+8)+2,50),"")</f>
        <v/>
      </c>
      <c r="G131" s="5" t="n"/>
      <c r="H131" s="5">
        <f>SUBSTITUTE(SUBSTITUTE(SUBSTITUTE(SUBSTITUTE(A131,"(",""),")","")," ",""),CHAR(29),"")</f>
        <v/>
      </c>
    </row>
    <row r="132">
      <c r="A132" s="7" t="n"/>
      <c r="B132" s="8">
        <f>IFERROR(MID(H132,FIND("01",H132)+2,14),"")</f>
        <v/>
      </c>
      <c r="C132" s="7">
        <f>IF(A132="","",IFERROR(VLOOKUP(B132,TblArticles,2,FALSE),"GTIN inconnu"))</f>
        <v/>
      </c>
      <c r="D132" s="8">
        <f>IF(A132="","",IFERROR(VLOOKUP(B132,TblArticles,3,FALSE),""))</f>
        <v/>
      </c>
      <c r="E132" s="9">
        <f>IFERROR(DATE(2000+VALUE(MID(H132,FIND("15",H132,FIND("01",H132)+16)+2,2)),VALUE(MID(H132,FIND("15",H132,FIND("01",H132)+16)+4,2)),VALUE(MID(H132,FIND("15",H132,FIND("01",H132)+16)+6,2))),"")</f>
        <v/>
      </c>
      <c r="F132" s="8">
        <f>IFERROR(MID(H132,FIND("10",H132,FIND("15",H132,FIND("01",H132)+16)+8)+2,50),"")</f>
        <v/>
      </c>
      <c r="G132" s="8" t="n"/>
      <c r="H132" s="8">
        <f>SUBSTITUTE(SUBSTITUTE(SUBSTITUTE(SUBSTITUTE(A132,"(",""),")","")," ",""),CHAR(29),"")</f>
        <v/>
      </c>
    </row>
    <row r="133">
      <c r="A133" s="4" t="n"/>
      <c r="B133" s="5">
        <f>IFERROR(MID(H133,FIND("01",H133)+2,14),"")</f>
        <v/>
      </c>
      <c r="C133" s="4">
        <f>IF(A133="","",IFERROR(VLOOKUP(B133,TblArticles,2,FALSE),"GTIN inconnu"))</f>
        <v/>
      </c>
      <c r="D133" s="5">
        <f>IF(A133="","",IFERROR(VLOOKUP(B133,TblArticles,3,FALSE),""))</f>
        <v/>
      </c>
      <c r="E133" s="6">
        <f>IFERROR(DATE(2000+VALUE(MID(H133,FIND("15",H133,FIND("01",H133)+16)+2,2)),VALUE(MID(H133,FIND("15",H133,FIND("01",H133)+16)+4,2)),VALUE(MID(H133,FIND("15",H133,FIND("01",H133)+16)+6,2))),"")</f>
        <v/>
      </c>
      <c r="F133" s="5">
        <f>IFERROR(MID(H133,FIND("10",H133,FIND("15",H133,FIND("01",H133)+16)+8)+2,50),"")</f>
        <v/>
      </c>
      <c r="G133" s="5" t="n"/>
      <c r="H133" s="5">
        <f>SUBSTITUTE(SUBSTITUTE(SUBSTITUTE(SUBSTITUTE(A133,"(",""),")","")," ",""),CHAR(29),"")</f>
        <v/>
      </c>
    </row>
    <row r="134">
      <c r="A134" s="7" t="n"/>
      <c r="B134" s="8">
        <f>IFERROR(MID(H134,FIND("01",H134)+2,14),"")</f>
        <v/>
      </c>
      <c r="C134" s="7">
        <f>IF(A134="","",IFERROR(VLOOKUP(B134,TblArticles,2,FALSE),"GTIN inconnu"))</f>
        <v/>
      </c>
      <c r="D134" s="8">
        <f>IF(A134="","",IFERROR(VLOOKUP(B134,TblArticles,3,FALSE),""))</f>
        <v/>
      </c>
      <c r="E134" s="9">
        <f>IFERROR(DATE(2000+VALUE(MID(H134,FIND("15",H134,FIND("01",H134)+16)+2,2)),VALUE(MID(H134,FIND("15",H134,FIND("01",H134)+16)+4,2)),VALUE(MID(H134,FIND("15",H134,FIND("01",H134)+16)+6,2))),"")</f>
        <v/>
      </c>
      <c r="F134" s="8">
        <f>IFERROR(MID(H134,FIND("10",H134,FIND("15",H134,FIND("01",H134)+16)+8)+2,50),"")</f>
        <v/>
      </c>
      <c r="G134" s="8" t="n"/>
      <c r="H134" s="8">
        <f>SUBSTITUTE(SUBSTITUTE(SUBSTITUTE(SUBSTITUTE(A134,"(",""),")","")," ",""),CHAR(29),"")</f>
        <v/>
      </c>
    </row>
    <row r="135">
      <c r="A135" s="4" t="n"/>
      <c r="B135" s="5">
        <f>IFERROR(MID(H135,FIND("01",H135)+2,14),"")</f>
        <v/>
      </c>
      <c r="C135" s="4">
        <f>IF(A135="","",IFERROR(VLOOKUP(B135,TblArticles,2,FALSE),"GTIN inconnu"))</f>
        <v/>
      </c>
      <c r="D135" s="5">
        <f>IF(A135="","",IFERROR(VLOOKUP(B135,TblArticles,3,FALSE),""))</f>
        <v/>
      </c>
      <c r="E135" s="6">
        <f>IFERROR(DATE(2000+VALUE(MID(H135,FIND("15",H135,FIND("01",H135)+16)+2,2)),VALUE(MID(H135,FIND("15",H135,FIND("01",H135)+16)+4,2)),VALUE(MID(H135,FIND("15",H135,FIND("01",H135)+16)+6,2))),"")</f>
        <v/>
      </c>
      <c r="F135" s="5">
        <f>IFERROR(MID(H135,FIND("10",H135,FIND("15",H135,FIND("01",H135)+16)+8)+2,50),"")</f>
        <v/>
      </c>
      <c r="G135" s="5" t="n"/>
      <c r="H135" s="5">
        <f>SUBSTITUTE(SUBSTITUTE(SUBSTITUTE(SUBSTITUTE(A135,"(",""),")","")," ",""),CHAR(29),"")</f>
        <v/>
      </c>
    </row>
    <row r="136">
      <c r="A136" s="7" t="n"/>
      <c r="B136" s="8">
        <f>IFERROR(MID(H136,FIND("01",H136)+2,14),"")</f>
        <v/>
      </c>
      <c r="C136" s="7">
        <f>IF(A136="","",IFERROR(VLOOKUP(B136,TblArticles,2,FALSE),"GTIN inconnu"))</f>
        <v/>
      </c>
      <c r="D136" s="8">
        <f>IF(A136="","",IFERROR(VLOOKUP(B136,TblArticles,3,FALSE),""))</f>
        <v/>
      </c>
      <c r="E136" s="9">
        <f>IFERROR(DATE(2000+VALUE(MID(H136,FIND("15",H136,FIND("01",H136)+16)+2,2)),VALUE(MID(H136,FIND("15",H136,FIND("01",H136)+16)+4,2)),VALUE(MID(H136,FIND("15",H136,FIND("01",H136)+16)+6,2))),"")</f>
        <v/>
      </c>
      <c r="F136" s="8">
        <f>IFERROR(MID(H136,FIND("10",H136,FIND("15",H136,FIND("01",H136)+16)+8)+2,50),"")</f>
        <v/>
      </c>
      <c r="G136" s="8" t="n"/>
      <c r="H136" s="8">
        <f>SUBSTITUTE(SUBSTITUTE(SUBSTITUTE(SUBSTITUTE(A136,"(",""),")","")," ",""),CHAR(29),"")</f>
        <v/>
      </c>
    </row>
    <row r="137">
      <c r="A137" s="4" t="n"/>
      <c r="B137" s="5">
        <f>IFERROR(MID(H137,FIND("01",H137)+2,14),"")</f>
        <v/>
      </c>
      <c r="C137" s="4">
        <f>IF(A137="","",IFERROR(VLOOKUP(B137,TblArticles,2,FALSE),"GTIN inconnu"))</f>
        <v/>
      </c>
      <c r="D137" s="5">
        <f>IF(A137="","",IFERROR(VLOOKUP(B137,TblArticles,3,FALSE),""))</f>
        <v/>
      </c>
      <c r="E137" s="6">
        <f>IFERROR(DATE(2000+VALUE(MID(H137,FIND("15",H137,FIND("01",H137)+16)+2,2)),VALUE(MID(H137,FIND("15",H137,FIND("01",H137)+16)+4,2)),VALUE(MID(H137,FIND("15",H137,FIND("01",H137)+16)+6,2))),"")</f>
        <v/>
      </c>
      <c r="F137" s="5">
        <f>IFERROR(MID(H137,FIND("10",H137,FIND("15",H137,FIND("01",H137)+16)+8)+2,50),"")</f>
        <v/>
      </c>
      <c r="G137" s="5" t="n"/>
      <c r="H137" s="5">
        <f>SUBSTITUTE(SUBSTITUTE(SUBSTITUTE(SUBSTITUTE(A137,"(",""),")","")," ",""),CHAR(29),"")</f>
        <v/>
      </c>
    </row>
    <row r="138">
      <c r="A138" s="7" t="n"/>
      <c r="B138" s="8">
        <f>IFERROR(MID(H138,FIND("01",H138)+2,14),"")</f>
        <v/>
      </c>
      <c r="C138" s="7">
        <f>IF(A138="","",IFERROR(VLOOKUP(B138,TblArticles,2,FALSE),"GTIN inconnu"))</f>
        <v/>
      </c>
      <c r="D138" s="8">
        <f>IF(A138="","",IFERROR(VLOOKUP(B138,TblArticles,3,FALSE),""))</f>
        <v/>
      </c>
      <c r="E138" s="9">
        <f>IFERROR(DATE(2000+VALUE(MID(H138,FIND("15",H138,FIND("01",H138)+16)+2,2)),VALUE(MID(H138,FIND("15",H138,FIND("01",H138)+16)+4,2)),VALUE(MID(H138,FIND("15",H138,FIND("01",H138)+16)+6,2))),"")</f>
        <v/>
      </c>
      <c r="F138" s="8">
        <f>IFERROR(MID(H138,FIND("10",H138,FIND("15",H138,FIND("01",H138)+16)+8)+2,50),"")</f>
        <v/>
      </c>
      <c r="G138" s="8" t="n"/>
      <c r="H138" s="8">
        <f>SUBSTITUTE(SUBSTITUTE(SUBSTITUTE(SUBSTITUTE(A138,"(",""),")","")," ",""),CHAR(29),"")</f>
        <v/>
      </c>
    </row>
    <row r="139">
      <c r="A139" s="4" t="n"/>
      <c r="B139" s="5">
        <f>IFERROR(MID(H139,FIND("01",H139)+2,14),"")</f>
        <v/>
      </c>
      <c r="C139" s="4">
        <f>IF(A139="","",IFERROR(VLOOKUP(B139,TblArticles,2,FALSE),"GTIN inconnu"))</f>
        <v/>
      </c>
      <c r="D139" s="5">
        <f>IF(A139="","",IFERROR(VLOOKUP(B139,TblArticles,3,FALSE),""))</f>
        <v/>
      </c>
      <c r="E139" s="6">
        <f>IFERROR(DATE(2000+VALUE(MID(H139,FIND("15",H139,FIND("01",H139)+16)+2,2)),VALUE(MID(H139,FIND("15",H139,FIND("01",H139)+16)+4,2)),VALUE(MID(H139,FIND("15",H139,FIND("01",H139)+16)+6,2))),"")</f>
        <v/>
      </c>
      <c r="F139" s="5">
        <f>IFERROR(MID(H139,FIND("10",H139,FIND("15",H139,FIND("01",H139)+16)+8)+2,50),"")</f>
        <v/>
      </c>
      <c r="G139" s="5" t="n"/>
      <c r="H139" s="5">
        <f>SUBSTITUTE(SUBSTITUTE(SUBSTITUTE(SUBSTITUTE(A139,"(",""),")","")," ",""),CHAR(29),"")</f>
        <v/>
      </c>
    </row>
    <row r="140">
      <c r="A140" s="7" t="n"/>
      <c r="B140" s="8">
        <f>IFERROR(MID(H140,FIND("01",H140)+2,14),"")</f>
        <v/>
      </c>
      <c r="C140" s="7">
        <f>IF(A140="","",IFERROR(VLOOKUP(B140,TblArticles,2,FALSE),"GTIN inconnu"))</f>
        <v/>
      </c>
      <c r="D140" s="8">
        <f>IF(A140="","",IFERROR(VLOOKUP(B140,TblArticles,3,FALSE),""))</f>
        <v/>
      </c>
      <c r="E140" s="9">
        <f>IFERROR(DATE(2000+VALUE(MID(H140,FIND("15",H140,FIND("01",H140)+16)+2,2)),VALUE(MID(H140,FIND("15",H140,FIND("01",H140)+16)+4,2)),VALUE(MID(H140,FIND("15",H140,FIND("01",H140)+16)+6,2))),"")</f>
        <v/>
      </c>
      <c r="F140" s="8">
        <f>IFERROR(MID(H140,FIND("10",H140,FIND("15",H140,FIND("01",H140)+16)+8)+2,50),"")</f>
        <v/>
      </c>
      <c r="G140" s="8" t="n"/>
      <c r="H140" s="8">
        <f>SUBSTITUTE(SUBSTITUTE(SUBSTITUTE(SUBSTITUTE(A140,"(",""),")","")," ",""),CHAR(29),"")</f>
        <v/>
      </c>
    </row>
    <row r="141">
      <c r="A141" s="4" t="n"/>
      <c r="B141" s="5">
        <f>IFERROR(MID(H141,FIND("01",H141)+2,14),"")</f>
        <v/>
      </c>
      <c r="C141" s="4">
        <f>IF(A141="","",IFERROR(VLOOKUP(B141,TblArticles,2,FALSE),"GTIN inconnu"))</f>
        <v/>
      </c>
      <c r="D141" s="5">
        <f>IF(A141="","",IFERROR(VLOOKUP(B141,TblArticles,3,FALSE),""))</f>
        <v/>
      </c>
      <c r="E141" s="6">
        <f>IFERROR(DATE(2000+VALUE(MID(H141,FIND("15",H141,FIND("01",H141)+16)+2,2)),VALUE(MID(H141,FIND("15",H141,FIND("01",H141)+16)+4,2)),VALUE(MID(H141,FIND("15",H141,FIND("01",H141)+16)+6,2))),"")</f>
        <v/>
      </c>
      <c r="F141" s="5">
        <f>IFERROR(MID(H141,FIND("10",H141,FIND("15",H141,FIND("01",H141)+16)+8)+2,50),"")</f>
        <v/>
      </c>
      <c r="G141" s="5" t="n"/>
      <c r="H141" s="5">
        <f>SUBSTITUTE(SUBSTITUTE(SUBSTITUTE(SUBSTITUTE(A141,"(",""),")","")," ",""),CHAR(29),"")</f>
        <v/>
      </c>
    </row>
    <row r="142">
      <c r="A142" s="7" t="n"/>
      <c r="B142" s="8">
        <f>IFERROR(MID(H142,FIND("01",H142)+2,14),"")</f>
        <v/>
      </c>
      <c r="C142" s="7">
        <f>IF(A142="","",IFERROR(VLOOKUP(B142,TblArticles,2,FALSE),"GTIN inconnu"))</f>
        <v/>
      </c>
      <c r="D142" s="8">
        <f>IF(A142="","",IFERROR(VLOOKUP(B142,TblArticles,3,FALSE),""))</f>
        <v/>
      </c>
      <c r="E142" s="9">
        <f>IFERROR(DATE(2000+VALUE(MID(H142,FIND("15",H142,FIND("01",H142)+16)+2,2)),VALUE(MID(H142,FIND("15",H142,FIND("01",H142)+16)+4,2)),VALUE(MID(H142,FIND("15",H142,FIND("01",H142)+16)+6,2))),"")</f>
        <v/>
      </c>
      <c r="F142" s="8">
        <f>IFERROR(MID(H142,FIND("10",H142,FIND("15",H142,FIND("01",H142)+16)+8)+2,50),"")</f>
        <v/>
      </c>
      <c r="G142" s="8" t="n"/>
      <c r="H142" s="8">
        <f>SUBSTITUTE(SUBSTITUTE(SUBSTITUTE(SUBSTITUTE(A142,"(",""),")","")," ",""),CHAR(29),"")</f>
        <v/>
      </c>
    </row>
    <row r="143">
      <c r="A143" s="4" t="n"/>
      <c r="B143" s="5">
        <f>IFERROR(MID(H143,FIND("01",H143)+2,14),"")</f>
        <v/>
      </c>
      <c r="C143" s="4">
        <f>IF(A143="","",IFERROR(VLOOKUP(B143,TblArticles,2,FALSE),"GTIN inconnu"))</f>
        <v/>
      </c>
      <c r="D143" s="5">
        <f>IF(A143="","",IFERROR(VLOOKUP(B143,TblArticles,3,FALSE),""))</f>
        <v/>
      </c>
      <c r="E143" s="6">
        <f>IFERROR(DATE(2000+VALUE(MID(H143,FIND("15",H143,FIND("01",H143)+16)+2,2)),VALUE(MID(H143,FIND("15",H143,FIND("01",H143)+16)+4,2)),VALUE(MID(H143,FIND("15",H143,FIND("01",H143)+16)+6,2))),"")</f>
        <v/>
      </c>
      <c r="F143" s="5">
        <f>IFERROR(MID(H143,FIND("10",H143,FIND("15",H143,FIND("01",H143)+16)+8)+2,50),"")</f>
        <v/>
      </c>
      <c r="G143" s="5" t="n"/>
      <c r="H143" s="5">
        <f>SUBSTITUTE(SUBSTITUTE(SUBSTITUTE(SUBSTITUTE(A143,"(",""),")","")," ",""),CHAR(29),"")</f>
        <v/>
      </c>
    </row>
    <row r="144">
      <c r="A144" s="7" t="n"/>
      <c r="B144" s="8">
        <f>IFERROR(MID(H144,FIND("01",H144)+2,14),"")</f>
        <v/>
      </c>
      <c r="C144" s="7">
        <f>IF(A144="","",IFERROR(VLOOKUP(B144,TblArticles,2,FALSE),"GTIN inconnu"))</f>
        <v/>
      </c>
      <c r="D144" s="8">
        <f>IF(A144="","",IFERROR(VLOOKUP(B144,TblArticles,3,FALSE),""))</f>
        <v/>
      </c>
      <c r="E144" s="9">
        <f>IFERROR(DATE(2000+VALUE(MID(H144,FIND("15",H144,FIND("01",H144)+16)+2,2)),VALUE(MID(H144,FIND("15",H144,FIND("01",H144)+16)+4,2)),VALUE(MID(H144,FIND("15",H144,FIND("01",H144)+16)+6,2))),"")</f>
        <v/>
      </c>
      <c r="F144" s="8">
        <f>IFERROR(MID(H144,FIND("10",H144,FIND("15",H144,FIND("01",H144)+16)+8)+2,50),"")</f>
        <v/>
      </c>
      <c r="G144" s="8" t="n"/>
      <c r="H144" s="8">
        <f>SUBSTITUTE(SUBSTITUTE(SUBSTITUTE(SUBSTITUTE(A144,"(",""),")","")," ",""),CHAR(29),"")</f>
        <v/>
      </c>
    </row>
    <row r="145">
      <c r="A145" s="4" t="n"/>
      <c r="B145" s="5">
        <f>IFERROR(MID(H145,FIND("01",H145)+2,14),"")</f>
        <v/>
      </c>
      <c r="C145" s="4">
        <f>IF(A145="","",IFERROR(VLOOKUP(B145,TblArticles,2,FALSE),"GTIN inconnu"))</f>
        <v/>
      </c>
      <c r="D145" s="5">
        <f>IF(A145="","",IFERROR(VLOOKUP(B145,TblArticles,3,FALSE),""))</f>
        <v/>
      </c>
      <c r="E145" s="6">
        <f>IFERROR(DATE(2000+VALUE(MID(H145,FIND("15",H145,FIND("01",H145)+16)+2,2)),VALUE(MID(H145,FIND("15",H145,FIND("01",H145)+16)+4,2)),VALUE(MID(H145,FIND("15",H145,FIND("01",H145)+16)+6,2))),"")</f>
        <v/>
      </c>
      <c r="F145" s="5">
        <f>IFERROR(MID(H145,FIND("10",H145,FIND("15",H145,FIND("01",H145)+16)+8)+2,50),"")</f>
        <v/>
      </c>
      <c r="G145" s="5" t="n"/>
      <c r="H145" s="5">
        <f>SUBSTITUTE(SUBSTITUTE(SUBSTITUTE(SUBSTITUTE(A145,"(",""),")","")," ",""),CHAR(29),"")</f>
        <v/>
      </c>
    </row>
    <row r="146">
      <c r="A146" s="7" t="n"/>
      <c r="B146" s="8">
        <f>IFERROR(MID(H146,FIND("01",H146)+2,14),"")</f>
        <v/>
      </c>
      <c r="C146" s="7">
        <f>IF(A146="","",IFERROR(VLOOKUP(B146,TblArticles,2,FALSE),"GTIN inconnu"))</f>
        <v/>
      </c>
      <c r="D146" s="8">
        <f>IF(A146="","",IFERROR(VLOOKUP(B146,TblArticles,3,FALSE),""))</f>
        <v/>
      </c>
      <c r="E146" s="9">
        <f>IFERROR(DATE(2000+VALUE(MID(H146,FIND("15",H146,FIND("01",H146)+16)+2,2)),VALUE(MID(H146,FIND("15",H146,FIND("01",H146)+16)+4,2)),VALUE(MID(H146,FIND("15",H146,FIND("01",H146)+16)+6,2))),"")</f>
        <v/>
      </c>
      <c r="F146" s="8">
        <f>IFERROR(MID(H146,FIND("10",H146,FIND("15",H146,FIND("01",H146)+16)+8)+2,50),"")</f>
        <v/>
      </c>
      <c r="G146" s="8" t="n"/>
      <c r="H146" s="8">
        <f>SUBSTITUTE(SUBSTITUTE(SUBSTITUTE(SUBSTITUTE(A146,"(",""),")","")," ",""),CHAR(29),"")</f>
        <v/>
      </c>
    </row>
    <row r="147">
      <c r="A147" s="4" t="n"/>
      <c r="B147" s="5">
        <f>IFERROR(MID(H147,FIND("01",H147)+2,14),"")</f>
        <v/>
      </c>
      <c r="C147" s="4">
        <f>IF(A147="","",IFERROR(VLOOKUP(B147,TblArticles,2,FALSE),"GTIN inconnu"))</f>
        <v/>
      </c>
      <c r="D147" s="5">
        <f>IF(A147="","",IFERROR(VLOOKUP(B147,TblArticles,3,FALSE),""))</f>
        <v/>
      </c>
      <c r="E147" s="6">
        <f>IFERROR(DATE(2000+VALUE(MID(H147,FIND("15",H147,FIND("01",H147)+16)+2,2)),VALUE(MID(H147,FIND("15",H147,FIND("01",H147)+16)+4,2)),VALUE(MID(H147,FIND("15",H147,FIND("01",H147)+16)+6,2))),"")</f>
        <v/>
      </c>
      <c r="F147" s="5">
        <f>IFERROR(MID(H147,FIND("10",H147,FIND("15",H147,FIND("01",H147)+16)+8)+2,50),"")</f>
        <v/>
      </c>
      <c r="G147" s="5" t="n"/>
      <c r="H147" s="5">
        <f>SUBSTITUTE(SUBSTITUTE(SUBSTITUTE(SUBSTITUTE(A147,"(",""),")","")," ",""),CHAR(29),"")</f>
        <v/>
      </c>
    </row>
    <row r="148">
      <c r="A148" s="7" t="n"/>
      <c r="B148" s="8">
        <f>IFERROR(MID(H148,FIND("01",H148)+2,14),"")</f>
        <v/>
      </c>
      <c r="C148" s="7">
        <f>IF(A148="","",IFERROR(VLOOKUP(B148,TblArticles,2,FALSE),"GTIN inconnu"))</f>
        <v/>
      </c>
      <c r="D148" s="8">
        <f>IF(A148="","",IFERROR(VLOOKUP(B148,TblArticles,3,FALSE),""))</f>
        <v/>
      </c>
      <c r="E148" s="9">
        <f>IFERROR(DATE(2000+VALUE(MID(H148,FIND("15",H148,FIND("01",H148)+16)+2,2)),VALUE(MID(H148,FIND("15",H148,FIND("01",H148)+16)+4,2)),VALUE(MID(H148,FIND("15",H148,FIND("01",H148)+16)+6,2))),"")</f>
        <v/>
      </c>
      <c r="F148" s="8">
        <f>IFERROR(MID(H148,FIND("10",H148,FIND("15",H148,FIND("01",H148)+16)+8)+2,50),"")</f>
        <v/>
      </c>
      <c r="G148" s="8" t="n"/>
      <c r="H148" s="8">
        <f>SUBSTITUTE(SUBSTITUTE(SUBSTITUTE(SUBSTITUTE(A148,"(",""),")","")," ",""),CHAR(29),"")</f>
        <v/>
      </c>
    </row>
    <row r="149">
      <c r="A149" s="4" t="n"/>
      <c r="B149" s="5">
        <f>IFERROR(MID(H149,FIND("01",H149)+2,14),"")</f>
        <v/>
      </c>
      <c r="C149" s="4">
        <f>IF(A149="","",IFERROR(VLOOKUP(B149,TblArticles,2,FALSE),"GTIN inconnu"))</f>
        <v/>
      </c>
      <c r="D149" s="5">
        <f>IF(A149="","",IFERROR(VLOOKUP(B149,TblArticles,3,FALSE),""))</f>
        <v/>
      </c>
      <c r="E149" s="6">
        <f>IFERROR(DATE(2000+VALUE(MID(H149,FIND("15",H149,FIND("01",H149)+16)+2,2)),VALUE(MID(H149,FIND("15",H149,FIND("01",H149)+16)+4,2)),VALUE(MID(H149,FIND("15",H149,FIND("01",H149)+16)+6,2))),"")</f>
        <v/>
      </c>
      <c r="F149" s="5">
        <f>IFERROR(MID(H149,FIND("10",H149,FIND("15",H149,FIND("01",H149)+16)+8)+2,50),"")</f>
        <v/>
      </c>
      <c r="G149" s="5" t="n"/>
      <c r="H149" s="5">
        <f>SUBSTITUTE(SUBSTITUTE(SUBSTITUTE(SUBSTITUTE(A149,"(",""),")","")," ",""),CHAR(29),"")</f>
        <v/>
      </c>
    </row>
    <row r="150">
      <c r="A150" s="7" t="n"/>
      <c r="B150" s="8">
        <f>IFERROR(MID(H150,FIND("01",H150)+2,14),"")</f>
        <v/>
      </c>
      <c r="C150" s="7">
        <f>IF(A150="","",IFERROR(VLOOKUP(B150,TblArticles,2,FALSE),"GTIN inconnu"))</f>
        <v/>
      </c>
      <c r="D150" s="8">
        <f>IF(A150="","",IFERROR(VLOOKUP(B150,TblArticles,3,FALSE),""))</f>
        <v/>
      </c>
      <c r="E150" s="9">
        <f>IFERROR(DATE(2000+VALUE(MID(H150,FIND("15",H150,FIND("01",H150)+16)+2,2)),VALUE(MID(H150,FIND("15",H150,FIND("01",H150)+16)+4,2)),VALUE(MID(H150,FIND("15",H150,FIND("01",H150)+16)+6,2))),"")</f>
        <v/>
      </c>
      <c r="F150" s="8">
        <f>IFERROR(MID(H150,FIND("10",H150,FIND("15",H150,FIND("01",H150)+16)+8)+2,50),"")</f>
        <v/>
      </c>
      <c r="G150" s="8" t="n"/>
      <c r="H150" s="8">
        <f>SUBSTITUTE(SUBSTITUTE(SUBSTITUTE(SUBSTITUTE(A150,"(",""),")","")," ",""),CHAR(29),"")</f>
        <v/>
      </c>
    </row>
    <row r="151">
      <c r="A151" s="4" t="n"/>
      <c r="B151" s="5">
        <f>IFERROR(MID(H151,FIND("01",H151)+2,14),"")</f>
        <v/>
      </c>
      <c r="C151" s="4">
        <f>IF(A151="","",IFERROR(VLOOKUP(B151,TblArticles,2,FALSE),"GTIN inconnu"))</f>
        <v/>
      </c>
      <c r="D151" s="5">
        <f>IF(A151="","",IFERROR(VLOOKUP(B151,TblArticles,3,FALSE),""))</f>
        <v/>
      </c>
      <c r="E151" s="6">
        <f>IFERROR(DATE(2000+VALUE(MID(H151,FIND("15",H151,FIND("01",H151)+16)+2,2)),VALUE(MID(H151,FIND("15",H151,FIND("01",H151)+16)+4,2)),VALUE(MID(H151,FIND("15",H151,FIND("01",H151)+16)+6,2))),"")</f>
        <v/>
      </c>
      <c r="F151" s="5">
        <f>IFERROR(MID(H151,FIND("10",H151,FIND("15",H151,FIND("01",H151)+16)+8)+2,50),"")</f>
        <v/>
      </c>
      <c r="G151" s="5" t="n"/>
      <c r="H151" s="5">
        <f>SUBSTITUTE(SUBSTITUTE(SUBSTITUTE(SUBSTITUTE(A151,"(",""),")","")," ",""),CHAR(29),"")</f>
        <v/>
      </c>
    </row>
    <row r="152">
      <c r="A152" s="7" t="n"/>
      <c r="B152" s="8">
        <f>IFERROR(MID(H152,FIND("01",H152)+2,14),"")</f>
        <v/>
      </c>
      <c r="C152" s="7">
        <f>IF(A152="","",IFERROR(VLOOKUP(B152,TblArticles,2,FALSE),"GTIN inconnu"))</f>
        <v/>
      </c>
      <c r="D152" s="8">
        <f>IF(A152="","",IFERROR(VLOOKUP(B152,TblArticles,3,FALSE),""))</f>
        <v/>
      </c>
      <c r="E152" s="9">
        <f>IFERROR(DATE(2000+VALUE(MID(H152,FIND("15",H152,FIND("01",H152)+16)+2,2)),VALUE(MID(H152,FIND("15",H152,FIND("01",H152)+16)+4,2)),VALUE(MID(H152,FIND("15",H152,FIND("01",H152)+16)+6,2))),"")</f>
        <v/>
      </c>
      <c r="F152" s="8">
        <f>IFERROR(MID(H152,FIND("10",H152,FIND("15",H152,FIND("01",H152)+16)+8)+2,50),"")</f>
        <v/>
      </c>
      <c r="G152" s="8" t="n"/>
      <c r="H152" s="8">
        <f>SUBSTITUTE(SUBSTITUTE(SUBSTITUTE(SUBSTITUTE(A152,"(",""),")","")," ",""),CHAR(29),"")</f>
        <v/>
      </c>
    </row>
    <row r="153">
      <c r="A153" s="4" t="n"/>
      <c r="B153" s="5">
        <f>IFERROR(MID(H153,FIND("01",H153)+2,14),"")</f>
        <v/>
      </c>
      <c r="C153" s="4">
        <f>IF(A153="","",IFERROR(VLOOKUP(B153,TblArticles,2,FALSE),"GTIN inconnu"))</f>
        <v/>
      </c>
      <c r="D153" s="5">
        <f>IF(A153="","",IFERROR(VLOOKUP(B153,TblArticles,3,FALSE),""))</f>
        <v/>
      </c>
      <c r="E153" s="6">
        <f>IFERROR(DATE(2000+VALUE(MID(H153,FIND("15",H153,FIND("01",H153)+16)+2,2)),VALUE(MID(H153,FIND("15",H153,FIND("01",H153)+16)+4,2)),VALUE(MID(H153,FIND("15",H153,FIND("01",H153)+16)+6,2))),"")</f>
        <v/>
      </c>
      <c r="F153" s="5">
        <f>IFERROR(MID(H153,FIND("10",H153,FIND("15",H153,FIND("01",H153)+16)+8)+2,50),"")</f>
        <v/>
      </c>
      <c r="G153" s="5" t="n"/>
      <c r="H153" s="5">
        <f>SUBSTITUTE(SUBSTITUTE(SUBSTITUTE(SUBSTITUTE(A153,"(",""),")","")," ",""),CHAR(29),"")</f>
        <v/>
      </c>
    </row>
    <row r="154">
      <c r="A154" s="7" t="n"/>
      <c r="B154" s="8">
        <f>IFERROR(MID(H154,FIND("01",H154)+2,14),"")</f>
        <v/>
      </c>
      <c r="C154" s="7">
        <f>IF(A154="","",IFERROR(VLOOKUP(B154,TblArticles,2,FALSE),"GTIN inconnu"))</f>
        <v/>
      </c>
      <c r="D154" s="8">
        <f>IF(A154="","",IFERROR(VLOOKUP(B154,TblArticles,3,FALSE),""))</f>
        <v/>
      </c>
      <c r="E154" s="9">
        <f>IFERROR(DATE(2000+VALUE(MID(H154,FIND("15",H154,FIND("01",H154)+16)+2,2)),VALUE(MID(H154,FIND("15",H154,FIND("01",H154)+16)+4,2)),VALUE(MID(H154,FIND("15",H154,FIND("01",H154)+16)+6,2))),"")</f>
        <v/>
      </c>
      <c r="F154" s="8">
        <f>IFERROR(MID(H154,FIND("10",H154,FIND("15",H154,FIND("01",H154)+16)+8)+2,50),"")</f>
        <v/>
      </c>
      <c r="G154" s="8" t="n"/>
      <c r="H154" s="8">
        <f>SUBSTITUTE(SUBSTITUTE(SUBSTITUTE(SUBSTITUTE(A154,"(",""),")","")," ",""),CHAR(29),"")</f>
        <v/>
      </c>
    </row>
    <row r="155">
      <c r="A155" s="4" t="n"/>
      <c r="B155" s="5">
        <f>IFERROR(MID(H155,FIND("01",H155)+2,14),"")</f>
        <v/>
      </c>
      <c r="C155" s="4">
        <f>IF(A155="","",IFERROR(VLOOKUP(B155,TblArticles,2,FALSE),"GTIN inconnu"))</f>
        <v/>
      </c>
      <c r="D155" s="5">
        <f>IF(A155="","",IFERROR(VLOOKUP(B155,TblArticles,3,FALSE),""))</f>
        <v/>
      </c>
      <c r="E155" s="6">
        <f>IFERROR(DATE(2000+VALUE(MID(H155,FIND("15",H155,FIND("01",H155)+16)+2,2)),VALUE(MID(H155,FIND("15",H155,FIND("01",H155)+16)+4,2)),VALUE(MID(H155,FIND("15",H155,FIND("01",H155)+16)+6,2))),"")</f>
        <v/>
      </c>
      <c r="F155" s="5">
        <f>IFERROR(MID(H155,FIND("10",H155,FIND("15",H155,FIND("01",H155)+16)+8)+2,50),"")</f>
        <v/>
      </c>
      <c r="G155" s="5" t="n"/>
      <c r="H155" s="5">
        <f>SUBSTITUTE(SUBSTITUTE(SUBSTITUTE(SUBSTITUTE(A155,"(",""),")","")," ",""),CHAR(29),"")</f>
        <v/>
      </c>
    </row>
    <row r="156">
      <c r="A156" s="7" t="n"/>
      <c r="B156" s="8">
        <f>IFERROR(MID(H156,FIND("01",H156)+2,14),"")</f>
        <v/>
      </c>
      <c r="C156" s="7">
        <f>IF(A156="","",IFERROR(VLOOKUP(B156,TblArticles,2,FALSE),"GTIN inconnu"))</f>
        <v/>
      </c>
      <c r="D156" s="8">
        <f>IF(A156="","",IFERROR(VLOOKUP(B156,TblArticles,3,FALSE),""))</f>
        <v/>
      </c>
      <c r="E156" s="9">
        <f>IFERROR(DATE(2000+VALUE(MID(H156,FIND("15",H156,FIND("01",H156)+16)+2,2)),VALUE(MID(H156,FIND("15",H156,FIND("01",H156)+16)+4,2)),VALUE(MID(H156,FIND("15",H156,FIND("01",H156)+16)+6,2))),"")</f>
        <v/>
      </c>
      <c r="F156" s="8">
        <f>IFERROR(MID(H156,FIND("10",H156,FIND("15",H156,FIND("01",H156)+16)+8)+2,50),"")</f>
        <v/>
      </c>
      <c r="G156" s="8" t="n"/>
      <c r="H156" s="8">
        <f>SUBSTITUTE(SUBSTITUTE(SUBSTITUTE(SUBSTITUTE(A156,"(",""),")","")," ",""),CHAR(29),"")</f>
        <v/>
      </c>
    </row>
    <row r="157">
      <c r="A157" s="4" t="n"/>
      <c r="B157" s="5">
        <f>IFERROR(MID(H157,FIND("01",H157)+2,14),"")</f>
        <v/>
      </c>
      <c r="C157" s="4">
        <f>IF(A157="","",IFERROR(VLOOKUP(B157,TblArticles,2,FALSE),"GTIN inconnu"))</f>
        <v/>
      </c>
      <c r="D157" s="5">
        <f>IF(A157="","",IFERROR(VLOOKUP(B157,TblArticles,3,FALSE),""))</f>
        <v/>
      </c>
      <c r="E157" s="6">
        <f>IFERROR(DATE(2000+VALUE(MID(H157,FIND("15",H157,FIND("01",H157)+16)+2,2)),VALUE(MID(H157,FIND("15",H157,FIND("01",H157)+16)+4,2)),VALUE(MID(H157,FIND("15",H157,FIND("01",H157)+16)+6,2))),"")</f>
        <v/>
      </c>
      <c r="F157" s="5">
        <f>IFERROR(MID(H157,FIND("10",H157,FIND("15",H157,FIND("01",H157)+16)+8)+2,50),"")</f>
        <v/>
      </c>
      <c r="G157" s="5" t="n"/>
      <c r="H157" s="5">
        <f>SUBSTITUTE(SUBSTITUTE(SUBSTITUTE(SUBSTITUTE(A157,"(",""),")","")," ",""),CHAR(29),"")</f>
        <v/>
      </c>
    </row>
    <row r="158">
      <c r="A158" s="7" t="n"/>
      <c r="B158" s="8">
        <f>IFERROR(MID(H158,FIND("01",H158)+2,14),"")</f>
        <v/>
      </c>
      <c r="C158" s="7">
        <f>IF(A158="","",IFERROR(VLOOKUP(B158,TblArticles,2,FALSE),"GTIN inconnu"))</f>
        <v/>
      </c>
      <c r="D158" s="8">
        <f>IF(A158="","",IFERROR(VLOOKUP(B158,TblArticles,3,FALSE),""))</f>
        <v/>
      </c>
      <c r="E158" s="9">
        <f>IFERROR(DATE(2000+VALUE(MID(H158,FIND("15",H158,FIND("01",H158)+16)+2,2)),VALUE(MID(H158,FIND("15",H158,FIND("01",H158)+16)+4,2)),VALUE(MID(H158,FIND("15",H158,FIND("01",H158)+16)+6,2))),"")</f>
        <v/>
      </c>
      <c r="F158" s="8">
        <f>IFERROR(MID(H158,FIND("10",H158,FIND("15",H158,FIND("01",H158)+16)+8)+2,50),"")</f>
        <v/>
      </c>
      <c r="G158" s="8" t="n"/>
      <c r="H158" s="8">
        <f>SUBSTITUTE(SUBSTITUTE(SUBSTITUTE(SUBSTITUTE(A158,"(",""),")","")," ",""),CHAR(29),"")</f>
        <v/>
      </c>
    </row>
    <row r="159">
      <c r="A159" s="4" t="n"/>
      <c r="B159" s="5">
        <f>IFERROR(MID(H159,FIND("01",H159)+2,14),"")</f>
        <v/>
      </c>
      <c r="C159" s="4">
        <f>IF(A159="","",IFERROR(VLOOKUP(B159,TblArticles,2,FALSE),"GTIN inconnu"))</f>
        <v/>
      </c>
      <c r="D159" s="5">
        <f>IF(A159="","",IFERROR(VLOOKUP(B159,TblArticles,3,FALSE),""))</f>
        <v/>
      </c>
      <c r="E159" s="6">
        <f>IFERROR(DATE(2000+VALUE(MID(H159,FIND("15",H159,FIND("01",H159)+16)+2,2)),VALUE(MID(H159,FIND("15",H159,FIND("01",H159)+16)+4,2)),VALUE(MID(H159,FIND("15",H159,FIND("01",H159)+16)+6,2))),"")</f>
        <v/>
      </c>
      <c r="F159" s="5">
        <f>IFERROR(MID(H159,FIND("10",H159,FIND("15",H159,FIND("01",H159)+16)+8)+2,50),"")</f>
        <v/>
      </c>
      <c r="G159" s="5" t="n"/>
      <c r="H159" s="5">
        <f>SUBSTITUTE(SUBSTITUTE(SUBSTITUTE(SUBSTITUTE(A159,"(",""),")","")," ",""),CHAR(29),"")</f>
        <v/>
      </c>
    </row>
    <row r="160">
      <c r="A160" s="7" t="n"/>
      <c r="B160" s="8">
        <f>IFERROR(MID(H160,FIND("01",H160)+2,14),"")</f>
        <v/>
      </c>
      <c r="C160" s="7">
        <f>IF(A160="","",IFERROR(VLOOKUP(B160,TblArticles,2,FALSE),"GTIN inconnu"))</f>
        <v/>
      </c>
      <c r="D160" s="8">
        <f>IF(A160="","",IFERROR(VLOOKUP(B160,TblArticles,3,FALSE),""))</f>
        <v/>
      </c>
      <c r="E160" s="9">
        <f>IFERROR(DATE(2000+VALUE(MID(H160,FIND("15",H160,FIND("01",H160)+16)+2,2)),VALUE(MID(H160,FIND("15",H160,FIND("01",H160)+16)+4,2)),VALUE(MID(H160,FIND("15",H160,FIND("01",H160)+16)+6,2))),"")</f>
        <v/>
      </c>
      <c r="F160" s="8">
        <f>IFERROR(MID(H160,FIND("10",H160,FIND("15",H160,FIND("01",H160)+16)+8)+2,50),"")</f>
        <v/>
      </c>
      <c r="G160" s="8" t="n"/>
      <c r="H160" s="8">
        <f>SUBSTITUTE(SUBSTITUTE(SUBSTITUTE(SUBSTITUTE(A160,"(",""),")","")," ",""),CHAR(29),"")</f>
        <v/>
      </c>
    </row>
    <row r="161">
      <c r="A161" s="4" t="n"/>
      <c r="B161" s="5">
        <f>IFERROR(MID(H161,FIND("01",H161)+2,14),"")</f>
        <v/>
      </c>
      <c r="C161" s="4">
        <f>IF(A161="","",IFERROR(VLOOKUP(B161,TblArticles,2,FALSE),"GTIN inconnu"))</f>
        <v/>
      </c>
      <c r="D161" s="5">
        <f>IF(A161="","",IFERROR(VLOOKUP(B161,TblArticles,3,FALSE),""))</f>
        <v/>
      </c>
      <c r="E161" s="6">
        <f>IFERROR(DATE(2000+VALUE(MID(H161,FIND("15",H161,FIND("01",H161)+16)+2,2)),VALUE(MID(H161,FIND("15",H161,FIND("01",H161)+16)+4,2)),VALUE(MID(H161,FIND("15",H161,FIND("01",H161)+16)+6,2))),"")</f>
        <v/>
      </c>
      <c r="F161" s="5">
        <f>IFERROR(MID(H161,FIND("10",H161,FIND("15",H161,FIND("01",H161)+16)+8)+2,50),"")</f>
        <v/>
      </c>
      <c r="G161" s="5" t="n"/>
      <c r="H161" s="5">
        <f>SUBSTITUTE(SUBSTITUTE(SUBSTITUTE(SUBSTITUTE(A161,"(",""),")","")," ",""),CHAR(29),"")</f>
        <v/>
      </c>
    </row>
    <row r="162">
      <c r="A162" s="7" t="n"/>
      <c r="B162" s="8">
        <f>IFERROR(MID(H162,FIND("01",H162)+2,14),"")</f>
        <v/>
      </c>
      <c r="C162" s="7">
        <f>IF(A162="","",IFERROR(VLOOKUP(B162,TblArticles,2,FALSE),"GTIN inconnu"))</f>
        <v/>
      </c>
      <c r="D162" s="8">
        <f>IF(A162="","",IFERROR(VLOOKUP(B162,TblArticles,3,FALSE),""))</f>
        <v/>
      </c>
      <c r="E162" s="9">
        <f>IFERROR(DATE(2000+VALUE(MID(H162,FIND("15",H162,FIND("01",H162)+16)+2,2)),VALUE(MID(H162,FIND("15",H162,FIND("01",H162)+16)+4,2)),VALUE(MID(H162,FIND("15",H162,FIND("01",H162)+16)+6,2))),"")</f>
        <v/>
      </c>
      <c r="F162" s="8">
        <f>IFERROR(MID(H162,FIND("10",H162,FIND("15",H162,FIND("01",H162)+16)+8)+2,50),"")</f>
        <v/>
      </c>
      <c r="G162" s="8" t="n"/>
      <c r="H162" s="8">
        <f>SUBSTITUTE(SUBSTITUTE(SUBSTITUTE(SUBSTITUTE(A162,"(",""),")","")," ",""),CHAR(29),"")</f>
        <v/>
      </c>
    </row>
    <row r="163">
      <c r="A163" s="4" t="n"/>
      <c r="B163" s="5">
        <f>IFERROR(MID(H163,FIND("01",H163)+2,14),"")</f>
        <v/>
      </c>
      <c r="C163" s="4">
        <f>IF(A163="","",IFERROR(VLOOKUP(B163,TblArticles,2,FALSE),"GTIN inconnu"))</f>
        <v/>
      </c>
      <c r="D163" s="5">
        <f>IF(A163="","",IFERROR(VLOOKUP(B163,TblArticles,3,FALSE),""))</f>
        <v/>
      </c>
      <c r="E163" s="6">
        <f>IFERROR(DATE(2000+VALUE(MID(H163,FIND("15",H163,FIND("01",H163)+16)+2,2)),VALUE(MID(H163,FIND("15",H163,FIND("01",H163)+16)+4,2)),VALUE(MID(H163,FIND("15",H163,FIND("01",H163)+16)+6,2))),"")</f>
        <v/>
      </c>
      <c r="F163" s="5">
        <f>IFERROR(MID(H163,FIND("10",H163,FIND("15",H163,FIND("01",H163)+16)+8)+2,50),"")</f>
        <v/>
      </c>
      <c r="G163" s="5" t="n"/>
      <c r="H163" s="5">
        <f>SUBSTITUTE(SUBSTITUTE(SUBSTITUTE(SUBSTITUTE(A163,"(",""),")","")," ",""),CHAR(29),"")</f>
        <v/>
      </c>
    </row>
    <row r="164">
      <c r="A164" s="7" t="n"/>
      <c r="B164" s="8">
        <f>IFERROR(MID(H164,FIND("01",H164)+2,14),"")</f>
        <v/>
      </c>
      <c r="C164" s="7">
        <f>IF(A164="","",IFERROR(VLOOKUP(B164,TblArticles,2,FALSE),"GTIN inconnu"))</f>
        <v/>
      </c>
      <c r="D164" s="8">
        <f>IF(A164="","",IFERROR(VLOOKUP(B164,TblArticles,3,FALSE),""))</f>
        <v/>
      </c>
      <c r="E164" s="9">
        <f>IFERROR(DATE(2000+VALUE(MID(H164,FIND("15",H164,FIND("01",H164)+16)+2,2)),VALUE(MID(H164,FIND("15",H164,FIND("01",H164)+16)+4,2)),VALUE(MID(H164,FIND("15",H164,FIND("01",H164)+16)+6,2))),"")</f>
        <v/>
      </c>
      <c r="F164" s="8">
        <f>IFERROR(MID(H164,FIND("10",H164,FIND("15",H164,FIND("01",H164)+16)+8)+2,50),"")</f>
        <v/>
      </c>
      <c r="G164" s="8" t="n"/>
      <c r="H164" s="8">
        <f>SUBSTITUTE(SUBSTITUTE(SUBSTITUTE(SUBSTITUTE(A164,"(",""),")","")," ",""),CHAR(29),"")</f>
        <v/>
      </c>
    </row>
    <row r="165">
      <c r="A165" s="4" t="n"/>
      <c r="B165" s="5">
        <f>IFERROR(MID(H165,FIND("01",H165)+2,14),"")</f>
        <v/>
      </c>
      <c r="C165" s="4">
        <f>IF(A165="","",IFERROR(VLOOKUP(B165,TblArticles,2,FALSE),"GTIN inconnu"))</f>
        <v/>
      </c>
      <c r="D165" s="5">
        <f>IF(A165="","",IFERROR(VLOOKUP(B165,TblArticles,3,FALSE),""))</f>
        <v/>
      </c>
      <c r="E165" s="6">
        <f>IFERROR(DATE(2000+VALUE(MID(H165,FIND("15",H165,FIND("01",H165)+16)+2,2)),VALUE(MID(H165,FIND("15",H165,FIND("01",H165)+16)+4,2)),VALUE(MID(H165,FIND("15",H165,FIND("01",H165)+16)+6,2))),"")</f>
        <v/>
      </c>
      <c r="F165" s="5">
        <f>IFERROR(MID(H165,FIND("10",H165,FIND("15",H165,FIND("01",H165)+16)+8)+2,50),"")</f>
        <v/>
      </c>
      <c r="G165" s="5" t="n"/>
      <c r="H165" s="5">
        <f>SUBSTITUTE(SUBSTITUTE(SUBSTITUTE(SUBSTITUTE(A165,"(",""),")","")," ",""),CHAR(29),"")</f>
        <v/>
      </c>
    </row>
    <row r="166">
      <c r="A166" s="7" t="n"/>
      <c r="B166" s="8">
        <f>IFERROR(MID(H166,FIND("01",H166)+2,14),"")</f>
        <v/>
      </c>
      <c r="C166" s="7">
        <f>IF(A166="","",IFERROR(VLOOKUP(B166,TblArticles,2,FALSE),"GTIN inconnu"))</f>
        <v/>
      </c>
      <c r="D166" s="8">
        <f>IF(A166="","",IFERROR(VLOOKUP(B166,TblArticles,3,FALSE),""))</f>
        <v/>
      </c>
      <c r="E166" s="9">
        <f>IFERROR(DATE(2000+VALUE(MID(H166,FIND("15",H166,FIND("01",H166)+16)+2,2)),VALUE(MID(H166,FIND("15",H166,FIND("01",H166)+16)+4,2)),VALUE(MID(H166,FIND("15",H166,FIND("01",H166)+16)+6,2))),"")</f>
        <v/>
      </c>
      <c r="F166" s="8">
        <f>IFERROR(MID(H166,FIND("10",H166,FIND("15",H166,FIND("01",H166)+16)+8)+2,50),"")</f>
        <v/>
      </c>
      <c r="G166" s="8" t="n"/>
      <c r="H166" s="8">
        <f>SUBSTITUTE(SUBSTITUTE(SUBSTITUTE(SUBSTITUTE(A166,"(",""),")","")," ",""),CHAR(29),"")</f>
        <v/>
      </c>
    </row>
    <row r="167">
      <c r="A167" s="4" t="n"/>
      <c r="B167" s="5">
        <f>IFERROR(MID(H167,FIND("01",H167)+2,14),"")</f>
        <v/>
      </c>
      <c r="C167" s="4">
        <f>IF(A167="","",IFERROR(VLOOKUP(B167,TblArticles,2,FALSE),"GTIN inconnu"))</f>
        <v/>
      </c>
      <c r="D167" s="5">
        <f>IF(A167="","",IFERROR(VLOOKUP(B167,TblArticles,3,FALSE),""))</f>
        <v/>
      </c>
      <c r="E167" s="6">
        <f>IFERROR(DATE(2000+VALUE(MID(H167,FIND("15",H167,FIND("01",H167)+16)+2,2)),VALUE(MID(H167,FIND("15",H167,FIND("01",H167)+16)+4,2)),VALUE(MID(H167,FIND("15",H167,FIND("01",H167)+16)+6,2))),"")</f>
        <v/>
      </c>
      <c r="F167" s="5">
        <f>IFERROR(MID(H167,FIND("10",H167,FIND("15",H167,FIND("01",H167)+16)+8)+2,50),"")</f>
        <v/>
      </c>
      <c r="G167" s="5" t="n"/>
      <c r="H167" s="5">
        <f>SUBSTITUTE(SUBSTITUTE(SUBSTITUTE(SUBSTITUTE(A167,"(",""),")","")," ",""),CHAR(29),"")</f>
        <v/>
      </c>
    </row>
    <row r="168">
      <c r="A168" s="7" t="n"/>
      <c r="B168" s="8">
        <f>IFERROR(MID(H168,FIND("01",H168)+2,14),"")</f>
        <v/>
      </c>
      <c r="C168" s="7">
        <f>IF(A168="","",IFERROR(VLOOKUP(B168,TblArticles,2,FALSE),"GTIN inconnu"))</f>
        <v/>
      </c>
      <c r="D168" s="8">
        <f>IF(A168="","",IFERROR(VLOOKUP(B168,TblArticles,3,FALSE),""))</f>
        <v/>
      </c>
      <c r="E168" s="9">
        <f>IFERROR(DATE(2000+VALUE(MID(H168,FIND("15",H168,FIND("01",H168)+16)+2,2)),VALUE(MID(H168,FIND("15",H168,FIND("01",H168)+16)+4,2)),VALUE(MID(H168,FIND("15",H168,FIND("01",H168)+16)+6,2))),"")</f>
        <v/>
      </c>
      <c r="F168" s="8">
        <f>IFERROR(MID(H168,FIND("10",H168,FIND("15",H168,FIND("01",H168)+16)+8)+2,50),"")</f>
        <v/>
      </c>
      <c r="G168" s="8" t="n"/>
      <c r="H168" s="8">
        <f>SUBSTITUTE(SUBSTITUTE(SUBSTITUTE(SUBSTITUTE(A168,"(",""),")","")," ",""),CHAR(29),"")</f>
        <v/>
      </c>
    </row>
    <row r="169">
      <c r="A169" s="4" t="n"/>
      <c r="B169" s="5">
        <f>IFERROR(MID(H169,FIND("01",H169)+2,14),"")</f>
        <v/>
      </c>
      <c r="C169" s="4">
        <f>IF(A169="","",IFERROR(VLOOKUP(B169,TblArticles,2,FALSE),"GTIN inconnu"))</f>
        <v/>
      </c>
      <c r="D169" s="5">
        <f>IF(A169="","",IFERROR(VLOOKUP(B169,TblArticles,3,FALSE),""))</f>
        <v/>
      </c>
      <c r="E169" s="6">
        <f>IFERROR(DATE(2000+VALUE(MID(H169,FIND("15",H169,FIND("01",H169)+16)+2,2)),VALUE(MID(H169,FIND("15",H169,FIND("01",H169)+16)+4,2)),VALUE(MID(H169,FIND("15",H169,FIND("01",H169)+16)+6,2))),"")</f>
        <v/>
      </c>
      <c r="F169" s="5">
        <f>IFERROR(MID(H169,FIND("10",H169,FIND("15",H169,FIND("01",H169)+16)+8)+2,50),"")</f>
        <v/>
      </c>
      <c r="G169" s="5" t="n"/>
      <c r="H169" s="5">
        <f>SUBSTITUTE(SUBSTITUTE(SUBSTITUTE(SUBSTITUTE(A169,"(",""),")","")," ",""),CHAR(29),"")</f>
        <v/>
      </c>
    </row>
    <row r="170">
      <c r="A170" s="7" t="n"/>
      <c r="B170" s="8">
        <f>IFERROR(MID(H170,FIND("01",H170)+2,14),"")</f>
        <v/>
      </c>
      <c r="C170" s="7">
        <f>IF(A170="","",IFERROR(VLOOKUP(B170,TblArticles,2,FALSE),"GTIN inconnu"))</f>
        <v/>
      </c>
      <c r="D170" s="8">
        <f>IF(A170="","",IFERROR(VLOOKUP(B170,TblArticles,3,FALSE),""))</f>
        <v/>
      </c>
      <c r="E170" s="9">
        <f>IFERROR(DATE(2000+VALUE(MID(H170,FIND("15",H170,FIND("01",H170)+16)+2,2)),VALUE(MID(H170,FIND("15",H170,FIND("01",H170)+16)+4,2)),VALUE(MID(H170,FIND("15",H170,FIND("01",H170)+16)+6,2))),"")</f>
        <v/>
      </c>
      <c r="F170" s="8">
        <f>IFERROR(MID(H170,FIND("10",H170,FIND("15",H170,FIND("01",H170)+16)+8)+2,50),"")</f>
        <v/>
      </c>
      <c r="G170" s="8" t="n"/>
      <c r="H170" s="8">
        <f>SUBSTITUTE(SUBSTITUTE(SUBSTITUTE(SUBSTITUTE(A170,"(",""),")","")," ",""),CHAR(29),"")</f>
        <v/>
      </c>
    </row>
    <row r="171">
      <c r="A171" s="4" t="n"/>
      <c r="B171" s="5">
        <f>IFERROR(MID(H171,FIND("01",H171)+2,14),"")</f>
        <v/>
      </c>
      <c r="C171" s="4">
        <f>IF(A171="","",IFERROR(VLOOKUP(B171,TblArticles,2,FALSE),"GTIN inconnu"))</f>
        <v/>
      </c>
      <c r="D171" s="5">
        <f>IF(A171="","",IFERROR(VLOOKUP(B171,TblArticles,3,FALSE),""))</f>
        <v/>
      </c>
      <c r="E171" s="6">
        <f>IFERROR(DATE(2000+VALUE(MID(H171,FIND("15",H171,FIND("01",H171)+16)+2,2)),VALUE(MID(H171,FIND("15",H171,FIND("01",H171)+16)+4,2)),VALUE(MID(H171,FIND("15",H171,FIND("01",H171)+16)+6,2))),"")</f>
        <v/>
      </c>
      <c r="F171" s="5">
        <f>IFERROR(MID(H171,FIND("10",H171,FIND("15",H171,FIND("01",H171)+16)+8)+2,50),"")</f>
        <v/>
      </c>
      <c r="G171" s="5" t="n"/>
      <c r="H171" s="5">
        <f>SUBSTITUTE(SUBSTITUTE(SUBSTITUTE(SUBSTITUTE(A171,"(",""),")","")," ",""),CHAR(29),"")</f>
        <v/>
      </c>
    </row>
    <row r="172">
      <c r="A172" s="7" t="n"/>
      <c r="B172" s="8">
        <f>IFERROR(MID(H172,FIND("01",H172)+2,14),"")</f>
        <v/>
      </c>
      <c r="C172" s="7">
        <f>IF(A172="","",IFERROR(VLOOKUP(B172,TblArticles,2,FALSE),"GTIN inconnu"))</f>
        <v/>
      </c>
      <c r="D172" s="8">
        <f>IF(A172="","",IFERROR(VLOOKUP(B172,TblArticles,3,FALSE),""))</f>
        <v/>
      </c>
      <c r="E172" s="9">
        <f>IFERROR(DATE(2000+VALUE(MID(H172,FIND("15",H172,FIND("01",H172)+16)+2,2)),VALUE(MID(H172,FIND("15",H172,FIND("01",H172)+16)+4,2)),VALUE(MID(H172,FIND("15",H172,FIND("01",H172)+16)+6,2))),"")</f>
        <v/>
      </c>
      <c r="F172" s="8">
        <f>IFERROR(MID(H172,FIND("10",H172,FIND("15",H172,FIND("01",H172)+16)+8)+2,50),"")</f>
        <v/>
      </c>
      <c r="G172" s="8" t="n"/>
      <c r="H172" s="8">
        <f>SUBSTITUTE(SUBSTITUTE(SUBSTITUTE(SUBSTITUTE(A172,"(",""),")","")," ",""),CHAR(29),"")</f>
        <v/>
      </c>
    </row>
    <row r="173">
      <c r="A173" s="4" t="n"/>
      <c r="B173" s="5">
        <f>IFERROR(MID(H173,FIND("01",H173)+2,14),"")</f>
        <v/>
      </c>
      <c r="C173" s="4">
        <f>IF(A173="","",IFERROR(VLOOKUP(B173,TblArticles,2,FALSE),"GTIN inconnu"))</f>
        <v/>
      </c>
      <c r="D173" s="5">
        <f>IF(A173="","",IFERROR(VLOOKUP(B173,TblArticles,3,FALSE),""))</f>
        <v/>
      </c>
      <c r="E173" s="6">
        <f>IFERROR(DATE(2000+VALUE(MID(H173,FIND("15",H173,FIND("01",H173)+16)+2,2)),VALUE(MID(H173,FIND("15",H173,FIND("01",H173)+16)+4,2)),VALUE(MID(H173,FIND("15",H173,FIND("01",H173)+16)+6,2))),"")</f>
        <v/>
      </c>
      <c r="F173" s="5">
        <f>IFERROR(MID(H173,FIND("10",H173,FIND("15",H173,FIND("01",H173)+16)+8)+2,50),"")</f>
        <v/>
      </c>
      <c r="G173" s="5" t="n"/>
      <c r="H173" s="5">
        <f>SUBSTITUTE(SUBSTITUTE(SUBSTITUTE(SUBSTITUTE(A173,"(",""),")","")," ",""),CHAR(29),"")</f>
        <v/>
      </c>
    </row>
    <row r="174">
      <c r="A174" s="7" t="n"/>
      <c r="B174" s="8">
        <f>IFERROR(MID(H174,FIND("01",H174)+2,14),"")</f>
        <v/>
      </c>
      <c r="C174" s="7">
        <f>IF(A174="","",IFERROR(VLOOKUP(B174,TblArticles,2,FALSE),"GTIN inconnu"))</f>
        <v/>
      </c>
      <c r="D174" s="8">
        <f>IF(A174="","",IFERROR(VLOOKUP(B174,TblArticles,3,FALSE),""))</f>
        <v/>
      </c>
      <c r="E174" s="9">
        <f>IFERROR(DATE(2000+VALUE(MID(H174,FIND("15",H174,FIND("01",H174)+16)+2,2)),VALUE(MID(H174,FIND("15",H174,FIND("01",H174)+16)+4,2)),VALUE(MID(H174,FIND("15",H174,FIND("01",H174)+16)+6,2))),"")</f>
        <v/>
      </c>
      <c r="F174" s="8">
        <f>IFERROR(MID(H174,FIND("10",H174,FIND("15",H174,FIND("01",H174)+16)+8)+2,50),"")</f>
        <v/>
      </c>
      <c r="G174" s="8" t="n"/>
      <c r="H174" s="8">
        <f>SUBSTITUTE(SUBSTITUTE(SUBSTITUTE(SUBSTITUTE(A174,"(",""),")","")," ",""),CHAR(29),"")</f>
        <v/>
      </c>
    </row>
    <row r="175">
      <c r="A175" s="4" t="n"/>
      <c r="B175" s="5">
        <f>IFERROR(MID(H175,FIND("01",H175)+2,14),"")</f>
        <v/>
      </c>
      <c r="C175" s="4">
        <f>IF(A175="","",IFERROR(VLOOKUP(B175,TblArticles,2,FALSE),"GTIN inconnu"))</f>
        <v/>
      </c>
      <c r="D175" s="5">
        <f>IF(A175="","",IFERROR(VLOOKUP(B175,TblArticles,3,FALSE),""))</f>
        <v/>
      </c>
      <c r="E175" s="6">
        <f>IFERROR(DATE(2000+VALUE(MID(H175,FIND("15",H175,FIND("01",H175)+16)+2,2)),VALUE(MID(H175,FIND("15",H175,FIND("01",H175)+16)+4,2)),VALUE(MID(H175,FIND("15",H175,FIND("01",H175)+16)+6,2))),"")</f>
        <v/>
      </c>
      <c r="F175" s="5">
        <f>IFERROR(MID(H175,FIND("10",H175,FIND("15",H175,FIND("01",H175)+16)+8)+2,50),"")</f>
        <v/>
      </c>
      <c r="G175" s="5" t="n"/>
      <c r="H175" s="5">
        <f>SUBSTITUTE(SUBSTITUTE(SUBSTITUTE(SUBSTITUTE(A175,"(",""),")","")," ",""),CHAR(29),"")</f>
        <v/>
      </c>
    </row>
    <row r="176">
      <c r="A176" s="7" t="n"/>
      <c r="B176" s="8">
        <f>IFERROR(MID(H176,FIND("01",H176)+2,14),"")</f>
        <v/>
      </c>
      <c r="C176" s="7">
        <f>IF(A176="","",IFERROR(VLOOKUP(B176,TblArticles,2,FALSE),"GTIN inconnu"))</f>
        <v/>
      </c>
      <c r="D176" s="8">
        <f>IF(A176="","",IFERROR(VLOOKUP(B176,TblArticles,3,FALSE),""))</f>
        <v/>
      </c>
      <c r="E176" s="9">
        <f>IFERROR(DATE(2000+VALUE(MID(H176,FIND("15",H176,FIND("01",H176)+16)+2,2)),VALUE(MID(H176,FIND("15",H176,FIND("01",H176)+16)+4,2)),VALUE(MID(H176,FIND("15",H176,FIND("01",H176)+16)+6,2))),"")</f>
        <v/>
      </c>
      <c r="F176" s="8">
        <f>IFERROR(MID(H176,FIND("10",H176,FIND("15",H176,FIND("01",H176)+16)+8)+2,50),"")</f>
        <v/>
      </c>
      <c r="G176" s="8" t="n"/>
      <c r="H176" s="8">
        <f>SUBSTITUTE(SUBSTITUTE(SUBSTITUTE(SUBSTITUTE(A176,"(",""),")","")," ",""),CHAR(29),"")</f>
        <v/>
      </c>
    </row>
    <row r="177">
      <c r="A177" s="4" t="n"/>
      <c r="B177" s="5">
        <f>IFERROR(MID(H177,FIND("01",H177)+2,14),"")</f>
        <v/>
      </c>
      <c r="C177" s="4">
        <f>IF(A177="","",IFERROR(VLOOKUP(B177,TblArticles,2,FALSE),"GTIN inconnu"))</f>
        <v/>
      </c>
      <c r="D177" s="5">
        <f>IF(A177="","",IFERROR(VLOOKUP(B177,TblArticles,3,FALSE),""))</f>
        <v/>
      </c>
      <c r="E177" s="6">
        <f>IFERROR(DATE(2000+VALUE(MID(H177,FIND("15",H177,FIND("01",H177)+16)+2,2)),VALUE(MID(H177,FIND("15",H177,FIND("01",H177)+16)+4,2)),VALUE(MID(H177,FIND("15",H177,FIND("01",H177)+16)+6,2))),"")</f>
        <v/>
      </c>
      <c r="F177" s="5">
        <f>IFERROR(MID(H177,FIND("10",H177,FIND("15",H177,FIND("01",H177)+16)+8)+2,50),"")</f>
        <v/>
      </c>
      <c r="G177" s="5" t="n"/>
      <c r="H177" s="5">
        <f>SUBSTITUTE(SUBSTITUTE(SUBSTITUTE(SUBSTITUTE(A177,"(",""),")","")," ",""),CHAR(29),"")</f>
        <v/>
      </c>
    </row>
    <row r="178">
      <c r="A178" s="7" t="n"/>
      <c r="B178" s="8">
        <f>IFERROR(MID(H178,FIND("01",H178)+2,14),"")</f>
        <v/>
      </c>
      <c r="C178" s="7">
        <f>IF(A178="","",IFERROR(VLOOKUP(B178,TblArticles,2,FALSE),"GTIN inconnu"))</f>
        <v/>
      </c>
      <c r="D178" s="8">
        <f>IF(A178="","",IFERROR(VLOOKUP(B178,TblArticles,3,FALSE),""))</f>
        <v/>
      </c>
      <c r="E178" s="9">
        <f>IFERROR(DATE(2000+VALUE(MID(H178,FIND("15",H178,FIND("01",H178)+16)+2,2)),VALUE(MID(H178,FIND("15",H178,FIND("01",H178)+16)+4,2)),VALUE(MID(H178,FIND("15",H178,FIND("01",H178)+16)+6,2))),"")</f>
        <v/>
      </c>
      <c r="F178" s="8">
        <f>IFERROR(MID(H178,FIND("10",H178,FIND("15",H178,FIND("01",H178)+16)+8)+2,50),"")</f>
        <v/>
      </c>
      <c r="G178" s="8" t="n"/>
      <c r="H178" s="8">
        <f>SUBSTITUTE(SUBSTITUTE(SUBSTITUTE(SUBSTITUTE(A178,"(",""),")","")," ",""),CHAR(29),"")</f>
        <v/>
      </c>
    </row>
    <row r="179">
      <c r="A179" s="4" t="n"/>
      <c r="B179" s="5">
        <f>IFERROR(MID(H179,FIND("01",H179)+2,14),"")</f>
        <v/>
      </c>
      <c r="C179" s="4">
        <f>IF(A179="","",IFERROR(VLOOKUP(B179,TblArticles,2,FALSE),"GTIN inconnu"))</f>
        <v/>
      </c>
      <c r="D179" s="5">
        <f>IF(A179="","",IFERROR(VLOOKUP(B179,TblArticles,3,FALSE),""))</f>
        <v/>
      </c>
      <c r="E179" s="6">
        <f>IFERROR(DATE(2000+VALUE(MID(H179,FIND("15",H179,FIND("01",H179)+16)+2,2)),VALUE(MID(H179,FIND("15",H179,FIND("01",H179)+16)+4,2)),VALUE(MID(H179,FIND("15",H179,FIND("01",H179)+16)+6,2))),"")</f>
        <v/>
      </c>
      <c r="F179" s="5">
        <f>IFERROR(MID(H179,FIND("10",H179,FIND("15",H179,FIND("01",H179)+16)+8)+2,50),"")</f>
        <v/>
      </c>
      <c r="G179" s="5" t="n"/>
      <c r="H179" s="5">
        <f>SUBSTITUTE(SUBSTITUTE(SUBSTITUTE(SUBSTITUTE(A179,"(",""),")","")," ",""),CHAR(29),"")</f>
        <v/>
      </c>
    </row>
    <row r="180">
      <c r="A180" s="7" t="n"/>
      <c r="B180" s="8">
        <f>IFERROR(MID(H180,FIND("01",H180)+2,14),"")</f>
        <v/>
      </c>
      <c r="C180" s="7">
        <f>IF(A180="","",IFERROR(VLOOKUP(B180,TblArticles,2,FALSE),"GTIN inconnu"))</f>
        <v/>
      </c>
      <c r="D180" s="8">
        <f>IF(A180="","",IFERROR(VLOOKUP(B180,TblArticles,3,FALSE),""))</f>
        <v/>
      </c>
      <c r="E180" s="9">
        <f>IFERROR(DATE(2000+VALUE(MID(H180,FIND("15",H180,FIND("01",H180)+16)+2,2)),VALUE(MID(H180,FIND("15",H180,FIND("01",H180)+16)+4,2)),VALUE(MID(H180,FIND("15",H180,FIND("01",H180)+16)+6,2))),"")</f>
        <v/>
      </c>
      <c r="F180" s="8">
        <f>IFERROR(MID(H180,FIND("10",H180,FIND("15",H180,FIND("01",H180)+16)+8)+2,50),"")</f>
        <v/>
      </c>
      <c r="G180" s="8" t="n"/>
      <c r="H180" s="8">
        <f>SUBSTITUTE(SUBSTITUTE(SUBSTITUTE(SUBSTITUTE(A180,"(",""),")","")," ",""),CHAR(29),"")</f>
        <v/>
      </c>
    </row>
    <row r="181">
      <c r="A181" s="4" t="n"/>
      <c r="B181" s="5">
        <f>IFERROR(MID(H181,FIND("01",H181)+2,14),"")</f>
        <v/>
      </c>
      <c r="C181" s="4">
        <f>IF(A181="","",IFERROR(VLOOKUP(B181,TblArticles,2,FALSE),"GTIN inconnu"))</f>
        <v/>
      </c>
      <c r="D181" s="5">
        <f>IF(A181="","",IFERROR(VLOOKUP(B181,TblArticles,3,FALSE),""))</f>
        <v/>
      </c>
      <c r="E181" s="6">
        <f>IFERROR(DATE(2000+VALUE(MID(H181,FIND("15",H181,FIND("01",H181)+16)+2,2)),VALUE(MID(H181,FIND("15",H181,FIND("01",H181)+16)+4,2)),VALUE(MID(H181,FIND("15",H181,FIND("01",H181)+16)+6,2))),"")</f>
        <v/>
      </c>
      <c r="F181" s="5">
        <f>IFERROR(MID(H181,FIND("10",H181,FIND("15",H181,FIND("01",H181)+16)+8)+2,50),"")</f>
        <v/>
      </c>
      <c r="G181" s="5" t="n"/>
      <c r="H181" s="5">
        <f>SUBSTITUTE(SUBSTITUTE(SUBSTITUTE(SUBSTITUTE(A181,"(",""),")","")," ",""),CHAR(29),"")</f>
        <v/>
      </c>
    </row>
    <row r="182">
      <c r="A182" s="7" t="n"/>
      <c r="B182" s="8">
        <f>IFERROR(MID(H182,FIND("01",H182)+2,14),"")</f>
        <v/>
      </c>
      <c r="C182" s="7">
        <f>IF(A182="","",IFERROR(VLOOKUP(B182,TblArticles,2,FALSE),"GTIN inconnu"))</f>
        <v/>
      </c>
      <c r="D182" s="8">
        <f>IF(A182="","",IFERROR(VLOOKUP(B182,TblArticles,3,FALSE),""))</f>
        <v/>
      </c>
      <c r="E182" s="9">
        <f>IFERROR(DATE(2000+VALUE(MID(H182,FIND("15",H182,FIND("01",H182)+16)+2,2)),VALUE(MID(H182,FIND("15",H182,FIND("01",H182)+16)+4,2)),VALUE(MID(H182,FIND("15",H182,FIND("01",H182)+16)+6,2))),"")</f>
        <v/>
      </c>
      <c r="F182" s="8">
        <f>IFERROR(MID(H182,FIND("10",H182,FIND("15",H182,FIND("01",H182)+16)+8)+2,50),"")</f>
        <v/>
      </c>
      <c r="G182" s="8" t="n"/>
      <c r="H182" s="8">
        <f>SUBSTITUTE(SUBSTITUTE(SUBSTITUTE(SUBSTITUTE(A182,"(",""),")","")," ",""),CHAR(29),"")</f>
        <v/>
      </c>
    </row>
    <row r="183">
      <c r="A183" s="4" t="n"/>
      <c r="B183" s="5">
        <f>IFERROR(MID(H183,FIND("01",H183)+2,14),"")</f>
        <v/>
      </c>
      <c r="C183" s="4">
        <f>IF(A183="","",IFERROR(VLOOKUP(B183,TblArticles,2,FALSE),"GTIN inconnu"))</f>
        <v/>
      </c>
      <c r="D183" s="5">
        <f>IF(A183="","",IFERROR(VLOOKUP(B183,TblArticles,3,FALSE),""))</f>
        <v/>
      </c>
      <c r="E183" s="6">
        <f>IFERROR(DATE(2000+VALUE(MID(H183,FIND("15",H183,FIND("01",H183)+16)+2,2)),VALUE(MID(H183,FIND("15",H183,FIND("01",H183)+16)+4,2)),VALUE(MID(H183,FIND("15",H183,FIND("01",H183)+16)+6,2))),"")</f>
        <v/>
      </c>
      <c r="F183" s="5">
        <f>IFERROR(MID(H183,FIND("10",H183,FIND("15",H183,FIND("01",H183)+16)+8)+2,50),"")</f>
        <v/>
      </c>
      <c r="G183" s="5" t="n"/>
      <c r="H183" s="5">
        <f>SUBSTITUTE(SUBSTITUTE(SUBSTITUTE(SUBSTITUTE(A183,"(",""),")","")," ",""),CHAR(29),"")</f>
        <v/>
      </c>
    </row>
    <row r="184">
      <c r="A184" s="7" t="n"/>
      <c r="B184" s="8">
        <f>IFERROR(MID(H184,FIND("01",H184)+2,14),"")</f>
        <v/>
      </c>
      <c r="C184" s="7">
        <f>IF(A184="","",IFERROR(VLOOKUP(B184,TblArticles,2,FALSE),"GTIN inconnu"))</f>
        <v/>
      </c>
      <c r="D184" s="8">
        <f>IF(A184="","",IFERROR(VLOOKUP(B184,TblArticles,3,FALSE),""))</f>
        <v/>
      </c>
      <c r="E184" s="9">
        <f>IFERROR(DATE(2000+VALUE(MID(H184,FIND("15",H184,FIND("01",H184)+16)+2,2)),VALUE(MID(H184,FIND("15",H184,FIND("01",H184)+16)+4,2)),VALUE(MID(H184,FIND("15",H184,FIND("01",H184)+16)+6,2))),"")</f>
        <v/>
      </c>
      <c r="F184" s="8">
        <f>IFERROR(MID(H184,FIND("10",H184,FIND("15",H184,FIND("01",H184)+16)+8)+2,50),"")</f>
        <v/>
      </c>
      <c r="G184" s="8" t="n"/>
      <c r="H184" s="8">
        <f>SUBSTITUTE(SUBSTITUTE(SUBSTITUTE(SUBSTITUTE(A184,"(",""),")","")," ",""),CHAR(29),"")</f>
        <v/>
      </c>
    </row>
    <row r="185">
      <c r="A185" s="4" t="n"/>
      <c r="B185" s="5">
        <f>IFERROR(MID(H185,FIND("01",H185)+2,14),"")</f>
        <v/>
      </c>
      <c r="C185" s="4">
        <f>IF(A185="","",IFERROR(VLOOKUP(B185,TblArticles,2,FALSE),"GTIN inconnu"))</f>
        <v/>
      </c>
      <c r="D185" s="5">
        <f>IF(A185="","",IFERROR(VLOOKUP(B185,TblArticles,3,FALSE),""))</f>
        <v/>
      </c>
      <c r="E185" s="6">
        <f>IFERROR(DATE(2000+VALUE(MID(H185,FIND("15",H185,FIND("01",H185)+16)+2,2)),VALUE(MID(H185,FIND("15",H185,FIND("01",H185)+16)+4,2)),VALUE(MID(H185,FIND("15",H185,FIND("01",H185)+16)+6,2))),"")</f>
        <v/>
      </c>
      <c r="F185" s="5">
        <f>IFERROR(MID(H185,FIND("10",H185,FIND("15",H185,FIND("01",H185)+16)+8)+2,50),"")</f>
        <v/>
      </c>
      <c r="G185" s="5" t="n"/>
      <c r="H185" s="5">
        <f>SUBSTITUTE(SUBSTITUTE(SUBSTITUTE(SUBSTITUTE(A185,"(",""),")","")," ",""),CHAR(29),"")</f>
        <v/>
      </c>
    </row>
    <row r="186">
      <c r="A186" s="7" t="n"/>
      <c r="B186" s="8">
        <f>IFERROR(MID(H186,FIND("01",H186)+2,14),"")</f>
        <v/>
      </c>
      <c r="C186" s="7">
        <f>IF(A186="","",IFERROR(VLOOKUP(B186,TblArticles,2,FALSE),"GTIN inconnu"))</f>
        <v/>
      </c>
      <c r="D186" s="8">
        <f>IF(A186="","",IFERROR(VLOOKUP(B186,TblArticles,3,FALSE),""))</f>
        <v/>
      </c>
      <c r="E186" s="9">
        <f>IFERROR(DATE(2000+VALUE(MID(H186,FIND("15",H186,FIND("01",H186)+16)+2,2)),VALUE(MID(H186,FIND("15",H186,FIND("01",H186)+16)+4,2)),VALUE(MID(H186,FIND("15",H186,FIND("01",H186)+16)+6,2))),"")</f>
        <v/>
      </c>
      <c r="F186" s="8">
        <f>IFERROR(MID(H186,FIND("10",H186,FIND("15",H186,FIND("01",H186)+16)+8)+2,50),"")</f>
        <v/>
      </c>
      <c r="G186" s="8" t="n"/>
      <c r="H186" s="8">
        <f>SUBSTITUTE(SUBSTITUTE(SUBSTITUTE(SUBSTITUTE(A186,"(",""),")","")," ",""),CHAR(29),"")</f>
        <v/>
      </c>
    </row>
    <row r="187">
      <c r="A187" s="4" t="n"/>
      <c r="B187" s="5">
        <f>IFERROR(MID(H187,FIND("01",H187)+2,14),"")</f>
        <v/>
      </c>
      <c r="C187" s="4">
        <f>IF(A187="","",IFERROR(VLOOKUP(B187,TblArticles,2,FALSE),"GTIN inconnu"))</f>
        <v/>
      </c>
      <c r="D187" s="5">
        <f>IF(A187="","",IFERROR(VLOOKUP(B187,TblArticles,3,FALSE),""))</f>
        <v/>
      </c>
      <c r="E187" s="6">
        <f>IFERROR(DATE(2000+VALUE(MID(H187,FIND("15",H187,FIND("01",H187)+16)+2,2)),VALUE(MID(H187,FIND("15",H187,FIND("01",H187)+16)+4,2)),VALUE(MID(H187,FIND("15",H187,FIND("01",H187)+16)+6,2))),"")</f>
        <v/>
      </c>
      <c r="F187" s="5">
        <f>IFERROR(MID(H187,FIND("10",H187,FIND("15",H187,FIND("01",H187)+16)+8)+2,50),"")</f>
        <v/>
      </c>
      <c r="G187" s="5" t="n"/>
      <c r="H187" s="5">
        <f>SUBSTITUTE(SUBSTITUTE(SUBSTITUTE(SUBSTITUTE(A187,"(",""),")","")," ",""),CHAR(29),"")</f>
        <v/>
      </c>
    </row>
    <row r="188">
      <c r="A188" s="7" t="n"/>
      <c r="B188" s="8">
        <f>IFERROR(MID(H188,FIND("01",H188)+2,14),"")</f>
        <v/>
      </c>
      <c r="C188" s="7">
        <f>IF(A188="","",IFERROR(VLOOKUP(B188,TblArticles,2,FALSE),"GTIN inconnu"))</f>
        <v/>
      </c>
      <c r="D188" s="8">
        <f>IF(A188="","",IFERROR(VLOOKUP(B188,TblArticles,3,FALSE),""))</f>
        <v/>
      </c>
      <c r="E188" s="9">
        <f>IFERROR(DATE(2000+VALUE(MID(H188,FIND("15",H188,FIND("01",H188)+16)+2,2)),VALUE(MID(H188,FIND("15",H188,FIND("01",H188)+16)+4,2)),VALUE(MID(H188,FIND("15",H188,FIND("01",H188)+16)+6,2))),"")</f>
        <v/>
      </c>
      <c r="F188" s="8">
        <f>IFERROR(MID(H188,FIND("10",H188,FIND("15",H188,FIND("01",H188)+16)+8)+2,50),"")</f>
        <v/>
      </c>
      <c r="G188" s="8" t="n"/>
      <c r="H188" s="8">
        <f>SUBSTITUTE(SUBSTITUTE(SUBSTITUTE(SUBSTITUTE(A188,"(",""),")","")," ",""),CHAR(29),"")</f>
        <v/>
      </c>
    </row>
    <row r="189">
      <c r="A189" s="4" t="n"/>
      <c r="B189" s="5">
        <f>IFERROR(MID(H189,FIND("01",H189)+2,14),"")</f>
        <v/>
      </c>
      <c r="C189" s="4">
        <f>IF(A189="","",IFERROR(VLOOKUP(B189,TblArticles,2,FALSE),"GTIN inconnu"))</f>
        <v/>
      </c>
      <c r="D189" s="5">
        <f>IF(A189="","",IFERROR(VLOOKUP(B189,TblArticles,3,FALSE),""))</f>
        <v/>
      </c>
      <c r="E189" s="6">
        <f>IFERROR(DATE(2000+VALUE(MID(H189,FIND("15",H189,FIND("01",H189)+16)+2,2)),VALUE(MID(H189,FIND("15",H189,FIND("01",H189)+16)+4,2)),VALUE(MID(H189,FIND("15",H189,FIND("01",H189)+16)+6,2))),"")</f>
        <v/>
      </c>
      <c r="F189" s="5">
        <f>IFERROR(MID(H189,FIND("10",H189,FIND("15",H189,FIND("01",H189)+16)+8)+2,50),"")</f>
        <v/>
      </c>
      <c r="G189" s="5" t="n"/>
      <c r="H189" s="5">
        <f>SUBSTITUTE(SUBSTITUTE(SUBSTITUTE(SUBSTITUTE(A189,"(",""),")","")," ",""),CHAR(29),"")</f>
        <v/>
      </c>
    </row>
    <row r="190">
      <c r="A190" s="7" t="n"/>
      <c r="B190" s="8">
        <f>IFERROR(MID(H190,FIND("01",H190)+2,14),"")</f>
        <v/>
      </c>
      <c r="C190" s="7">
        <f>IF(A190="","",IFERROR(VLOOKUP(B190,TblArticles,2,FALSE),"GTIN inconnu"))</f>
        <v/>
      </c>
      <c r="D190" s="8">
        <f>IF(A190="","",IFERROR(VLOOKUP(B190,TblArticles,3,FALSE),""))</f>
        <v/>
      </c>
      <c r="E190" s="9">
        <f>IFERROR(DATE(2000+VALUE(MID(H190,FIND("15",H190,FIND("01",H190)+16)+2,2)),VALUE(MID(H190,FIND("15",H190,FIND("01",H190)+16)+4,2)),VALUE(MID(H190,FIND("15",H190,FIND("01",H190)+16)+6,2))),"")</f>
        <v/>
      </c>
      <c r="F190" s="8">
        <f>IFERROR(MID(H190,FIND("10",H190,FIND("15",H190,FIND("01",H190)+16)+8)+2,50),"")</f>
        <v/>
      </c>
      <c r="G190" s="8" t="n"/>
      <c r="H190" s="8">
        <f>SUBSTITUTE(SUBSTITUTE(SUBSTITUTE(SUBSTITUTE(A190,"(",""),")","")," ",""),CHAR(29),"")</f>
        <v/>
      </c>
    </row>
    <row r="191">
      <c r="A191" s="4" t="n"/>
      <c r="B191" s="5">
        <f>IFERROR(MID(H191,FIND("01",H191)+2,14),"")</f>
        <v/>
      </c>
      <c r="C191" s="4">
        <f>IF(A191="","",IFERROR(VLOOKUP(B191,TblArticles,2,FALSE),"GTIN inconnu"))</f>
        <v/>
      </c>
      <c r="D191" s="5">
        <f>IF(A191="","",IFERROR(VLOOKUP(B191,TblArticles,3,FALSE),""))</f>
        <v/>
      </c>
      <c r="E191" s="6">
        <f>IFERROR(DATE(2000+VALUE(MID(H191,FIND("15",H191,FIND("01",H191)+16)+2,2)),VALUE(MID(H191,FIND("15",H191,FIND("01",H191)+16)+4,2)),VALUE(MID(H191,FIND("15",H191,FIND("01",H191)+16)+6,2))),"")</f>
        <v/>
      </c>
      <c r="F191" s="5">
        <f>IFERROR(MID(H191,FIND("10",H191,FIND("15",H191,FIND("01",H191)+16)+8)+2,50),"")</f>
        <v/>
      </c>
      <c r="G191" s="5" t="n"/>
      <c r="H191" s="5">
        <f>SUBSTITUTE(SUBSTITUTE(SUBSTITUTE(SUBSTITUTE(A191,"(",""),")","")," ",""),CHAR(29),"")</f>
        <v/>
      </c>
    </row>
    <row r="192">
      <c r="A192" s="7" t="n"/>
      <c r="B192" s="8">
        <f>IFERROR(MID(H192,FIND("01",H192)+2,14),"")</f>
        <v/>
      </c>
      <c r="C192" s="7">
        <f>IF(A192="","",IFERROR(VLOOKUP(B192,TblArticles,2,FALSE),"GTIN inconnu"))</f>
        <v/>
      </c>
      <c r="D192" s="8">
        <f>IF(A192="","",IFERROR(VLOOKUP(B192,TblArticles,3,FALSE),""))</f>
        <v/>
      </c>
      <c r="E192" s="9">
        <f>IFERROR(DATE(2000+VALUE(MID(H192,FIND("15",H192,FIND("01",H192)+16)+2,2)),VALUE(MID(H192,FIND("15",H192,FIND("01",H192)+16)+4,2)),VALUE(MID(H192,FIND("15",H192,FIND("01",H192)+16)+6,2))),"")</f>
        <v/>
      </c>
      <c r="F192" s="8">
        <f>IFERROR(MID(H192,FIND("10",H192,FIND("15",H192,FIND("01",H192)+16)+8)+2,50),"")</f>
        <v/>
      </c>
      <c r="G192" s="8" t="n"/>
      <c r="H192" s="8">
        <f>SUBSTITUTE(SUBSTITUTE(SUBSTITUTE(SUBSTITUTE(A192,"(",""),")","")," ",""),CHAR(29),"")</f>
        <v/>
      </c>
    </row>
    <row r="193">
      <c r="A193" s="4" t="n"/>
      <c r="B193" s="5">
        <f>IFERROR(MID(H193,FIND("01",H193)+2,14),"")</f>
        <v/>
      </c>
      <c r="C193" s="4">
        <f>IF(A193="","",IFERROR(VLOOKUP(B193,TblArticles,2,FALSE),"GTIN inconnu"))</f>
        <v/>
      </c>
      <c r="D193" s="5">
        <f>IF(A193="","",IFERROR(VLOOKUP(B193,TblArticles,3,FALSE),""))</f>
        <v/>
      </c>
      <c r="E193" s="6">
        <f>IFERROR(DATE(2000+VALUE(MID(H193,FIND("15",H193,FIND("01",H193)+16)+2,2)),VALUE(MID(H193,FIND("15",H193,FIND("01",H193)+16)+4,2)),VALUE(MID(H193,FIND("15",H193,FIND("01",H193)+16)+6,2))),"")</f>
        <v/>
      </c>
      <c r="F193" s="5">
        <f>IFERROR(MID(H193,FIND("10",H193,FIND("15",H193,FIND("01",H193)+16)+8)+2,50),"")</f>
        <v/>
      </c>
      <c r="G193" s="5" t="n"/>
      <c r="H193" s="5">
        <f>SUBSTITUTE(SUBSTITUTE(SUBSTITUTE(SUBSTITUTE(A193,"(",""),")","")," ",""),CHAR(29),"")</f>
        <v/>
      </c>
    </row>
    <row r="194">
      <c r="A194" s="7" t="n"/>
      <c r="B194" s="8">
        <f>IFERROR(MID(H194,FIND("01",H194)+2,14),"")</f>
        <v/>
      </c>
      <c r="C194" s="7">
        <f>IF(A194="","",IFERROR(VLOOKUP(B194,TblArticles,2,FALSE),"GTIN inconnu"))</f>
        <v/>
      </c>
      <c r="D194" s="8">
        <f>IF(A194="","",IFERROR(VLOOKUP(B194,TblArticles,3,FALSE),""))</f>
        <v/>
      </c>
      <c r="E194" s="9">
        <f>IFERROR(DATE(2000+VALUE(MID(H194,FIND("15",H194,FIND("01",H194)+16)+2,2)),VALUE(MID(H194,FIND("15",H194,FIND("01",H194)+16)+4,2)),VALUE(MID(H194,FIND("15",H194,FIND("01",H194)+16)+6,2))),"")</f>
        <v/>
      </c>
      <c r="F194" s="8">
        <f>IFERROR(MID(H194,FIND("10",H194,FIND("15",H194,FIND("01",H194)+16)+8)+2,50),"")</f>
        <v/>
      </c>
      <c r="G194" s="8" t="n"/>
      <c r="H194" s="8">
        <f>SUBSTITUTE(SUBSTITUTE(SUBSTITUTE(SUBSTITUTE(A194,"(",""),")","")," ",""),CHAR(29),"")</f>
        <v/>
      </c>
    </row>
    <row r="195">
      <c r="A195" s="4" t="n"/>
      <c r="B195" s="5">
        <f>IFERROR(MID(H195,FIND("01",H195)+2,14),"")</f>
        <v/>
      </c>
      <c r="C195" s="4">
        <f>IF(A195="","",IFERROR(VLOOKUP(B195,TblArticles,2,FALSE),"GTIN inconnu"))</f>
        <v/>
      </c>
      <c r="D195" s="5">
        <f>IF(A195="","",IFERROR(VLOOKUP(B195,TblArticles,3,FALSE),""))</f>
        <v/>
      </c>
      <c r="E195" s="6">
        <f>IFERROR(DATE(2000+VALUE(MID(H195,FIND("15",H195,FIND("01",H195)+16)+2,2)),VALUE(MID(H195,FIND("15",H195,FIND("01",H195)+16)+4,2)),VALUE(MID(H195,FIND("15",H195,FIND("01",H195)+16)+6,2))),"")</f>
        <v/>
      </c>
      <c r="F195" s="5">
        <f>IFERROR(MID(H195,FIND("10",H195,FIND("15",H195,FIND("01",H195)+16)+8)+2,50),"")</f>
        <v/>
      </c>
      <c r="G195" s="5" t="n"/>
      <c r="H195" s="5">
        <f>SUBSTITUTE(SUBSTITUTE(SUBSTITUTE(SUBSTITUTE(A195,"(",""),")","")," ",""),CHAR(29),"")</f>
        <v/>
      </c>
    </row>
    <row r="196">
      <c r="A196" s="7" t="n"/>
      <c r="B196" s="8">
        <f>IFERROR(MID(H196,FIND("01",H196)+2,14),"")</f>
        <v/>
      </c>
      <c r="C196" s="7">
        <f>IF(A196="","",IFERROR(VLOOKUP(B196,TblArticles,2,FALSE),"GTIN inconnu"))</f>
        <v/>
      </c>
      <c r="D196" s="8">
        <f>IF(A196="","",IFERROR(VLOOKUP(B196,TblArticles,3,FALSE),""))</f>
        <v/>
      </c>
      <c r="E196" s="9">
        <f>IFERROR(DATE(2000+VALUE(MID(H196,FIND("15",H196,FIND("01",H196)+16)+2,2)),VALUE(MID(H196,FIND("15",H196,FIND("01",H196)+16)+4,2)),VALUE(MID(H196,FIND("15",H196,FIND("01",H196)+16)+6,2))),"")</f>
        <v/>
      </c>
      <c r="F196" s="8">
        <f>IFERROR(MID(H196,FIND("10",H196,FIND("15",H196,FIND("01",H196)+16)+8)+2,50),"")</f>
        <v/>
      </c>
      <c r="G196" s="8" t="n"/>
      <c r="H196" s="8">
        <f>SUBSTITUTE(SUBSTITUTE(SUBSTITUTE(SUBSTITUTE(A196,"(",""),")","")," ",""),CHAR(29),"")</f>
        <v/>
      </c>
    </row>
    <row r="197">
      <c r="A197" s="4" t="n"/>
      <c r="B197" s="5">
        <f>IFERROR(MID(H197,FIND("01",H197)+2,14),"")</f>
        <v/>
      </c>
      <c r="C197" s="4">
        <f>IF(A197="","",IFERROR(VLOOKUP(B197,TblArticles,2,FALSE),"GTIN inconnu"))</f>
        <v/>
      </c>
      <c r="D197" s="5">
        <f>IF(A197="","",IFERROR(VLOOKUP(B197,TblArticles,3,FALSE),""))</f>
        <v/>
      </c>
      <c r="E197" s="6">
        <f>IFERROR(DATE(2000+VALUE(MID(H197,FIND("15",H197,FIND("01",H197)+16)+2,2)),VALUE(MID(H197,FIND("15",H197,FIND("01",H197)+16)+4,2)),VALUE(MID(H197,FIND("15",H197,FIND("01",H197)+16)+6,2))),"")</f>
        <v/>
      </c>
      <c r="F197" s="5">
        <f>IFERROR(MID(H197,FIND("10",H197,FIND("15",H197,FIND("01",H197)+16)+8)+2,50),"")</f>
        <v/>
      </c>
      <c r="G197" s="5" t="n"/>
      <c r="H197" s="5">
        <f>SUBSTITUTE(SUBSTITUTE(SUBSTITUTE(SUBSTITUTE(A197,"(",""),")","")," ",""),CHAR(29),"")</f>
        <v/>
      </c>
    </row>
    <row r="198">
      <c r="A198" s="7" t="n"/>
      <c r="B198" s="8">
        <f>IFERROR(MID(H198,FIND("01",H198)+2,14),"")</f>
        <v/>
      </c>
      <c r="C198" s="7">
        <f>IF(A198="","",IFERROR(VLOOKUP(B198,TblArticles,2,FALSE),"GTIN inconnu"))</f>
        <v/>
      </c>
      <c r="D198" s="8">
        <f>IF(A198="","",IFERROR(VLOOKUP(B198,TblArticles,3,FALSE),""))</f>
        <v/>
      </c>
      <c r="E198" s="9">
        <f>IFERROR(DATE(2000+VALUE(MID(H198,FIND("15",H198,FIND("01",H198)+16)+2,2)),VALUE(MID(H198,FIND("15",H198,FIND("01",H198)+16)+4,2)),VALUE(MID(H198,FIND("15",H198,FIND("01",H198)+16)+6,2))),"")</f>
        <v/>
      </c>
      <c r="F198" s="8">
        <f>IFERROR(MID(H198,FIND("10",H198,FIND("15",H198,FIND("01",H198)+16)+8)+2,50),"")</f>
        <v/>
      </c>
      <c r="G198" s="8" t="n"/>
      <c r="H198" s="8">
        <f>SUBSTITUTE(SUBSTITUTE(SUBSTITUTE(SUBSTITUTE(A198,"(",""),")","")," ",""),CHAR(29),"")</f>
        <v/>
      </c>
    </row>
    <row r="199">
      <c r="A199" s="4" t="n"/>
      <c r="B199" s="5">
        <f>IFERROR(MID(H199,FIND("01",H199)+2,14),"")</f>
        <v/>
      </c>
      <c r="C199" s="4">
        <f>IF(A199="","",IFERROR(VLOOKUP(B199,TblArticles,2,FALSE),"GTIN inconnu"))</f>
        <v/>
      </c>
      <c r="D199" s="5">
        <f>IF(A199="","",IFERROR(VLOOKUP(B199,TblArticles,3,FALSE),""))</f>
        <v/>
      </c>
      <c r="E199" s="6">
        <f>IFERROR(DATE(2000+VALUE(MID(H199,FIND("15",H199,FIND("01",H199)+16)+2,2)),VALUE(MID(H199,FIND("15",H199,FIND("01",H199)+16)+4,2)),VALUE(MID(H199,FIND("15",H199,FIND("01",H199)+16)+6,2))),"")</f>
        <v/>
      </c>
      <c r="F199" s="5">
        <f>IFERROR(MID(H199,FIND("10",H199,FIND("15",H199,FIND("01",H199)+16)+8)+2,50),"")</f>
        <v/>
      </c>
      <c r="G199" s="5" t="n"/>
      <c r="H199" s="5">
        <f>SUBSTITUTE(SUBSTITUTE(SUBSTITUTE(SUBSTITUTE(A199,"(",""),")","")," ",""),CHAR(29),"")</f>
        <v/>
      </c>
    </row>
    <row r="200">
      <c r="A200" s="7" t="n"/>
      <c r="B200" s="8">
        <f>IFERROR(MID(H200,FIND("01",H200)+2,14),"")</f>
        <v/>
      </c>
      <c r="C200" s="7">
        <f>IF(A200="","",IFERROR(VLOOKUP(B200,TblArticles,2,FALSE),"GTIN inconnu"))</f>
        <v/>
      </c>
      <c r="D200" s="8">
        <f>IF(A200="","",IFERROR(VLOOKUP(B200,TblArticles,3,FALSE),""))</f>
        <v/>
      </c>
      <c r="E200" s="9">
        <f>IFERROR(DATE(2000+VALUE(MID(H200,FIND("15",H200,FIND("01",H200)+16)+2,2)),VALUE(MID(H200,FIND("15",H200,FIND("01",H200)+16)+4,2)),VALUE(MID(H200,FIND("15",H200,FIND("01",H200)+16)+6,2))),"")</f>
        <v/>
      </c>
      <c r="F200" s="8">
        <f>IFERROR(MID(H200,FIND("10",H200,FIND("15",H200,FIND("01",H200)+16)+8)+2,50),"")</f>
        <v/>
      </c>
      <c r="G200" s="8" t="n"/>
      <c r="H200" s="8">
        <f>SUBSTITUTE(SUBSTITUTE(SUBSTITUTE(SUBSTITUTE(A200,"(",""),")","")," ",""),CHAR(29),"")</f>
        <v/>
      </c>
    </row>
    <row r="201">
      <c r="A201" s="4" t="n"/>
      <c r="B201" s="5">
        <f>IFERROR(MID(H201,FIND("01",H201)+2,14),"")</f>
        <v/>
      </c>
      <c r="C201" s="4">
        <f>IF(A201="","",IFERROR(VLOOKUP(B201,TblArticles,2,FALSE),"GTIN inconnu"))</f>
        <v/>
      </c>
      <c r="D201" s="5">
        <f>IF(A201="","",IFERROR(VLOOKUP(B201,TblArticles,3,FALSE),""))</f>
        <v/>
      </c>
      <c r="E201" s="6">
        <f>IFERROR(DATE(2000+VALUE(MID(H201,FIND("15",H201,FIND("01",H201)+16)+2,2)),VALUE(MID(H201,FIND("15",H201,FIND("01",H201)+16)+4,2)),VALUE(MID(H201,FIND("15",H201,FIND("01",H201)+16)+6,2))),"")</f>
        <v/>
      </c>
      <c r="F201" s="5">
        <f>IFERROR(MID(H201,FIND("10",H201,FIND("15",H201,FIND("01",H201)+16)+8)+2,50),"")</f>
        <v/>
      </c>
      <c r="G201" s="5" t="n"/>
      <c r="H201" s="5">
        <f>SUBSTITUTE(SUBSTITUTE(SUBSTITUTE(SUBSTITUTE(A201,"(",""),")","")," ",""),CHAR(29),"")</f>
        <v/>
      </c>
    </row>
    <row r="202">
      <c r="A202" s="7" t="n"/>
      <c r="B202" s="8">
        <f>IFERROR(MID(H202,FIND("01",H202)+2,14),"")</f>
        <v/>
      </c>
      <c r="C202" s="7">
        <f>IF(A202="","",IFERROR(VLOOKUP(B202,TblArticles,2,FALSE),"GTIN inconnu"))</f>
        <v/>
      </c>
      <c r="D202" s="8">
        <f>IF(A202="","",IFERROR(VLOOKUP(B202,TblArticles,3,FALSE),""))</f>
        <v/>
      </c>
      <c r="E202" s="9">
        <f>IFERROR(DATE(2000+VALUE(MID(H202,FIND("15",H202,FIND("01",H202)+16)+2,2)),VALUE(MID(H202,FIND("15",H202,FIND("01",H202)+16)+4,2)),VALUE(MID(H202,FIND("15",H202,FIND("01",H202)+16)+6,2))),"")</f>
        <v/>
      </c>
      <c r="F202" s="8">
        <f>IFERROR(MID(H202,FIND("10",H202,FIND("15",H202,FIND("01",H202)+16)+8)+2,50),"")</f>
        <v/>
      </c>
      <c r="G202" s="8" t="n"/>
      <c r="H202" s="8">
        <f>SUBSTITUTE(SUBSTITUTE(SUBSTITUTE(SUBSTITUTE(A202,"(",""),")","")," ",""),CHAR(29),"")</f>
        <v/>
      </c>
    </row>
    <row r="203">
      <c r="A203" s="4" t="n"/>
      <c r="B203" s="5">
        <f>IFERROR(MID(H203,FIND("01",H203)+2,14),"")</f>
        <v/>
      </c>
      <c r="C203" s="4">
        <f>IF(A203="","",IFERROR(VLOOKUP(B203,TblArticles,2,FALSE),"GTIN inconnu"))</f>
        <v/>
      </c>
      <c r="D203" s="5">
        <f>IF(A203="","",IFERROR(VLOOKUP(B203,TblArticles,3,FALSE),""))</f>
        <v/>
      </c>
      <c r="E203" s="6">
        <f>IFERROR(DATE(2000+VALUE(MID(H203,FIND("15",H203,FIND("01",H203)+16)+2,2)),VALUE(MID(H203,FIND("15",H203,FIND("01",H203)+16)+4,2)),VALUE(MID(H203,FIND("15",H203,FIND("01",H203)+16)+6,2))),"")</f>
        <v/>
      </c>
      <c r="F203" s="5">
        <f>IFERROR(MID(H203,FIND("10",H203,FIND("15",H203,FIND("01",H203)+16)+8)+2,50),"")</f>
        <v/>
      </c>
      <c r="G203" s="5" t="n"/>
      <c r="H203" s="5">
        <f>SUBSTITUTE(SUBSTITUTE(SUBSTITUTE(SUBSTITUTE(A203,"(",""),")","")," ",""),CHAR(29),"")</f>
        <v/>
      </c>
    </row>
    <row r="204">
      <c r="A204" s="7" t="n"/>
      <c r="B204" s="8">
        <f>IFERROR(MID(H204,FIND("01",H204)+2,14),"")</f>
        <v/>
      </c>
      <c r="C204" s="7">
        <f>IF(A204="","",IFERROR(VLOOKUP(B204,TblArticles,2,FALSE),"GTIN inconnu"))</f>
        <v/>
      </c>
      <c r="D204" s="8">
        <f>IF(A204="","",IFERROR(VLOOKUP(B204,TblArticles,3,FALSE),""))</f>
        <v/>
      </c>
      <c r="E204" s="9">
        <f>IFERROR(DATE(2000+VALUE(MID(H204,FIND("15",H204,FIND("01",H204)+16)+2,2)),VALUE(MID(H204,FIND("15",H204,FIND("01",H204)+16)+4,2)),VALUE(MID(H204,FIND("15",H204,FIND("01",H204)+16)+6,2))),"")</f>
        <v/>
      </c>
      <c r="F204" s="8">
        <f>IFERROR(MID(H204,FIND("10",H204,FIND("15",H204,FIND("01",H204)+16)+8)+2,50),"")</f>
        <v/>
      </c>
      <c r="G204" s="8" t="n"/>
      <c r="H204" s="8">
        <f>SUBSTITUTE(SUBSTITUTE(SUBSTITUTE(SUBSTITUTE(A204,"(",""),")","")," ",""),CHAR(29),"")</f>
        <v/>
      </c>
    </row>
    <row r="205">
      <c r="A205" s="4" t="n"/>
      <c r="B205" s="5">
        <f>IFERROR(MID(H205,FIND("01",H205)+2,14),"")</f>
        <v/>
      </c>
      <c r="C205" s="4">
        <f>IF(A205="","",IFERROR(VLOOKUP(B205,TblArticles,2,FALSE),"GTIN inconnu"))</f>
        <v/>
      </c>
      <c r="D205" s="5">
        <f>IF(A205="","",IFERROR(VLOOKUP(B205,TblArticles,3,FALSE),""))</f>
        <v/>
      </c>
      <c r="E205" s="6">
        <f>IFERROR(DATE(2000+VALUE(MID(H205,FIND("15",H205,FIND("01",H205)+16)+2,2)),VALUE(MID(H205,FIND("15",H205,FIND("01",H205)+16)+4,2)),VALUE(MID(H205,FIND("15",H205,FIND("01",H205)+16)+6,2))),"")</f>
        <v/>
      </c>
      <c r="F205" s="5">
        <f>IFERROR(MID(H205,FIND("10",H205,FIND("15",H205,FIND("01",H205)+16)+8)+2,50),"")</f>
        <v/>
      </c>
      <c r="G205" s="5" t="n"/>
      <c r="H205" s="5">
        <f>SUBSTITUTE(SUBSTITUTE(SUBSTITUTE(SUBSTITUTE(A205,"(",""),")","")," ",""),CHAR(29),"")</f>
        <v/>
      </c>
    </row>
    <row r="206">
      <c r="A206" s="7" t="n"/>
      <c r="B206" s="8">
        <f>IFERROR(MID(H206,FIND("01",H206)+2,14),"")</f>
        <v/>
      </c>
      <c r="C206" s="7">
        <f>IF(A206="","",IFERROR(VLOOKUP(B206,TblArticles,2,FALSE),"GTIN inconnu"))</f>
        <v/>
      </c>
      <c r="D206" s="8">
        <f>IF(A206="","",IFERROR(VLOOKUP(B206,TblArticles,3,FALSE),""))</f>
        <v/>
      </c>
      <c r="E206" s="9">
        <f>IFERROR(DATE(2000+VALUE(MID(H206,FIND("15",H206,FIND("01",H206)+16)+2,2)),VALUE(MID(H206,FIND("15",H206,FIND("01",H206)+16)+4,2)),VALUE(MID(H206,FIND("15",H206,FIND("01",H206)+16)+6,2))),"")</f>
        <v/>
      </c>
      <c r="F206" s="8">
        <f>IFERROR(MID(H206,FIND("10",H206,FIND("15",H206,FIND("01",H206)+16)+8)+2,50),"")</f>
        <v/>
      </c>
      <c r="G206" s="8" t="n"/>
      <c r="H206" s="8">
        <f>SUBSTITUTE(SUBSTITUTE(SUBSTITUTE(SUBSTITUTE(A206,"(",""),")","")," ",""),CHAR(29),"")</f>
        <v/>
      </c>
    </row>
    <row r="207">
      <c r="A207" s="4" t="n"/>
      <c r="B207" s="5">
        <f>IFERROR(MID(H207,FIND("01",H207)+2,14),"")</f>
        <v/>
      </c>
      <c r="C207" s="4">
        <f>IF(A207="","",IFERROR(VLOOKUP(B207,TblArticles,2,FALSE),"GTIN inconnu"))</f>
        <v/>
      </c>
      <c r="D207" s="5">
        <f>IF(A207="","",IFERROR(VLOOKUP(B207,TblArticles,3,FALSE),""))</f>
        <v/>
      </c>
      <c r="E207" s="6">
        <f>IFERROR(DATE(2000+VALUE(MID(H207,FIND("15",H207,FIND("01",H207)+16)+2,2)),VALUE(MID(H207,FIND("15",H207,FIND("01",H207)+16)+4,2)),VALUE(MID(H207,FIND("15",H207,FIND("01",H207)+16)+6,2))),"")</f>
        <v/>
      </c>
      <c r="F207" s="5">
        <f>IFERROR(MID(H207,FIND("10",H207,FIND("15",H207,FIND("01",H207)+16)+8)+2,50),"")</f>
        <v/>
      </c>
      <c r="G207" s="5" t="n"/>
      <c r="H207" s="5">
        <f>SUBSTITUTE(SUBSTITUTE(SUBSTITUTE(SUBSTITUTE(A207,"(",""),")","")," ",""),CHAR(29),"")</f>
        <v/>
      </c>
    </row>
    <row r="208">
      <c r="A208" s="7" t="n"/>
      <c r="B208" s="8">
        <f>IFERROR(MID(H208,FIND("01",H208)+2,14),"")</f>
        <v/>
      </c>
      <c r="C208" s="7">
        <f>IF(A208="","",IFERROR(VLOOKUP(B208,TblArticles,2,FALSE),"GTIN inconnu"))</f>
        <v/>
      </c>
      <c r="D208" s="8">
        <f>IF(A208="","",IFERROR(VLOOKUP(B208,TblArticles,3,FALSE),""))</f>
        <v/>
      </c>
      <c r="E208" s="9">
        <f>IFERROR(DATE(2000+VALUE(MID(H208,FIND("15",H208,FIND("01",H208)+16)+2,2)),VALUE(MID(H208,FIND("15",H208,FIND("01",H208)+16)+4,2)),VALUE(MID(H208,FIND("15",H208,FIND("01",H208)+16)+6,2))),"")</f>
        <v/>
      </c>
      <c r="F208" s="8">
        <f>IFERROR(MID(H208,FIND("10",H208,FIND("15",H208,FIND("01",H208)+16)+8)+2,50),"")</f>
        <v/>
      </c>
      <c r="G208" s="8" t="n"/>
      <c r="H208" s="8">
        <f>SUBSTITUTE(SUBSTITUTE(SUBSTITUTE(SUBSTITUTE(A208,"(",""),")","")," ",""),CHAR(29),"")</f>
        <v/>
      </c>
    </row>
    <row r="209">
      <c r="A209" s="4" t="n"/>
      <c r="B209" s="5">
        <f>IFERROR(MID(H209,FIND("01",H209)+2,14),"")</f>
        <v/>
      </c>
      <c r="C209" s="4">
        <f>IF(A209="","",IFERROR(VLOOKUP(B209,TblArticles,2,FALSE),"GTIN inconnu"))</f>
        <v/>
      </c>
      <c r="D209" s="5">
        <f>IF(A209="","",IFERROR(VLOOKUP(B209,TblArticles,3,FALSE),""))</f>
        <v/>
      </c>
      <c r="E209" s="6">
        <f>IFERROR(DATE(2000+VALUE(MID(H209,FIND("15",H209,FIND("01",H209)+16)+2,2)),VALUE(MID(H209,FIND("15",H209,FIND("01",H209)+16)+4,2)),VALUE(MID(H209,FIND("15",H209,FIND("01",H209)+16)+6,2))),"")</f>
        <v/>
      </c>
      <c r="F209" s="5">
        <f>IFERROR(MID(H209,FIND("10",H209,FIND("15",H209,FIND("01",H209)+16)+8)+2,50),"")</f>
        <v/>
      </c>
      <c r="G209" s="5" t="n"/>
      <c r="H209" s="5">
        <f>SUBSTITUTE(SUBSTITUTE(SUBSTITUTE(SUBSTITUTE(A209,"(",""),")","")," ",""),CHAR(29),"")</f>
        <v/>
      </c>
    </row>
    <row r="210">
      <c r="A210" s="7" t="n"/>
      <c r="B210" s="8">
        <f>IFERROR(MID(H210,FIND("01",H210)+2,14),"")</f>
        <v/>
      </c>
      <c r="C210" s="7">
        <f>IF(A210="","",IFERROR(VLOOKUP(B210,TblArticles,2,FALSE),"GTIN inconnu"))</f>
        <v/>
      </c>
      <c r="D210" s="8">
        <f>IF(A210="","",IFERROR(VLOOKUP(B210,TblArticles,3,FALSE),""))</f>
        <v/>
      </c>
      <c r="E210" s="9">
        <f>IFERROR(DATE(2000+VALUE(MID(H210,FIND("15",H210,FIND("01",H210)+16)+2,2)),VALUE(MID(H210,FIND("15",H210,FIND("01",H210)+16)+4,2)),VALUE(MID(H210,FIND("15",H210,FIND("01",H210)+16)+6,2))),"")</f>
        <v/>
      </c>
      <c r="F210" s="8">
        <f>IFERROR(MID(H210,FIND("10",H210,FIND("15",H210,FIND("01",H210)+16)+8)+2,50),"")</f>
        <v/>
      </c>
      <c r="G210" s="8" t="n"/>
      <c r="H210" s="8">
        <f>SUBSTITUTE(SUBSTITUTE(SUBSTITUTE(SUBSTITUTE(A210,"(",""),")","")," ",""),CHAR(29),"")</f>
        <v/>
      </c>
    </row>
    <row r="211">
      <c r="A211" s="4" t="n"/>
      <c r="B211" s="5">
        <f>IFERROR(MID(H211,FIND("01",H211)+2,14),"")</f>
        <v/>
      </c>
      <c r="C211" s="4">
        <f>IF(A211="","",IFERROR(VLOOKUP(B211,TblArticles,2,FALSE),"GTIN inconnu"))</f>
        <v/>
      </c>
      <c r="D211" s="5">
        <f>IF(A211="","",IFERROR(VLOOKUP(B211,TblArticles,3,FALSE),""))</f>
        <v/>
      </c>
      <c r="E211" s="6">
        <f>IFERROR(DATE(2000+VALUE(MID(H211,FIND("15",H211,FIND("01",H211)+16)+2,2)),VALUE(MID(H211,FIND("15",H211,FIND("01",H211)+16)+4,2)),VALUE(MID(H211,FIND("15",H211,FIND("01",H211)+16)+6,2))),"")</f>
        <v/>
      </c>
      <c r="F211" s="5">
        <f>IFERROR(MID(H211,FIND("10",H211,FIND("15",H211,FIND("01",H211)+16)+8)+2,50),"")</f>
        <v/>
      </c>
      <c r="G211" s="5" t="n"/>
      <c r="H211" s="5">
        <f>SUBSTITUTE(SUBSTITUTE(SUBSTITUTE(SUBSTITUTE(A211,"(",""),")","")," ",""),CHAR(29),"")</f>
        <v/>
      </c>
    </row>
    <row r="212">
      <c r="A212" s="7" t="n"/>
      <c r="B212" s="8">
        <f>IFERROR(MID(H212,FIND("01",H212)+2,14),"")</f>
        <v/>
      </c>
      <c r="C212" s="7">
        <f>IF(A212="","",IFERROR(VLOOKUP(B212,TblArticles,2,FALSE),"GTIN inconnu"))</f>
        <v/>
      </c>
      <c r="D212" s="8">
        <f>IF(A212="","",IFERROR(VLOOKUP(B212,TblArticles,3,FALSE),""))</f>
        <v/>
      </c>
      <c r="E212" s="9">
        <f>IFERROR(DATE(2000+VALUE(MID(H212,FIND("15",H212,FIND("01",H212)+16)+2,2)),VALUE(MID(H212,FIND("15",H212,FIND("01",H212)+16)+4,2)),VALUE(MID(H212,FIND("15",H212,FIND("01",H212)+16)+6,2))),"")</f>
        <v/>
      </c>
      <c r="F212" s="8">
        <f>IFERROR(MID(H212,FIND("10",H212,FIND("15",H212,FIND("01",H212)+16)+8)+2,50),"")</f>
        <v/>
      </c>
      <c r="G212" s="8" t="n"/>
      <c r="H212" s="8">
        <f>SUBSTITUTE(SUBSTITUTE(SUBSTITUTE(SUBSTITUTE(A212,"(",""),")","")," ",""),CHAR(29),"")</f>
        <v/>
      </c>
    </row>
    <row r="213">
      <c r="A213" s="4" t="n"/>
      <c r="B213" s="5">
        <f>IFERROR(MID(H213,FIND("01",H213)+2,14),"")</f>
        <v/>
      </c>
      <c r="C213" s="4">
        <f>IF(A213="","",IFERROR(VLOOKUP(B213,TblArticles,2,FALSE),"GTIN inconnu"))</f>
        <v/>
      </c>
      <c r="D213" s="5">
        <f>IF(A213="","",IFERROR(VLOOKUP(B213,TblArticles,3,FALSE),""))</f>
        <v/>
      </c>
      <c r="E213" s="6">
        <f>IFERROR(DATE(2000+VALUE(MID(H213,FIND("15",H213,FIND("01",H213)+16)+2,2)),VALUE(MID(H213,FIND("15",H213,FIND("01",H213)+16)+4,2)),VALUE(MID(H213,FIND("15",H213,FIND("01",H213)+16)+6,2))),"")</f>
        <v/>
      </c>
      <c r="F213" s="5">
        <f>IFERROR(MID(H213,FIND("10",H213,FIND("15",H213,FIND("01",H213)+16)+8)+2,50),"")</f>
        <v/>
      </c>
      <c r="G213" s="5" t="n"/>
      <c r="H213" s="5">
        <f>SUBSTITUTE(SUBSTITUTE(SUBSTITUTE(SUBSTITUTE(A213,"(",""),")","")," ",""),CHAR(29),"")</f>
        <v/>
      </c>
    </row>
    <row r="214">
      <c r="A214" s="7" t="n"/>
      <c r="B214" s="8">
        <f>IFERROR(MID(H214,FIND("01",H214)+2,14),"")</f>
        <v/>
      </c>
      <c r="C214" s="7">
        <f>IF(A214="","",IFERROR(VLOOKUP(B214,TblArticles,2,FALSE),"GTIN inconnu"))</f>
        <v/>
      </c>
      <c r="D214" s="8">
        <f>IF(A214="","",IFERROR(VLOOKUP(B214,TblArticles,3,FALSE),""))</f>
        <v/>
      </c>
      <c r="E214" s="9">
        <f>IFERROR(DATE(2000+VALUE(MID(H214,FIND("15",H214,FIND("01",H214)+16)+2,2)),VALUE(MID(H214,FIND("15",H214,FIND("01",H214)+16)+4,2)),VALUE(MID(H214,FIND("15",H214,FIND("01",H214)+16)+6,2))),"")</f>
        <v/>
      </c>
      <c r="F214" s="8">
        <f>IFERROR(MID(H214,FIND("10",H214,FIND("15",H214,FIND("01",H214)+16)+8)+2,50),"")</f>
        <v/>
      </c>
      <c r="G214" s="8" t="n"/>
      <c r="H214" s="8">
        <f>SUBSTITUTE(SUBSTITUTE(SUBSTITUTE(SUBSTITUTE(A214,"(",""),")","")," ",""),CHAR(29),"")</f>
        <v/>
      </c>
    </row>
    <row r="215">
      <c r="A215" s="4" t="n"/>
      <c r="B215" s="5">
        <f>IFERROR(MID(H215,FIND("01",H215)+2,14),"")</f>
        <v/>
      </c>
      <c r="C215" s="4">
        <f>IF(A215="","",IFERROR(VLOOKUP(B215,TblArticles,2,FALSE),"GTIN inconnu"))</f>
        <v/>
      </c>
      <c r="D215" s="5">
        <f>IF(A215="","",IFERROR(VLOOKUP(B215,TblArticles,3,FALSE),""))</f>
        <v/>
      </c>
      <c r="E215" s="6">
        <f>IFERROR(DATE(2000+VALUE(MID(H215,FIND("15",H215,FIND("01",H215)+16)+2,2)),VALUE(MID(H215,FIND("15",H215,FIND("01",H215)+16)+4,2)),VALUE(MID(H215,FIND("15",H215,FIND("01",H215)+16)+6,2))),"")</f>
        <v/>
      </c>
      <c r="F215" s="5">
        <f>IFERROR(MID(H215,FIND("10",H215,FIND("15",H215,FIND("01",H215)+16)+8)+2,50),"")</f>
        <v/>
      </c>
      <c r="G215" s="5" t="n"/>
      <c r="H215" s="5">
        <f>SUBSTITUTE(SUBSTITUTE(SUBSTITUTE(SUBSTITUTE(A215,"(",""),")","")," ",""),CHAR(29),"")</f>
        <v/>
      </c>
    </row>
    <row r="216">
      <c r="A216" s="7" t="n"/>
      <c r="B216" s="8">
        <f>IFERROR(MID(H216,FIND("01",H216)+2,14),"")</f>
        <v/>
      </c>
      <c r="C216" s="7">
        <f>IF(A216="","",IFERROR(VLOOKUP(B216,TblArticles,2,FALSE),"GTIN inconnu"))</f>
        <v/>
      </c>
      <c r="D216" s="8">
        <f>IF(A216="","",IFERROR(VLOOKUP(B216,TblArticles,3,FALSE),""))</f>
        <v/>
      </c>
      <c r="E216" s="9">
        <f>IFERROR(DATE(2000+VALUE(MID(H216,FIND("15",H216,FIND("01",H216)+16)+2,2)),VALUE(MID(H216,FIND("15",H216,FIND("01",H216)+16)+4,2)),VALUE(MID(H216,FIND("15",H216,FIND("01",H216)+16)+6,2))),"")</f>
        <v/>
      </c>
      <c r="F216" s="8">
        <f>IFERROR(MID(H216,FIND("10",H216,FIND("15",H216,FIND("01",H216)+16)+8)+2,50),"")</f>
        <v/>
      </c>
      <c r="G216" s="8" t="n"/>
      <c r="H216" s="8">
        <f>SUBSTITUTE(SUBSTITUTE(SUBSTITUTE(SUBSTITUTE(A216,"(",""),")","")," ",""),CHAR(29),"")</f>
        <v/>
      </c>
    </row>
    <row r="217">
      <c r="A217" s="4" t="n"/>
      <c r="B217" s="5">
        <f>IFERROR(MID(H217,FIND("01",H217)+2,14),"")</f>
        <v/>
      </c>
      <c r="C217" s="4">
        <f>IF(A217="","",IFERROR(VLOOKUP(B217,TblArticles,2,FALSE),"GTIN inconnu"))</f>
        <v/>
      </c>
      <c r="D217" s="5">
        <f>IF(A217="","",IFERROR(VLOOKUP(B217,TblArticles,3,FALSE),""))</f>
        <v/>
      </c>
      <c r="E217" s="6">
        <f>IFERROR(DATE(2000+VALUE(MID(H217,FIND("15",H217,FIND("01",H217)+16)+2,2)),VALUE(MID(H217,FIND("15",H217,FIND("01",H217)+16)+4,2)),VALUE(MID(H217,FIND("15",H217,FIND("01",H217)+16)+6,2))),"")</f>
        <v/>
      </c>
      <c r="F217" s="5">
        <f>IFERROR(MID(H217,FIND("10",H217,FIND("15",H217,FIND("01",H217)+16)+8)+2,50),"")</f>
        <v/>
      </c>
      <c r="G217" s="5" t="n"/>
      <c r="H217" s="5">
        <f>SUBSTITUTE(SUBSTITUTE(SUBSTITUTE(SUBSTITUTE(A217,"(",""),")","")," ",""),CHAR(29),"")</f>
        <v/>
      </c>
    </row>
    <row r="218">
      <c r="A218" s="7" t="n"/>
      <c r="B218" s="8">
        <f>IFERROR(MID(H218,FIND("01",H218)+2,14),"")</f>
        <v/>
      </c>
      <c r="C218" s="7">
        <f>IF(A218="","",IFERROR(VLOOKUP(B218,TblArticles,2,FALSE),"GTIN inconnu"))</f>
        <v/>
      </c>
      <c r="D218" s="8">
        <f>IF(A218="","",IFERROR(VLOOKUP(B218,TblArticles,3,FALSE),""))</f>
        <v/>
      </c>
      <c r="E218" s="9">
        <f>IFERROR(DATE(2000+VALUE(MID(H218,FIND("15",H218,FIND("01",H218)+16)+2,2)),VALUE(MID(H218,FIND("15",H218,FIND("01",H218)+16)+4,2)),VALUE(MID(H218,FIND("15",H218,FIND("01",H218)+16)+6,2))),"")</f>
        <v/>
      </c>
      <c r="F218" s="8">
        <f>IFERROR(MID(H218,FIND("10",H218,FIND("15",H218,FIND("01",H218)+16)+8)+2,50),"")</f>
        <v/>
      </c>
      <c r="G218" s="8" t="n"/>
      <c r="H218" s="8">
        <f>SUBSTITUTE(SUBSTITUTE(SUBSTITUTE(SUBSTITUTE(A218,"(",""),")","")," ",""),CHAR(29),"")</f>
        <v/>
      </c>
    </row>
    <row r="219">
      <c r="A219" s="4" t="n"/>
      <c r="B219" s="5">
        <f>IFERROR(MID(H219,FIND("01",H219)+2,14),"")</f>
        <v/>
      </c>
      <c r="C219" s="4">
        <f>IF(A219="","",IFERROR(VLOOKUP(B219,TblArticles,2,FALSE),"GTIN inconnu"))</f>
        <v/>
      </c>
      <c r="D219" s="5">
        <f>IF(A219="","",IFERROR(VLOOKUP(B219,TblArticles,3,FALSE),""))</f>
        <v/>
      </c>
      <c r="E219" s="6">
        <f>IFERROR(DATE(2000+VALUE(MID(H219,FIND("15",H219,FIND("01",H219)+16)+2,2)),VALUE(MID(H219,FIND("15",H219,FIND("01",H219)+16)+4,2)),VALUE(MID(H219,FIND("15",H219,FIND("01",H219)+16)+6,2))),"")</f>
        <v/>
      </c>
      <c r="F219" s="5">
        <f>IFERROR(MID(H219,FIND("10",H219,FIND("15",H219,FIND("01",H219)+16)+8)+2,50),"")</f>
        <v/>
      </c>
      <c r="G219" s="5" t="n"/>
      <c r="H219" s="5">
        <f>SUBSTITUTE(SUBSTITUTE(SUBSTITUTE(SUBSTITUTE(A219,"(",""),")","")," ",""),CHAR(29),"")</f>
        <v/>
      </c>
    </row>
    <row r="220">
      <c r="A220" s="7" t="n"/>
      <c r="B220" s="8">
        <f>IFERROR(MID(H220,FIND("01",H220)+2,14),"")</f>
        <v/>
      </c>
      <c r="C220" s="7">
        <f>IF(A220="","",IFERROR(VLOOKUP(B220,TblArticles,2,FALSE),"GTIN inconnu"))</f>
        <v/>
      </c>
      <c r="D220" s="8">
        <f>IF(A220="","",IFERROR(VLOOKUP(B220,TblArticles,3,FALSE),""))</f>
        <v/>
      </c>
      <c r="E220" s="9">
        <f>IFERROR(DATE(2000+VALUE(MID(H220,FIND("15",H220,FIND("01",H220)+16)+2,2)),VALUE(MID(H220,FIND("15",H220,FIND("01",H220)+16)+4,2)),VALUE(MID(H220,FIND("15",H220,FIND("01",H220)+16)+6,2))),"")</f>
        <v/>
      </c>
      <c r="F220" s="8">
        <f>IFERROR(MID(H220,FIND("10",H220,FIND("15",H220,FIND("01",H220)+16)+8)+2,50),"")</f>
        <v/>
      </c>
      <c r="G220" s="8" t="n"/>
      <c r="H220" s="8">
        <f>SUBSTITUTE(SUBSTITUTE(SUBSTITUTE(SUBSTITUTE(A220,"(",""),")","")," ",""),CHAR(29),"")</f>
        <v/>
      </c>
    </row>
    <row r="221">
      <c r="A221" s="4" t="n"/>
      <c r="B221" s="5">
        <f>IFERROR(MID(H221,FIND("01",H221)+2,14),"")</f>
        <v/>
      </c>
      <c r="C221" s="4">
        <f>IF(A221="","",IFERROR(VLOOKUP(B221,TblArticles,2,FALSE),"GTIN inconnu"))</f>
        <v/>
      </c>
      <c r="D221" s="5">
        <f>IF(A221="","",IFERROR(VLOOKUP(B221,TblArticles,3,FALSE),""))</f>
        <v/>
      </c>
      <c r="E221" s="6">
        <f>IFERROR(DATE(2000+VALUE(MID(H221,FIND("15",H221,FIND("01",H221)+16)+2,2)),VALUE(MID(H221,FIND("15",H221,FIND("01",H221)+16)+4,2)),VALUE(MID(H221,FIND("15",H221,FIND("01",H221)+16)+6,2))),"")</f>
        <v/>
      </c>
      <c r="F221" s="5">
        <f>IFERROR(MID(H221,FIND("10",H221,FIND("15",H221,FIND("01",H221)+16)+8)+2,50),"")</f>
        <v/>
      </c>
      <c r="G221" s="5" t="n"/>
      <c r="H221" s="5">
        <f>SUBSTITUTE(SUBSTITUTE(SUBSTITUTE(SUBSTITUTE(A221,"(",""),")","")," ",""),CHAR(29),"")</f>
        <v/>
      </c>
    </row>
    <row r="222">
      <c r="A222" s="7" t="n"/>
      <c r="B222" s="8">
        <f>IFERROR(MID(H222,FIND("01",H222)+2,14),"")</f>
        <v/>
      </c>
      <c r="C222" s="7">
        <f>IF(A222="","",IFERROR(VLOOKUP(B222,TblArticles,2,FALSE),"GTIN inconnu"))</f>
        <v/>
      </c>
      <c r="D222" s="8">
        <f>IF(A222="","",IFERROR(VLOOKUP(B222,TblArticles,3,FALSE),""))</f>
        <v/>
      </c>
      <c r="E222" s="9">
        <f>IFERROR(DATE(2000+VALUE(MID(H222,FIND("15",H222,FIND("01",H222)+16)+2,2)),VALUE(MID(H222,FIND("15",H222,FIND("01",H222)+16)+4,2)),VALUE(MID(H222,FIND("15",H222,FIND("01",H222)+16)+6,2))),"")</f>
        <v/>
      </c>
      <c r="F222" s="8">
        <f>IFERROR(MID(H222,FIND("10",H222,FIND("15",H222,FIND("01",H222)+16)+8)+2,50),"")</f>
        <v/>
      </c>
      <c r="G222" s="8" t="n"/>
      <c r="H222" s="8">
        <f>SUBSTITUTE(SUBSTITUTE(SUBSTITUTE(SUBSTITUTE(A222,"(",""),")","")," ",""),CHAR(29),"")</f>
        <v/>
      </c>
    </row>
    <row r="223">
      <c r="A223" s="4" t="n"/>
      <c r="B223" s="5">
        <f>IFERROR(MID(H223,FIND("01",H223)+2,14),"")</f>
        <v/>
      </c>
      <c r="C223" s="4">
        <f>IF(A223="","",IFERROR(VLOOKUP(B223,TblArticles,2,FALSE),"GTIN inconnu"))</f>
        <v/>
      </c>
      <c r="D223" s="5">
        <f>IF(A223="","",IFERROR(VLOOKUP(B223,TblArticles,3,FALSE),""))</f>
        <v/>
      </c>
      <c r="E223" s="6">
        <f>IFERROR(DATE(2000+VALUE(MID(H223,FIND("15",H223,FIND("01",H223)+16)+2,2)),VALUE(MID(H223,FIND("15",H223,FIND("01",H223)+16)+4,2)),VALUE(MID(H223,FIND("15",H223,FIND("01",H223)+16)+6,2))),"")</f>
        <v/>
      </c>
      <c r="F223" s="5">
        <f>IFERROR(MID(H223,FIND("10",H223,FIND("15",H223,FIND("01",H223)+16)+8)+2,50),"")</f>
        <v/>
      </c>
      <c r="G223" s="5" t="n"/>
      <c r="H223" s="5">
        <f>SUBSTITUTE(SUBSTITUTE(SUBSTITUTE(SUBSTITUTE(A223,"(",""),")","")," ",""),CHAR(29),"")</f>
        <v/>
      </c>
    </row>
    <row r="224">
      <c r="A224" s="7" t="n"/>
      <c r="B224" s="8">
        <f>IFERROR(MID(H224,FIND("01",H224)+2,14),"")</f>
        <v/>
      </c>
      <c r="C224" s="7">
        <f>IF(A224="","",IFERROR(VLOOKUP(B224,TblArticles,2,FALSE),"GTIN inconnu"))</f>
        <v/>
      </c>
      <c r="D224" s="8">
        <f>IF(A224="","",IFERROR(VLOOKUP(B224,TblArticles,3,FALSE),""))</f>
        <v/>
      </c>
      <c r="E224" s="9">
        <f>IFERROR(DATE(2000+VALUE(MID(H224,FIND("15",H224,FIND("01",H224)+16)+2,2)),VALUE(MID(H224,FIND("15",H224,FIND("01",H224)+16)+4,2)),VALUE(MID(H224,FIND("15",H224,FIND("01",H224)+16)+6,2))),"")</f>
        <v/>
      </c>
      <c r="F224" s="8">
        <f>IFERROR(MID(H224,FIND("10",H224,FIND("15",H224,FIND("01",H224)+16)+8)+2,50),"")</f>
        <v/>
      </c>
      <c r="G224" s="8" t="n"/>
      <c r="H224" s="8">
        <f>SUBSTITUTE(SUBSTITUTE(SUBSTITUTE(SUBSTITUTE(A224,"(",""),")","")," ",""),CHAR(29),"")</f>
        <v/>
      </c>
    </row>
    <row r="225">
      <c r="A225" s="4" t="n"/>
      <c r="B225" s="5">
        <f>IFERROR(MID(H225,FIND("01",H225)+2,14),"")</f>
        <v/>
      </c>
      <c r="C225" s="4">
        <f>IF(A225="","",IFERROR(VLOOKUP(B225,TblArticles,2,FALSE),"GTIN inconnu"))</f>
        <v/>
      </c>
      <c r="D225" s="5">
        <f>IF(A225="","",IFERROR(VLOOKUP(B225,TblArticles,3,FALSE),""))</f>
        <v/>
      </c>
      <c r="E225" s="6">
        <f>IFERROR(DATE(2000+VALUE(MID(H225,FIND("15",H225,FIND("01",H225)+16)+2,2)),VALUE(MID(H225,FIND("15",H225,FIND("01",H225)+16)+4,2)),VALUE(MID(H225,FIND("15",H225,FIND("01",H225)+16)+6,2))),"")</f>
        <v/>
      </c>
      <c r="F225" s="5">
        <f>IFERROR(MID(H225,FIND("10",H225,FIND("15",H225,FIND("01",H225)+16)+8)+2,50),"")</f>
        <v/>
      </c>
      <c r="G225" s="5" t="n"/>
      <c r="H225" s="5">
        <f>SUBSTITUTE(SUBSTITUTE(SUBSTITUTE(SUBSTITUTE(A225,"(",""),")","")," ",""),CHAR(29),"")</f>
        <v/>
      </c>
    </row>
    <row r="226">
      <c r="A226" s="7" t="n"/>
      <c r="B226" s="8">
        <f>IFERROR(MID(H226,FIND("01",H226)+2,14),"")</f>
        <v/>
      </c>
      <c r="C226" s="7">
        <f>IF(A226="","",IFERROR(VLOOKUP(B226,TblArticles,2,FALSE),"GTIN inconnu"))</f>
        <v/>
      </c>
      <c r="D226" s="8">
        <f>IF(A226="","",IFERROR(VLOOKUP(B226,TblArticles,3,FALSE),""))</f>
        <v/>
      </c>
      <c r="E226" s="9">
        <f>IFERROR(DATE(2000+VALUE(MID(H226,FIND("15",H226,FIND("01",H226)+16)+2,2)),VALUE(MID(H226,FIND("15",H226,FIND("01",H226)+16)+4,2)),VALUE(MID(H226,FIND("15",H226,FIND("01",H226)+16)+6,2))),"")</f>
        <v/>
      </c>
      <c r="F226" s="8">
        <f>IFERROR(MID(H226,FIND("10",H226,FIND("15",H226,FIND("01",H226)+16)+8)+2,50),"")</f>
        <v/>
      </c>
      <c r="G226" s="8" t="n"/>
      <c r="H226" s="8">
        <f>SUBSTITUTE(SUBSTITUTE(SUBSTITUTE(SUBSTITUTE(A226,"(",""),")","")," ",""),CHAR(29),"")</f>
        <v/>
      </c>
    </row>
    <row r="227">
      <c r="A227" s="4" t="n"/>
      <c r="B227" s="5">
        <f>IFERROR(MID(H227,FIND("01",H227)+2,14),"")</f>
        <v/>
      </c>
      <c r="C227" s="4">
        <f>IF(A227="","",IFERROR(VLOOKUP(B227,TblArticles,2,FALSE),"GTIN inconnu"))</f>
        <v/>
      </c>
      <c r="D227" s="5">
        <f>IF(A227="","",IFERROR(VLOOKUP(B227,TblArticles,3,FALSE),""))</f>
        <v/>
      </c>
      <c r="E227" s="6">
        <f>IFERROR(DATE(2000+VALUE(MID(H227,FIND("15",H227,FIND("01",H227)+16)+2,2)),VALUE(MID(H227,FIND("15",H227,FIND("01",H227)+16)+4,2)),VALUE(MID(H227,FIND("15",H227,FIND("01",H227)+16)+6,2))),"")</f>
        <v/>
      </c>
      <c r="F227" s="5">
        <f>IFERROR(MID(H227,FIND("10",H227,FIND("15",H227,FIND("01",H227)+16)+8)+2,50),"")</f>
        <v/>
      </c>
      <c r="G227" s="5" t="n"/>
      <c r="H227" s="5">
        <f>SUBSTITUTE(SUBSTITUTE(SUBSTITUTE(SUBSTITUTE(A227,"(",""),")","")," ",""),CHAR(29),"")</f>
        <v/>
      </c>
    </row>
    <row r="228">
      <c r="A228" s="7" t="n"/>
      <c r="B228" s="8">
        <f>IFERROR(MID(H228,FIND("01",H228)+2,14),"")</f>
        <v/>
      </c>
      <c r="C228" s="7">
        <f>IF(A228="","",IFERROR(VLOOKUP(B228,TblArticles,2,FALSE),"GTIN inconnu"))</f>
        <v/>
      </c>
      <c r="D228" s="8">
        <f>IF(A228="","",IFERROR(VLOOKUP(B228,TblArticles,3,FALSE),""))</f>
        <v/>
      </c>
      <c r="E228" s="9">
        <f>IFERROR(DATE(2000+VALUE(MID(H228,FIND("15",H228,FIND("01",H228)+16)+2,2)),VALUE(MID(H228,FIND("15",H228,FIND("01",H228)+16)+4,2)),VALUE(MID(H228,FIND("15",H228,FIND("01",H228)+16)+6,2))),"")</f>
        <v/>
      </c>
      <c r="F228" s="8">
        <f>IFERROR(MID(H228,FIND("10",H228,FIND("15",H228,FIND("01",H228)+16)+8)+2,50),"")</f>
        <v/>
      </c>
      <c r="G228" s="8" t="n"/>
      <c r="H228" s="8">
        <f>SUBSTITUTE(SUBSTITUTE(SUBSTITUTE(SUBSTITUTE(A228,"(",""),")","")," ",""),CHAR(29),"")</f>
        <v/>
      </c>
    </row>
    <row r="229">
      <c r="A229" s="4" t="n"/>
      <c r="B229" s="5">
        <f>IFERROR(MID(H229,FIND("01",H229)+2,14),"")</f>
        <v/>
      </c>
      <c r="C229" s="4">
        <f>IF(A229="","",IFERROR(VLOOKUP(B229,TblArticles,2,FALSE),"GTIN inconnu"))</f>
        <v/>
      </c>
      <c r="D229" s="5">
        <f>IF(A229="","",IFERROR(VLOOKUP(B229,TblArticles,3,FALSE),""))</f>
        <v/>
      </c>
      <c r="E229" s="6">
        <f>IFERROR(DATE(2000+VALUE(MID(H229,FIND("15",H229,FIND("01",H229)+16)+2,2)),VALUE(MID(H229,FIND("15",H229,FIND("01",H229)+16)+4,2)),VALUE(MID(H229,FIND("15",H229,FIND("01",H229)+16)+6,2))),"")</f>
        <v/>
      </c>
      <c r="F229" s="5">
        <f>IFERROR(MID(H229,FIND("10",H229,FIND("15",H229,FIND("01",H229)+16)+8)+2,50),"")</f>
        <v/>
      </c>
      <c r="G229" s="5" t="n"/>
      <c r="H229" s="5">
        <f>SUBSTITUTE(SUBSTITUTE(SUBSTITUTE(SUBSTITUTE(A229,"(",""),")","")," ",""),CHAR(29),"")</f>
        <v/>
      </c>
    </row>
    <row r="230">
      <c r="A230" s="7" t="n"/>
      <c r="B230" s="8">
        <f>IFERROR(MID(H230,FIND("01",H230)+2,14),"")</f>
        <v/>
      </c>
      <c r="C230" s="7">
        <f>IF(A230="","",IFERROR(VLOOKUP(B230,TblArticles,2,FALSE),"GTIN inconnu"))</f>
        <v/>
      </c>
      <c r="D230" s="8">
        <f>IF(A230="","",IFERROR(VLOOKUP(B230,TblArticles,3,FALSE),""))</f>
        <v/>
      </c>
      <c r="E230" s="9">
        <f>IFERROR(DATE(2000+VALUE(MID(H230,FIND("15",H230,FIND("01",H230)+16)+2,2)),VALUE(MID(H230,FIND("15",H230,FIND("01",H230)+16)+4,2)),VALUE(MID(H230,FIND("15",H230,FIND("01",H230)+16)+6,2))),"")</f>
        <v/>
      </c>
      <c r="F230" s="8">
        <f>IFERROR(MID(H230,FIND("10",H230,FIND("15",H230,FIND("01",H230)+16)+8)+2,50),"")</f>
        <v/>
      </c>
      <c r="G230" s="8" t="n"/>
      <c r="H230" s="8">
        <f>SUBSTITUTE(SUBSTITUTE(SUBSTITUTE(SUBSTITUTE(A230,"(",""),")","")," ",""),CHAR(29),"")</f>
        <v/>
      </c>
    </row>
    <row r="231">
      <c r="A231" s="4" t="n"/>
      <c r="B231" s="5">
        <f>IFERROR(MID(H231,FIND("01",H231)+2,14),"")</f>
        <v/>
      </c>
      <c r="C231" s="4">
        <f>IF(A231="","",IFERROR(VLOOKUP(B231,TblArticles,2,FALSE),"GTIN inconnu"))</f>
        <v/>
      </c>
      <c r="D231" s="5">
        <f>IF(A231="","",IFERROR(VLOOKUP(B231,TblArticles,3,FALSE),""))</f>
        <v/>
      </c>
      <c r="E231" s="6">
        <f>IFERROR(DATE(2000+VALUE(MID(H231,FIND("15",H231,FIND("01",H231)+16)+2,2)),VALUE(MID(H231,FIND("15",H231,FIND("01",H231)+16)+4,2)),VALUE(MID(H231,FIND("15",H231,FIND("01",H231)+16)+6,2))),"")</f>
        <v/>
      </c>
      <c r="F231" s="5">
        <f>IFERROR(MID(H231,FIND("10",H231,FIND("15",H231,FIND("01",H231)+16)+8)+2,50),"")</f>
        <v/>
      </c>
      <c r="G231" s="5" t="n"/>
      <c r="H231" s="5">
        <f>SUBSTITUTE(SUBSTITUTE(SUBSTITUTE(SUBSTITUTE(A231,"(",""),")","")," ",""),CHAR(29),"")</f>
        <v/>
      </c>
    </row>
    <row r="232">
      <c r="A232" s="7" t="n"/>
      <c r="B232" s="8">
        <f>IFERROR(MID(H232,FIND("01",H232)+2,14),"")</f>
        <v/>
      </c>
      <c r="C232" s="7">
        <f>IF(A232="","",IFERROR(VLOOKUP(B232,TblArticles,2,FALSE),"GTIN inconnu"))</f>
        <v/>
      </c>
      <c r="D232" s="8">
        <f>IF(A232="","",IFERROR(VLOOKUP(B232,TblArticles,3,FALSE),""))</f>
        <v/>
      </c>
      <c r="E232" s="9">
        <f>IFERROR(DATE(2000+VALUE(MID(H232,FIND("15",H232,FIND("01",H232)+16)+2,2)),VALUE(MID(H232,FIND("15",H232,FIND("01",H232)+16)+4,2)),VALUE(MID(H232,FIND("15",H232,FIND("01",H232)+16)+6,2))),"")</f>
        <v/>
      </c>
      <c r="F232" s="8">
        <f>IFERROR(MID(H232,FIND("10",H232,FIND("15",H232,FIND("01",H232)+16)+8)+2,50),"")</f>
        <v/>
      </c>
      <c r="G232" s="8" t="n"/>
      <c r="H232" s="8">
        <f>SUBSTITUTE(SUBSTITUTE(SUBSTITUTE(SUBSTITUTE(A232,"(",""),")","")," ",""),CHAR(29),"")</f>
        <v/>
      </c>
    </row>
    <row r="233">
      <c r="A233" s="4" t="n"/>
      <c r="B233" s="5">
        <f>IFERROR(MID(H233,FIND("01",H233)+2,14),"")</f>
        <v/>
      </c>
      <c r="C233" s="4">
        <f>IF(A233="","",IFERROR(VLOOKUP(B233,TblArticles,2,FALSE),"GTIN inconnu"))</f>
        <v/>
      </c>
      <c r="D233" s="5">
        <f>IF(A233="","",IFERROR(VLOOKUP(B233,TblArticles,3,FALSE),""))</f>
        <v/>
      </c>
      <c r="E233" s="6">
        <f>IFERROR(DATE(2000+VALUE(MID(H233,FIND("15",H233,FIND("01",H233)+16)+2,2)),VALUE(MID(H233,FIND("15",H233,FIND("01",H233)+16)+4,2)),VALUE(MID(H233,FIND("15",H233,FIND("01",H233)+16)+6,2))),"")</f>
        <v/>
      </c>
      <c r="F233" s="5">
        <f>IFERROR(MID(H233,FIND("10",H233,FIND("15",H233,FIND("01",H233)+16)+8)+2,50),"")</f>
        <v/>
      </c>
      <c r="G233" s="5" t="n"/>
      <c r="H233" s="5">
        <f>SUBSTITUTE(SUBSTITUTE(SUBSTITUTE(SUBSTITUTE(A233,"(",""),")","")," ",""),CHAR(29),"")</f>
        <v/>
      </c>
    </row>
    <row r="234">
      <c r="A234" s="7" t="n"/>
      <c r="B234" s="8">
        <f>IFERROR(MID(H234,FIND("01",H234)+2,14),"")</f>
        <v/>
      </c>
      <c r="C234" s="7">
        <f>IF(A234="","",IFERROR(VLOOKUP(B234,TblArticles,2,FALSE),"GTIN inconnu"))</f>
        <v/>
      </c>
      <c r="D234" s="8">
        <f>IF(A234="","",IFERROR(VLOOKUP(B234,TblArticles,3,FALSE),""))</f>
        <v/>
      </c>
      <c r="E234" s="9">
        <f>IFERROR(DATE(2000+VALUE(MID(H234,FIND("15",H234,FIND("01",H234)+16)+2,2)),VALUE(MID(H234,FIND("15",H234,FIND("01",H234)+16)+4,2)),VALUE(MID(H234,FIND("15",H234,FIND("01",H234)+16)+6,2))),"")</f>
        <v/>
      </c>
      <c r="F234" s="8">
        <f>IFERROR(MID(H234,FIND("10",H234,FIND("15",H234,FIND("01",H234)+16)+8)+2,50),"")</f>
        <v/>
      </c>
      <c r="G234" s="8" t="n"/>
      <c r="H234" s="8">
        <f>SUBSTITUTE(SUBSTITUTE(SUBSTITUTE(SUBSTITUTE(A234,"(",""),")","")," ",""),CHAR(29),"")</f>
        <v/>
      </c>
    </row>
    <row r="235">
      <c r="A235" s="4" t="n"/>
      <c r="B235" s="5">
        <f>IFERROR(MID(H235,FIND("01",H235)+2,14),"")</f>
        <v/>
      </c>
      <c r="C235" s="4">
        <f>IF(A235="","",IFERROR(VLOOKUP(B235,TblArticles,2,FALSE),"GTIN inconnu"))</f>
        <v/>
      </c>
      <c r="D235" s="5">
        <f>IF(A235="","",IFERROR(VLOOKUP(B235,TblArticles,3,FALSE),""))</f>
        <v/>
      </c>
      <c r="E235" s="6">
        <f>IFERROR(DATE(2000+VALUE(MID(H235,FIND("15",H235,FIND("01",H235)+16)+2,2)),VALUE(MID(H235,FIND("15",H235,FIND("01",H235)+16)+4,2)),VALUE(MID(H235,FIND("15",H235,FIND("01",H235)+16)+6,2))),"")</f>
        <v/>
      </c>
      <c r="F235" s="5">
        <f>IFERROR(MID(H235,FIND("10",H235,FIND("15",H235,FIND("01",H235)+16)+8)+2,50),"")</f>
        <v/>
      </c>
      <c r="G235" s="5" t="n"/>
      <c r="H235" s="5">
        <f>SUBSTITUTE(SUBSTITUTE(SUBSTITUTE(SUBSTITUTE(A235,"(",""),")","")," ",""),CHAR(29),"")</f>
        <v/>
      </c>
    </row>
    <row r="236">
      <c r="A236" s="7" t="n"/>
      <c r="B236" s="8">
        <f>IFERROR(MID(H236,FIND("01",H236)+2,14),"")</f>
        <v/>
      </c>
      <c r="C236" s="7">
        <f>IF(A236="","",IFERROR(VLOOKUP(B236,TblArticles,2,FALSE),"GTIN inconnu"))</f>
        <v/>
      </c>
      <c r="D236" s="8">
        <f>IF(A236="","",IFERROR(VLOOKUP(B236,TblArticles,3,FALSE),""))</f>
        <v/>
      </c>
      <c r="E236" s="9">
        <f>IFERROR(DATE(2000+VALUE(MID(H236,FIND("15",H236,FIND("01",H236)+16)+2,2)),VALUE(MID(H236,FIND("15",H236,FIND("01",H236)+16)+4,2)),VALUE(MID(H236,FIND("15",H236,FIND("01",H236)+16)+6,2))),"")</f>
        <v/>
      </c>
      <c r="F236" s="8">
        <f>IFERROR(MID(H236,FIND("10",H236,FIND("15",H236,FIND("01",H236)+16)+8)+2,50),"")</f>
        <v/>
      </c>
      <c r="G236" s="8" t="n"/>
      <c r="H236" s="8">
        <f>SUBSTITUTE(SUBSTITUTE(SUBSTITUTE(SUBSTITUTE(A236,"(",""),")","")," ",""),CHAR(29),"")</f>
        <v/>
      </c>
    </row>
    <row r="237">
      <c r="A237" s="4" t="n"/>
      <c r="B237" s="5">
        <f>IFERROR(MID(H237,FIND("01",H237)+2,14),"")</f>
        <v/>
      </c>
      <c r="C237" s="4">
        <f>IF(A237="","",IFERROR(VLOOKUP(B237,TblArticles,2,FALSE),"GTIN inconnu"))</f>
        <v/>
      </c>
      <c r="D237" s="5">
        <f>IF(A237="","",IFERROR(VLOOKUP(B237,TblArticles,3,FALSE),""))</f>
        <v/>
      </c>
      <c r="E237" s="6">
        <f>IFERROR(DATE(2000+VALUE(MID(H237,FIND("15",H237,FIND("01",H237)+16)+2,2)),VALUE(MID(H237,FIND("15",H237,FIND("01",H237)+16)+4,2)),VALUE(MID(H237,FIND("15",H237,FIND("01",H237)+16)+6,2))),"")</f>
        <v/>
      </c>
      <c r="F237" s="5">
        <f>IFERROR(MID(H237,FIND("10",H237,FIND("15",H237,FIND("01",H237)+16)+8)+2,50),"")</f>
        <v/>
      </c>
      <c r="G237" s="5" t="n"/>
      <c r="H237" s="5">
        <f>SUBSTITUTE(SUBSTITUTE(SUBSTITUTE(SUBSTITUTE(A237,"(",""),")","")," ",""),CHAR(29),"")</f>
        <v/>
      </c>
    </row>
    <row r="238">
      <c r="A238" s="7" t="n"/>
      <c r="B238" s="8">
        <f>IFERROR(MID(H238,FIND("01",H238)+2,14),"")</f>
        <v/>
      </c>
      <c r="C238" s="7">
        <f>IF(A238="","",IFERROR(VLOOKUP(B238,TblArticles,2,FALSE),"GTIN inconnu"))</f>
        <v/>
      </c>
      <c r="D238" s="8">
        <f>IF(A238="","",IFERROR(VLOOKUP(B238,TblArticles,3,FALSE),""))</f>
        <v/>
      </c>
      <c r="E238" s="9">
        <f>IFERROR(DATE(2000+VALUE(MID(H238,FIND("15",H238,FIND("01",H238)+16)+2,2)),VALUE(MID(H238,FIND("15",H238,FIND("01",H238)+16)+4,2)),VALUE(MID(H238,FIND("15",H238,FIND("01",H238)+16)+6,2))),"")</f>
        <v/>
      </c>
      <c r="F238" s="8">
        <f>IFERROR(MID(H238,FIND("10",H238,FIND("15",H238,FIND("01",H238)+16)+8)+2,50),"")</f>
        <v/>
      </c>
      <c r="G238" s="8" t="n"/>
      <c r="H238" s="8">
        <f>SUBSTITUTE(SUBSTITUTE(SUBSTITUTE(SUBSTITUTE(A238,"(",""),")","")," ",""),CHAR(29),"")</f>
        <v/>
      </c>
    </row>
    <row r="239">
      <c r="A239" s="4" t="n"/>
      <c r="B239" s="5">
        <f>IFERROR(MID(H239,FIND("01",H239)+2,14),"")</f>
        <v/>
      </c>
      <c r="C239" s="4">
        <f>IF(A239="","",IFERROR(VLOOKUP(B239,TblArticles,2,FALSE),"GTIN inconnu"))</f>
        <v/>
      </c>
      <c r="D239" s="5">
        <f>IF(A239="","",IFERROR(VLOOKUP(B239,TblArticles,3,FALSE),""))</f>
        <v/>
      </c>
      <c r="E239" s="6">
        <f>IFERROR(DATE(2000+VALUE(MID(H239,FIND("15",H239,FIND("01",H239)+16)+2,2)),VALUE(MID(H239,FIND("15",H239,FIND("01",H239)+16)+4,2)),VALUE(MID(H239,FIND("15",H239,FIND("01",H239)+16)+6,2))),"")</f>
        <v/>
      </c>
      <c r="F239" s="5">
        <f>IFERROR(MID(H239,FIND("10",H239,FIND("15",H239,FIND("01",H239)+16)+8)+2,50),"")</f>
        <v/>
      </c>
      <c r="G239" s="5" t="n"/>
      <c r="H239" s="5">
        <f>SUBSTITUTE(SUBSTITUTE(SUBSTITUTE(SUBSTITUTE(A239,"(",""),")","")," ",""),CHAR(29),"")</f>
        <v/>
      </c>
    </row>
    <row r="240">
      <c r="A240" s="7" t="n"/>
      <c r="B240" s="8">
        <f>IFERROR(MID(H240,FIND("01",H240)+2,14),"")</f>
        <v/>
      </c>
      <c r="C240" s="7">
        <f>IF(A240="","",IFERROR(VLOOKUP(B240,TblArticles,2,FALSE),"GTIN inconnu"))</f>
        <v/>
      </c>
      <c r="D240" s="8">
        <f>IF(A240="","",IFERROR(VLOOKUP(B240,TblArticles,3,FALSE),""))</f>
        <v/>
      </c>
      <c r="E240" s="9">
        <f>IFERROR(DATE(2000+VALUE(MID(H240,FIND("15",H240,FIND("01",H240)+16)+2,2)),VALUE(MID(H240,FIND("15",H240,FIND("01",H240)+16)+4,2)),VALUE(MID(H240,FIND("15",H240,FIND("01",H240)+16)+6,2))),"")</f>
        <v/>
      </c>
      <c r="F240" s="8">
        <f>IFERROR(MID(H240,FIND("10",H240,FIND("15",H240,FIND("01",H240)+16)+8)+2,50),"")</f>
        <v/>
      </c>
      <c r="G240" s="8" t="n"/>
      <c r="H240" s="8">
        <f>SUBSTITUTE(SUBSTITUTE(SUBSTITUTE(SUBSTITUTE(A240,"(",""),")","")," ",""),CHAR(29),"")</f>
        <v/>
      </c>
    </row>
    <row r="241">
      <c r="A241" s="4" t="n"/>
      <c r="B241" s="5">
        <f>IFERROR(MID(H241,FIND("01",H241)+2,14),"")</f>
        <v/>
      </c>
      <c r="C241" s="4">
        <f>IF(A241="","",IFERROR(VLOOKUP(B241,TblArticles,2,FALSE),"GTIN inconnu"))</f>
        <v/>
      </c>
      <c r="D241" s="5">
        <f>IF(A241="","",IFERROR(VLOOKUP(B241,TblArticles,3,FALSE),""))</f>
        <v/>
      </c>
      <c r="E241" s="6">
        <f>IFERROR(DATE(2000+VALUE(MID(H241,FIND("15",H241,FIND("01",H241)+16)+2,2)),VALUE(MID(H241,FIND("15",H241,FIND("01",H241)+16)+4,2)),VALUE(MID(H241,FIND("15",H241,FIND("01",H241)+16)+6,2))),"")</f>
        <v/>
      </c>
      <c r="F241" s="5">
        <f>IFERROR(MID(H241,FIND("10",H241,FIND("15",H241,FIND("01",H241)+16)+8)+2,50),"")</f>
        <v/>
      </c>
      <c r="G241" s="5" t="n"/>
      <c r="H241" s="5">
        <f>SUBSTITUTE(SUBSTITUTE(SUBSTITUTE(SUBSTITUTE(A241,"(",""),")","")," ",""),CHAR(29),"")</f>
        <v/>
      </c>
    </row>
    <row r="242">
      <c r="A242" s="7" t="n"/>
      <c r="B242" s="8">
        <f>IFERROR(MID(H242,FIND("01",H242)+2,14),"")</f>
        <v/>
      </c>
      <c r="C242" s="7">
        <f>IF(A242="","",IFERROR(VLOOKUP(B242,TblArticles,2,FALSE),"GTIN inconnu"))</f>
        <v/>
      </c>
      <c r="D242" s="8">
        <f>IF(A242="","",IFERROR(VLOOKUP(B242,TblArticles,3,FALSE),""))</f>
        <v/>
      </c>
      <c r="E242" s="9">
        <f>IFERROR(DATE(2000+VALUE(MID(H242,FIND("15",H242,FIND("01",H242)+16)+2,2)),VALUE(MID(H242,FIND("15",H242,FIND("01",H242)+16)+4,2)),VALUE(MID(H242,FIND("15",H242,FIND("01",H242)+16)+6,2))),"")</f>
        <v/>
      </c>
      <c r="F242" s="8">
        <f>IFERROR(MID(H242,FIND("10",H242,FIND("15",H242,FIND("01",H242)+16)+8)+2,50),"")</f>
        <v/>
      </c>
      <c r="G242" s="8" t="n"/>
      <c r="H242" s="8">
        <f>SUBSTITUTE(SUBSTITUTE(SUBSTITUTE(SUBSTITUTE(A242,"(",""),")","")," ",""),CHAR(29),"")</f>
        <v/>
      </c>
    </row>
    <row r="243">
      <c r="A243" s="4" t="n"/>
      <c r="B243" s="5">
        <f>IFERROR(MID(H243,FIND("01",H243)+2,14),"")</f>
        <v/>
      </c>
      <c r="C243" s="4">
        <f>IF(A243="","",IFERROR(VLOOKUP(B243,TblArticles,2,FALSE),"GTIN inconnu"))</f>
        <v/>
      </c>
      <c r="D243" s="5">
        <f>IF(A243="","",IFERROR(VLOOKUP(B243,TblArticles,3,FALSE),""))</f>
        <v/>
      </c>
      <c r="E243" s="6">
        <f>IFERROR(DATE(2000+VALUE(MID(H243,FIND("15",H243,FIND("01",H243)+16)+2,2)),VALUE(MID(H243,FIND("15",H243,FIND("01",H243)+16)+4,2)),VALUE(MID(H243,FIND("15",H243,FIND("01",H243)+16)+6,2))),"")</f>
        <v/>
      </c>
      <c r="F243" s="5">
        <f>IFERROR(MID(H243,FIND("10",H243,FIND("15",H243,FIND("01",H243)+16)+8)+2,50),"")</f>
        <v/>
      </c>
      <c r="G243" s="5" t="n"/>
      <c r="H243" s="5">
        <f>SUBSTITUTE(SUBSTITUTE(SUBSTITUTE(SUBSTITUTE(A243,"(",""),")","")," ",""),CHAR(29),"")</f>
        <v/>
      </c>
    </row>
    <row r="244">
      <c r="A244" s="7" t="n"/>
      <c r="B244" s="8">
        <f>IFERROR(MID(H244,FIND("01",H244)+2,14),"")</f>
        <v/>
      </c>
      <c r="C244" s="7">
        <f>IF(A244="","",IFERROR(VLOOKUP(B244,TblArticles,2,FALSE),"GTIN inconnu"))</f>
        <v/>
      </c>
      <c r="D244" s="8">
        <f>IF(A244="","",IFERROR(VLOOKUP(B244,TblArticles,3,FALSE),""))</f>
        <v/>
      </c>
      <c r="E244" s="9">
        <f>IFERROR(DATE(2000+VALUE(MID(H244,FIND("15",H244,FIND("01",H244)+16)+2,2)),VALUE(MID(H244,FIND("15",H244,FIND("01",H244)+16)+4,2)),VALUE(MID(H244,FIND("15",H244,FIND("01",H244)+16)+6,2))),"")</f>
        <v/>
      </c>
      <c r="F244" s="8">
        <f>IFERROR(MID(H244,FIND("10",H244,FIND("15",H244,FIND("01",H244)+16)+8)+2,50),"")</f>
        <v/>
      </c>
      <c r="G244" s="8" t="n"/>
      <c r="H244" s="8">
        <f>SUBSTITUTE(SUBSTITUTE(SUBSTITUTE(SUBSTITUTE(A244,"(",""),")","")," ",""),CHAR(29),"")</f>
        <v/>
      </c>
    </row>
    <row r="245">
      <c r="A245" s="4" t="n"/>
      <c r="B245" s="5">
        <f>IFERROR(MID(H245,FIND("01",H245)+2,14),"")</f>
        <v/>
      </c>
      <c r="C245" s="4">
        <f>IF(A245="","",IFERROR(VLOOKUP(B245,TblArticles,2,FALSE),"GTIN inconnu"))</f>
        <v/>
      </c>
      <c r="D245" s="5">
        <f>IF(A245="","",IFERROR(VLOOKUP(B245,TblArticles,3,FALSE),""))</f>
        <v/>
      </c>
      <c r="E245" s="6">
        <f>IFERROR(DATE(2000+VALUE(MID(H245,FIND("15",H245,FIND("01",H245)+16)+2,2)),VALUE(MID(H245,FIND("15",H245,FIND("01",H245)+16)+4,2)),VALUE(MID(H245,FIND("15",H245,FIND("01",H245)+16)+6,2))),"")</f>
        <v/>
      </c>
      <c r="F245" s="5">
        <f>IFERROR(MID(H245,FIND("10",H245,FIND("15",H245,FIND("01",H245)+16)+8)+2,50),"")</f>
        <v/>
      </c>
      <c r="G245" s="5" t="n"/>
      <c r="H245" s="5">
        <f>SUBSTITUTE(SUBSTITUTE(SUBSTITUTE(SUBSTITUTE(A245,"(",""),")","")," ",""),CHAR(29),"")</f>
        <v/>
      </c>
    </row>
    <row r="246">
      <c r="A246" s="7" t="n"/>
      <c r="B246" s="8">
        <f>IFERROR(MID(H246,FIND("01",H246)+2,14),"")</f>
        <v/>
      </c>
      <c r="C246" s="7">
        <f>IF(A246="","",IFERROR(VLOOKUP(B246,TblArticles,2,FALSE),"GTIN inconnu"))</f>
        <v/>
      </c>
      <c r="D246" s="8">
        <f>IF(A246="","",IFERROR(VLOOKUP(B246,TblArticles,3,FALSE),""))</f>
        <v/>
      </c>
      <c r="E246" s="9">
        <f>IFERROR(DATE(2000+VALUE(MID(H246,FIND("15",H246,FIND("01",H246)+16)+2,2)),VALUE(MID(H246,FIND("15",H246,FIND("01",H246)+16)+4,2)),VALUE(MID(H246,FIND("15",H246,FIND("01",H246)+16)+6,2))),"")</f>
        <v/>
      </c>
      <c r="F246" s="8">
        <f>IFERROR(MID(H246,FIND("10",H246,FIND("15",H246,FIND("01",H246)+16)+8)+2,50),"")</f>
        <v/>
      </c>
      <c r="G246" s="8" t="n"/>
      <c r="H246" s="8">
        <f>SUBSTITUTE(SUBSTITUTE(SUBSTITUTE(SUBSTITUTE(A246,"(",""),")","")," ",""),CHAR(29),"")</f>
        <v/>
      </c>
    </row>
    <row r="247">
      <c r="A247" s="4" t="n"/>
      <c r="B247" s="5">
        <f>IFERROR(MID(H247,FIND("01",H247)+2,14),"")</f>
        <v/>
      </c>
      <c r="C247" s="4">
        <f>IF(A247="","",IFERROR(VLOOKUP(B247,TblArticles,2,FALSE),"GTIN inconnu"))</f>
        <v/>
      </c>
      <c r="D247" s="5">
        <f>IF(A247="","",IFERROR(VLOOKUP(B247,TblArticles,3,FALSE),""))</f>
        <v/>
      </c>
      <c r="E247" s="6">
        <f>IFERROR(DATE(2000+VALUE(MID(H247,FIND("15",H247,FIND("01",H247)+16)+2,2)),VALUE(MID(H247,FIND("15",H247,FIND("01",H247)+16)+4,2)),VALUE(MID(H247,FIND("15",H247,FIND("01",H247)+16)+6,2))),"")</f>
        <v/>
      </c>
      <c r="F247" s="5">
        <f>IFERROR(MID(H247,FIND("10",H247,FIND("15",H247,FIND("01",H247)+16)+8)+2,50),"")</f>
        <v/>
      </c>
      <c r="G247" s="5" t="n"/>
      <c r="H247" s="5">
        <f>SUBSTITUTE(SUBSTITUTE(SUBSTITUTE(SUBSTITUTE(A247,"(",""),")","")," ",""),CHAR(29),"")</f>
        <v/>
      </c>
    </row>
    <row r="248">
      <c r="A248" s="7" t="n"/>
      <c r="B248" s="8">
        <f>IFERROR(MID(H248,FIND("01",H248)+2,14),"")</f>
        <v/>
      </c>
      <c r="C248" s="7">
        <f>IF(A248="","",IFERROR(VLOOKUP(B248,TblArticles,2,FALSE),"GTIN inconnu"))</f>
        <v/>
      </c>
      <c r="D248" s="8">
        <f>IF(A248="","",IFERROR(VLOOKUP(B248,TblArticles,3,FALSE),""))</f>
        <v/>
      </c>
      <c r="E248" s="9">
        <f>IFERROR(DATE(2000+VALUE(MID(H248,FIND("15",H248,FIND("01",H248)+16)+2,2)),VALUE(MID(H248,FIND("15",H248,FIND("01",H248)+16)+4,2)),VALUE(MID(H248,FIND("15",H248,FIND("01",H248)+16)+6,2))),"")</f>
        <v/>
      </c>
      <c r="F248" s="8">
        <f>IFERROR(MID(H248,FIND("10",H248,FIND("15",H248,FIND("01",H248)+16)+8)+2,50),"")</f>
        <v/>
      </c>
      <c r="G248" s="8" t="n"/>
      <c r="H248" s="8">
        <f>SUBSTITUTE(SUBSTITUTE(SUBSTITUTE(SUBSTITUTE(A248,"(",""),")","")," ",""),CHAR(29),"")</f>
        <v/>
      </c>
    </row>
    <row r="249">
      <c r="A249" s="4" t="n"/>
      <c r="B249" s="5">
        <f>IFERROR(MID(H249,FIND("01",H249)+2,14),"")</f>
        <v/>
      </c>
      <c r="C249" s="4">
        <f>IF(A249="","",IFERROR(VLOOKUP(B249,TblArticles,2,FALSE),"GTIN inconnu"))</f>
        <v/>
      </c>
      <c r="D249" s="5">
        <f>IF(A249="","",IFERROR(VLOOKUP(B249,TblArticles,3,FALSE),""))</f>
        <v/>
      </c>
      <c r="E249" s="6">
        <f>IFERROR(DATE(2000+VALUE(MID(H249,FIND("15",H249,FIND("01",H249)+16)+2,2)),VALUE(MID(H249,FIND("15",H249,FIND("01",H249)+16)+4,2)),VALUE(MID(H249,FIND("15",H249,FIND("01",H249)+16)+6,2))),"")</f>
        <v/>
      </c>
      <c r="F249" s="5">
        <f>IFERROR(MID(H249,FIND("10",H249,FIND("15",H249,FIND("01",H249)+16)+8)+2,50),"")</f>
        <v/>
      </c>
      <c r="G249" s="5" t="n"/>
      <c r="H249" s="5">
        <f>SUBSTITUTE(SUBSTITUTE(SUBSTITUTE(SUBSTITUTE(A249,"(",""),")","")," ",""),CHAR(29),"")</f>
        <v/>
      </c>
    </row>
    <row r="250">
      <c r="A250" s="7" t="n"/>
      <c r="B250" s="8">
        <f>IFERROR(MID(H250,FIND("01",H250)+2,14),"")</f>
        <v/>
      </c>
      <c r="C250" s="7">
        <f>IF(A250="","",IFERROR(VLOOKUP(B250,TblArticles,2,FALSE),"GTIN inconnu"))</f>
        <v/>
      </c>
      <c r="D250" s="8">
        <f>IF(A250="","",IFERROR(VLOOKUP(B250,TblArticles,3,FALSE),""))</f>
        <v/>
      </c>
      <c r="E250" s="9">
        <f>IFERROR(DATE(2000+VALUE(MID(H250,FIND("15",H250,FIND("01",H250)+16)+2,2)),VALUE(MID(H250,FIND("15",H250,FIND("01",H250)+16)+4,2)),VALUE(MID(H250,FIND("15",H250,FIND("01",H250)+16)+6,2))),"")</f>
        <v/>
      </c>
      <c r="F250" s="8">
        <f>IFERROR(MID(H250,FIND("10",H250,FIND("15",H250,FIND("01",H250)+16)+8)+2,50),"")</f>
        <v/>
      </c>
      <c r="G250" s="8" t="n"/>
      <c r="H250" s="8">
        <f>SUBSTITUTE(SUBSTITUTE(SUBSTITUTE(SUBSTITUTE(A250,"(",""),")","")," ",""),CHAR(29),"")</f>
        <v/>
      </c>
    </row>
    <row r="251">
      <c r="A251" s="4" t="n"/>
      <c r="B251" s="5">
        <f>IFERROR(MID(H251,FIND("01",H251)+2,14),"")</f>
        <v/>
      </c>
      <c r="C251" s="4">
        <f>IF(A251="","",IFERROR(VLOOKUP(B251,TblArticles,2,FALSE),"GTIN inconnu"))</f>
        <v/>
      </c>
      <c r="D251" s="5">
        <f>IF(A251="","",IFERROR(VLOOKUP(B251,TblArticles,3,FALSE),""))</f>
        <v/>
      </c>
      <c r="E251" s="6">
        <f>IFERROR(DATE(2000+VALUE(MID(H251,FIND("15",H251,FIND("01",H251)+16)+2,2)),VALUE(MID(H251,FIND("15",H251,FIND("01",H251)+16)+4,2)),VALUE(MID(H251,FIND("15",H251,FIND("01",H251)+16)+6,2))),"")</f>
        <v/>
      </c>
      <c r="F251" s="5">
        <f>IFERROR(MID(H251,FIND("10",H251,FIND("15",H251,FIND("01",H251)+16)+8)+2,50),"")</f>
        <v/>
      </c>
      <c r="G251" s="5" t="n"/>
      <c r="H251" s="5">
        <f>SUBSTITUTE(SUBSTITUTE(SUBSTITUTE(SUBSTITUTE(A251,"(",""),")","")," ",""),CHAR(29),"")</f>
        <v/>
      </c>
    </row>
    <row r="252">
      <c r="A252" s="7" t="n"/>
      <c r="B252" s="8">
        <f>IFERROR(MID(H252,FIND("01",H252)+2,14),"")</f>
        <v/>
      </c>
      <c r="C252" s="7">
        <f>IF(A252="","",IFERROR(VLOOKUP(B252,TblArticles,2,FALSE),"GTIN inconnu"))</f>
        <v/>
      </c>
      <c r="D252" s="8">
        <f>IF(A252="","",IFERROR(VLOOKUP(B252,TblArticles,3,FALSE),""))</f>
        <v/>
      </c>
      <c r="E252" s="9">
        <f>IFERROR(DATE(2000+VALUE(MID(H252,FIND("15",H252,FIND("01",H252)+16)+2,2)),VALUE(MID(H252,FIND("15",H252,FIND("01",H252)+16)+4,2)),VALUE(MID(H252,FIND("15",H252,FIND("01",H252)+16)+6,2))),"")</f>
        <v/>
      </c>
      <c r="F252" s="8">
        <f>IFERROR(MID(H252,FIND("10",H252,FIND("15",H252,FIND("01",H252)+16)+8)+2,50),"")</f>
        <v/>
      </c>
      <c r="G252" s="8" t="n"/>
      <c r="H252" s="8">
        <f>SUBSTITUTE(SUBSTITUTE(SUBSTITUTE(SUBSTITUTE(A252,"(",""),")","")," ",""),CHAR(29),"")</f>
        <v/>
      </c>
    </row>
    <row r="253">
      <c r="A253" s="4" t="n"/>
      <c r="B253" s="5">
        <f>IFERROR(MID(H253,FIND("01",H253)+2,14),"")</f>
        <v/>
      </c>
      <c r="C253" s="4">
        <f>IF(A253="","",IFERROR(VLOOKUP(B253,TblArticles,2,FALSE),"GTIN inconnu"))</f>
        <v/>
      </c>
      <c r="D253" s="5">
        <f>IF(A253="","",IFERROR(VLOOKUP(B253,TblArticles,3,FALSE),""))</f>
        <v/>
      </c>
      <c r="E253" s="6">
        <f>IFERROR(DATE(2000+VALUE(MID(H253,FIND("15",H253,FIND("01",H253)+16)+2,2)),VALUE(MID(H253,FIND("15",H253,FIND("01",H253)+16)+4,2)),VALUE(MID(H253,FIND("15",H253,FIND("01",H253)+16)+6,2))),"")</f>
        <v/>
      </c>
      <c r="F253" s="5">
        <f>IFERROR(MID(H253,FIND("10",H253,FIND("15",H253,FIND("01",H253)+16)+8)+2,50),"")</f>
        <v/>
      </c>
      <c r="G253" s="5" t="n"/>
      <c r="H253" s="5">
        <f>SUBSTITUTE(SUBSTITUTE(SUBSTITUTE(SUBSTITUTE(A253,"(",""),")","")," ",""),CHAR(29),"")</f>
        <v/>
      </c>
    </row>
    <row r="254">
      <c r="A254" s="7" t="n"/>
      <c r="B254" s="8">
        <f>IFERROR(MID(H254,FIND("01",H254)+2,14),"")</f>
        <v/>
      </c>
      <c r="C254" s="7">
        <f>IF(A254="","",IFERROR(VLOOKUP(B254,TblArticles,2,FALSE),"GTIN inconnu"))</f>
        <v/>
      </c>
      <c r="D254" s="8">
        <f>IF(A254="","",IFERROR(VLOOKUP(B254,TblArticles,3,FALSE),""))</f>
        <v/>
      </c>
      <c r="E254" s="9">
        <f>IFERROR(DATE(2000+VALUE(MID(H254,FIND("15",H254,FIND("01",H254)+16)+2,2)),VALUE(MID(H254,FIND("15",H254,FIND("01",H254)+16)+4,2)),VALUE(MID(H254,FIND("15",H254,FIND("01",H254)+16)+6,2))),"")</f>
        <v/>
      </c>
      <c r="F254" s="8">
        <f>IFERROR(MID(H254,FIND("10",H254,FIND("15",H254,FIND("01",H254)+16)+8)+2,50),"")</f>
        <v/>
      </c>
      <c r="G254" s="8" t="n"/>
      <c r="H254" s="8">
        <f>SUBSTITUTE(SUBSTITUTE(SUBSTITUTE(SUBSTITUTE(A254,"(",""),")","")," ",""),CHAR(29),"")</f>
        <v/>
      </c>
    </row>
    <row r="255">
      <c r="A255" s="4" t="n"/>
      <c r="B255" s="5">
        <f>IFERROR(MID(H255,FIND("01",H255)+2,14),"")</f>
        <v/>
      </c>
      <c r="C255" s="4">
        <f>IF(A255="","",IFERROR(VLOOKUP(B255,TblArticles,2,FALSE),"GTIN inconnu"))</f>
        <v/>
      </c>
      <c r="D255" s="5">
        <f>IF(A255="","",IFERROR(VLOOKUP(B255,TblArticles,3,FALSE),""))</f>
        <v/>
      </c>
      <c r="E255" s="6">
        <f>IFERROR(DATE(2000+VALUE(MID(H255,FIND("15",H255,FIND("01",H255)+16)+2,2)),VALUE(MID(H255,FIND("15",H255,FIND("01",H255)+16)+4,2)),VALUE(MID(H255,FIND("15",H255,FIND("01",H255)+16)+6,2))),"")</f>
        <v/>
      </c>
      <c r="F255" s="5">
        <f>IFERROR(MID(H255,FIND("10",H255,FIND("15",H255,FIND("01",H255)+16)+8)+2,50),"")</f>
        <v/>
      </c>
      <c r="G255" s="5" t="n"/>
      <c r="H255" s="5">
        <f>SUBSTITUTE(SUBSTITUTE(SUBSTITUTE(SUBSTITUTE(A255,"(",""),")","")," ",""),CHAR(29),"")</f>
        <v/>
      </c>
    </row>
    <row r="256">
      <c r="A256" s="7" t="n"/>
      <c r="B256" s="8">
        <f>IFERROR(MID(H256,FIND("01",H256)+2,14),"")</f>
        <v/>
      </c>
      <c r="C256" s="7">
        <f>IF(A256="","",IFERROR(VLOOKUP(B256,TblArticles,2,FALSE),"GTIN inconnu"))</f>
        <v/>
      </c>
      <c r="D256" s="8">
        <f>IF(A256="","",IFERROR(VLOOKUP(B256,TblArticles,3,FALSE),""))</f>
        <v/>
      </c>
      <c r="E256" s="9">
        <f>IFERROR(DATE(2000+VALUE(MID(H256,FIND("15",H256,FIND("01",H256)+16)+2,2)),VALUE(MID(H256,FIND("15",H256,FIND("01",H256)+16)+4,2)),VALUE(MID(H256,FIND("15",H256,FIND("01",H256)+16)+6,2))),"")</f>
        <v/>
      </c>
      <c r="F256" s="8">
        <f>IFERROR(MID(H256,FIND("10",H256,FIND("15",H256,FIND("01",H256)+16)+8)+2,50),"")</f>
        <v/>
      </c>
      <c r="G256" s="8" t="n"/>
      <c r="H256" s="8">
        <f>SUBSTITUTE(SUBSTITUTE(SUBSTITUTE(SUBSTITUTE(A256,"(",""),")","")," ",""),CHAR(29),"")</f>
        <v/>
      </c>
    </row>
    <row r="257">
      <c r="A257" s="4" t="n"/>
      <c r="B257" s="5">
        <f>IFERROR(MID(H257,FIND("01",H257)+2,14),"")</f>
        <v/>
      </c>
      <c r="C257" s="4">
        <f>IF(A257="","",IFERROR(VLOOKUP(B257,TblArticles,2,FALSE),"GTIN inconnu"))</f>
        <v/>
      </c>
      <c r="D257" s="5">
        <f>IF(A257="","",IFERROR(VLOOKUP(B257,TblArticles,3,FALSE),""))</f>
        <v/>
      </c>
      <c r="E257" s="6">
        <f>IFERROR(DATE(2000+VALUE(MID(H257,FIND("15",H257,FIND("01",H257)+16)+2,2)),VALUE(MID(H257,FIND("15",H257,FIND("01",H257)+16)+4,2)),VALUE(MID(H257,FIND("15",H257,FIND("01",H257)+16)+6,2))),"")</f>
        <v/>
      </c>
      <c r="F257" s="5">
        <f>IFERROR(MID(H257,FIND("10",H257,FIND("15",H257,FIND("01",H257)+16)+8)+2,50),"")</f>
        <v/>
      </c>
      <c r="G257" s="5" t="n"/>
      <c r="H257" s="5">
        <f>SUBSTITUTE(SUBSTITUTE(SUBSTITUTE(SUBSTITUTE(A257,"(",""),")","")," ",""),CHAR(29),"")</f>
        <v/>
      </c>
    </row>
    <row r="258">
      <c r="A258" s="7" t="n"/>
      <c r="B258" s="8">
        <f>IFERROR(MID(H258,FIND("01",H258)+2,14),"")</f>
        <v/>
      </c>
      <c r="C258" s="7">
        <f>IF(A258="","",IFERROR(VLOOKUP(B258,TblArticles,2,FALSE),"GTIN inconnu"))</f>
        <v/>
      </c>
      <c r="D258" s="8">
        <f>IF(A258="","",IFERROR(VLOOKUP(B258,TblArticles,3,FALSE),""))</f>
        <v/>
      </c>
      <c r="E258" s="9">
        <f>IFERROR(DATE(2000+VALUE(MID(H258,FIND("15",H258,FIND("01",H258)+16)+2,2)),VALUE(MID(H258,FIND("15",H258,FIND("01",H258)+16)+4,2)),VALUE(MID(H258,FIND("15",H258,FIND("01",H258)+16)+6,2))),"")</f>
        <v/>
      </c>
      <c r="F258" s="8">
        <f>IFERROR(MID(H258,FIND("10",H258,FIND("15",H258,FIND("01",H258)+16)+8)+2,50),"")</f>
        <v/>
      </c>
      <c r="G258" s="8" t="n"/>
      <c r="H258" s="8">
        <f>SUBSTITUTE(SUBSTITUTE(SUBSTITUTE(SUBSTITUTE(A258,"(",""),")","")," ",""),CHAR(29),"")</f>
        <v/>
      </c>
    </row>
    <row r="259">
      <c r="A259" s="4" t="n"/>
      <c r="B259" s="5">
        <f>IFERROR(MID(H259,FIND("01",H259)+2,14),"")</f>
        <v/>
      </c>
      <c r="C259" s="4">
        <f>IF(A259="","",IFERROR(VLOOKUP(B259,TblArticles,2,FALSE),"GTIN inconnu"))</f>
        <v/>
      </c>
      <c r="D259" s="5">
        <f>IF(A259="","",IFERROR(VLOOKUP(B259,TblArticles,3,FALSE),""))</f>
        <v/>
      </c>
      <c r="E259" s="6">
        <f>IFERROR(DATE(2000+VALUE(MID(H259,FIND("15",H259,FIND("01",H259)+16)+2,2)),VALUE(MID(H259,FIND("15",H259,FIND("01",H259)+16)+4,2)),VALUE(MID(H259,FIND("15",H259,FIND("01",H259)+16)+6,2))),"")</f>
        <v/>
      </c>
      <c r="F259" s="5">
        <f>IFERROR(MID(H259,FIND("10",H259,FIND("15",H259,FIND("01",H259)+16)+8)+2,50),"")</f>
        <v/>
      </c>
      <c r="G259" s="5" t="n"/>
      <c r="H259" s="5">
        <f>SUBSTITUTE(SUBSTITUTE(SUBSTITUTE(SUBSTITUTE(A259,"(",""),")","")," ",""),CHAR(29),"")</f>
        <v/>
      </c>
    </row>
    <row r="260">
      <c r="A260" s="7" t="n"/>
      <c r="B260" s="8">
        <f>IFERROR(MID(H260,FIND("01",H260)+2,14),"")</f>
        <v/>
      </c>
      <c r="C260" s="7">
        <f>IF(A260="","",IFERROR(VLOOKUP(B260,TblArticles,2,FALSE),"GTIN inconnu"))</f>
        <v/>
      </c>
      <c r="D260" s="8">
        <f>IF(A260="","",IFERROR(VLOOKUP(B260,TblArticles,3,FALSE),""))</f>
        <v/>
      </c>
      <c r="E260" s="9">
        <f>IFERROR(DATE(2000+VALUE(MID(H260,FIND("15",H260,FIND("01",H260)+16)+2,2)),VALUE(MID(H260,FIND("15",H260,FIND("01",H260)+16)+4,2)),VALUE(MID(H260,FIND("15",H260,FIND("01",H260)+16)+6,2))),"")</f>
        <v/>
      </c>
      <c r="F260" s="8">
        <f>IFERROR(MID(H260,FIND("10",H260,FIND("15",H260,FIND("01",H260)+16)+8)+2,50),"")</f>
        <v/>
      </c>
      <c r="G260" s="8" t="n"/>
      <c r="H260" s="8">
        <f>SUBSTITUTE(SUBSTITUTE(SUBSTITUTE(SUBSTITUTE(A260,"(",""),")","")," ",""),CHAR(29),"")</f>
        <v/>
      </c>
    </row>
    <row r="261">
      <c r="A261" s="4" t="n"/>
      <c r="B261" s="5">
        <f>IFERROR(MID(H261,FIND("01",H261)+2,14),"")</f>
        <v/>
      </c>
      <c r="C261" s="4">
        <f>IF(A261="","",IFERROR(VLOOKUP(B261,TblArticles,2,FALSE),"GTIN inconnu"))</f>
        <v/>
      </c>
      <c r="D261" s="5">
        <f>IF(A261="","",IFERROR(VLOOKUP(B261,TblArticles,3,FALSE),""))</f>
        <v/>
      </c>
      <c r="E261" s="6">
        <f>IFERROR(DATE(2000+VALUE(MID(H261,FIND("15",H261,FIND("01",H261)+16)+2,2)),VALUE(MID(H261,FIND("15",H261,FIND("01",H261)+16)+4,2)),VALUE(MID(H261,FIND("15",H261,FIND("01",H261)+16)+6,2))),"")</f>
        <v/>
      </c>
      <c r="F261" s="5">
        <f>IFERROR(MID(H261,FIND("10",H261,FIND("15",H261,FIND("01",H261)+16)+8)+2,50),"")</f>
        <v/>
      </c>
      <c r="G261" s="5" t="n"/>
      <c r="H261" s="5">
        <f>SUBSTITUTE(SUBSTITUTE(SUBSTITUTE(SUBSTITUTE(A261,"(",""),")","")," ",""),CHAR(29),"")</f>
        <v/>
      </c>
    </row>
    <row r="262">
      <c r="A262" s="7" t="n"/>
      <c r="B262" s="8">
        <f>IFERROR(MID(H262,FIND("01",H262)+2,14),"")</f>
        <v/>
      </c>
      <c r="C262" s="7">
        <f>IF(A262="","",IFERROR(VLOOKUP(B262,TblArticles,2,FALSE),"GTIN inconnu"))</f>
        <v/>
      </c>
      <c r="D262" s="8">
        <f>IF(A262="","",IFERROR(VLOOKUP(B262,TblArticles,3,FALSE),""))</f>
        <v/>
      </c>
      <c r="E262" s="9">
        <f>IFERROR(DATE(2000+VALUE(MID(H262,FIND("15",H262,FIND("01",H262)+16)+2,2)),VALUE(MID(H262,FIND("15",H262,FIND("01",H262)+16)+4,2)),VALUE(MID(H262,FIND("15",H262,FIND("01",H262)+16)+6,2))),"")</f>
        <v/>
      </c>
      <c r="F262" s="8">
        <f>IFERROR(MID(H262,FIND("10",H262,FIND("15",H262,FIND("01",H262)+16)+8)+2,50),"")</f>
        <v/>
      </c>
      <c r="G262" s="8" t="n"/>
      <c r="H262" s="8">
        <f>SUBSTITUTE(SUBSTITUTE(SUBSTITUTE(SUBSTITUTE(A262,"(",""),")","")," ",""),CHAR(29),"")</f>
        <v/>
      </c>
    </row>
    <row r="263">
      <c r="A263" s="4" t="n"/>
      <c r="B263" s="5">
        <f>IFERROR(MID(H263,FIND("01",H263)+2,14),"")</f>
        <v/>
      </c>
      <c r="C263" s="4">
        <f>IF(A263="","",IFERROR(VLOOKUP(B263,TblArticles,2,FALSE),"GTIN inconnu"))</f>
        <v/>
      </c>
      <c r="D263" s="5">
        <f>IF(A263="","",IFERROR(VLOOKUP(B263,TblArticles,3,FALSE),""))</f>
        <v/>
      </c>
      <c r="E263" s="6">
        <f>IFERROR(DATE(2000+VALUE(MID(H263,FIND("15",H263,FIND("01",H263)+16)+2,2)),VALUE(MID(H263,FIND("15",H263,FIND("01",H263)+16)+4,2)),VALUE(MID(H263,FIND("15",H263,FIND("01",H263)+16)+6,2))),"")</f>
        <v/>
      </c>
      <c r="F263" s="5">
        <f>IFERROR(MID(H263,FIND("10",H263,FIND("15",H263,FIND("01",H263)+16)+8)+2,50),"")</f>
        <v/>
      </c>
      <c r="G263" s="5" t="n"/>
      <c r="H263" s="5">
        <f>SUBSTITUTE(SUBSTITUTE(SUBSTITUTE(SUBSTITUTE(A263,"(",""),")","")," ",""),CHAR(29),"")</f>
        <v/>
      </c>
    </row>
    <row r="264">
      <c r="A264" s="7" t="n"/>
      <c r="B264" s="8">
        <f>IFERROR(MID(H264,FIND("01",H264)+2,14),"")</f>
        <v/>
      </c>
      <c r="C264" s="7">
        <f>IF(A264="","",IFERROR(VLOOKUP(B264,TblArticles,2,FALSE),"GTIN inconnu"))</f>
        <v/>
      </c>
      <c r="D264" s="8">
        <f>IF(A264="","",IFERROR(VLOOKUP(B264,TblArticles,3,FALSE),""))</f>
        <v/>
      </c>
      <c r="E264" s="9">
        <f>IFERROR(DATE(2000+VALUE(MID(H264,FIND("15",H264,FIND("01",H264)+16)+2,2)),VALUE(MID(H264,FIND("15",H264,FIND("01",H264)+16)+4,2)),VALUE(MID(H264,FIND("15",H264,FIND("01",H264)+16)+6,2))),"")</f>
        <v/>
      </c>
      <c r="F264" s="8">
        <f>IFERROR(MID(H264,FIND("10",H264,FIND("15",H264,FIND("01",H264)+16)+8)+2,50),"")</f>
        <v/>
      </c>
      <c r="G264" s="8" t="n"/>
      <c r="H264" s="8">
        <f>SUBSTITUTE(SUBSTITUTE(SUBSTITUTE(SUBSTITUTE(A264,"(",""),")","")," ",""),CHAR(29),"")</f>
        <v/>
      </c>
    </row>
    <row r="265">
      <c r="A265" s="4" t="n"/>
      <c r="B265" s="5">
        <f>IFERROR(MID(H265,FIND("01",H265)+2,14),"")</f>
        <v/>
      </c>
      <c r="C265" s="4">
        <f>IF(A265="","",IFERROR(VLOOKUP(B265,TblArticles,2,FALSE),"GTIN inconnu"))</f>
        <v/>
      </c>
      <c r="D265" s="5">
        <f>IF(A265="","",IFERROR(VLOOKUP(B265,TblArticles,3,FALSE),""))</f>
        <v/>
      </c>
      <c r="E265" s="6">
        <f>IFERROR(DATE(2000+VALUE(MID(H265,FIND("15",H265,FIND("01",H265)+16)+2,2)),VALUE(MID(H265,FIND("15",H265,FIND("01",H265)+16)+4,2)),VALUE(MID(H265,FIND("15",H265,FIND("01",H265)+16)+6,2))),"")</f>
        <v/>
      </c>
      <c r="F265" s="5">
        <f>IFERROR(MID(H265,FIND("10",H265,FIND("15",H265,FIND("01",H265)+16)+8)+2,50),"")</f>
        <v/>
      </c>
      <c r="G265" s="5" t="n"/>
      <c r="H265" s="5">
        <f>SUBSTITUTE(SUBSTITUTE(SUBSTITUTE(SUBSTITUTE(A265,"(",""),")","")," ",""),CHAR(29),"")</f>
        <v/>
      </c>
    </row>
    <row r="266">
      <c r="A266" s="7" t="n"/>
      <c r="B266" s="8">
        <f>IFERROR(MID(H266,FIND("01",H266)+2,14),"")</f>
        <v/>
      </c>
      <c r="C266" s="7">
        <f>IF(A266="","",IFERROR(VLOOKUP(B266,TblArticles,2,FALSE),"GTIN inconnu"))</f>
        <v/>
      </c>
      <c r="D266" s="8">
        <f>IF(A266="","",IFERROR(VLOOKUP(B266,TblArticles,3,FALSE),""))</f>
        <v/>
      </c>
      <c r="E266" s="9">
        <f>IFERROR(DATE(2000+VALUE(MID(H266,FIND("15",H266,FIND("01",H266)+16)+2,2)),VALUE(MID(H266,FIND("15",H266,FIND("01",H266)+16)+4,2)),VALUE(MID(H266,FIND("15",H266,FIND("01",H266)+16)+6,2))),"")</f>
        <v/>
      </c>
      <c r="F266" s="8">
        <f>IFERROR(MID(H266,FIND("10",H266,FIND("15",H266,FIND("01",H266)+16)+8)+2,50),"")</f>
        <v/>
      </c>
      <c r="G266" s="8" t="n"/>
      <c r="H266" s="8">
        <f>SUBSTITUTE(SUBSTITUTE(SUBSTITUTE(SUBSTITUTE(A266,"(",""),")","")," ",""),CHAR(29),"")</f>
        <v/>
      </c>
    </row>
    <row r="267">
      <c r="A267" s="4" t="n"/>
      <c r="B267" s="5">
        <f>IFERROR(MID(H267,FIND("01",H267)+2,14),"")</f>
        <v/>
      </c>
      <c r="C267" s="4">
        <f>IF(A267="","",IFERROR(VLOOKUP(B267,TblArticles,2,FALSE),"GTIN inconnu"))</f>
        <v/>
      </c>
      <c r="D267" s="5">
        <f>IF(A267="","",IFERROR(VLOOKUP(B267,TblArticles,3,FALSE),""))</f>
        <v/>
      </c>
      <c r="E267" s="6">
        <f>IFERROR(DATE(2000+VALUE(MID(H267,FIND("15",H267,FIND("01",H267)+16)+2,2)),VALUE(MID(H267,FIND("15",H267,FIND("01",H267)+16)+4,2)),VALUE(MID(H267,FIND("15",H267,FIND("01",H267)+16)+6,2))),"")</f>
        <v/>
      </c>
      <c r="F267" s="5">
        <f>IFERROR(MID(H267,FIND("10",H267,FIND("15",H267,FIND("01",H267)+16)+8)+2,50),"")</f>
        <v/>
      </c>
      <c r="G267" s="5" t="n"/>
      <c r="H267" s="5">
        <f>SUBSTITUTE(SUBSTITUTE(SUBSTITUTE(SUBSTITUTE(A267,"(",""),")","")," ",""),CHAR(29),"")</f>
        <v/>
      </c>
    </row>
    <row r="268">
      <c r="A268" s="7" t="n"/>
      <c r="B268" s="8">
        <f>IFERROR(MID(H268,FIND("01",H268)+2,14),"")</f>
        <v/>
      </c>
      <c r="C268" s="7">
        <f>IF(A268="","",IFERROR(VLOOKUP(B268,TblArticles,2,FALSE),"GTIN inconnu"))</f>
        <v/>
      </c>
      <c r="D268" s="8">
        <f>IF(A268="","",IFERROR(VLOOKUP(B268,TblArticles,3,FALSE),""))</f>
        <v/>
      </c>
      <c r="E268" s="9">
        <f>IFERROR(DATE(2000+VALUE(MID(H268,FIND("15",H268,FIND("01",H268)+16)+2,2)),VALUE(MID(H268,FIND("15",H268,FIND("01",H268)+16)+4,2)),VALUE(MID(H268,FIND("15",H268,FIND("01",H268)+16)+6,2))),"")</f>
        <v/>
      </c>
      <c r="F268" s="8">
        <f>IFERROR(MID(H268,FIND("10",H268,FIND("15",H268,FIND("01",H268)+16)+8)+2,50),"")</f>
        <v/>
      </c>
      <c r="G268" s="8" t="n"/>
      <c r="H268" s="8">
        <f>SUBSTITUTE(SUBSTITUTE(SUBSTITUTE(SUBSTITUTE(A268,"(",""),")","")," ",""),CHAR(29),"")</f>
        <v/>
      </c>
    </row>
    <row r="269">
      <c r="A269" s="4" t="n"/>
      <c r="B269" s="5">
        <f>IFERROR(MID(H269,FIND("01",H269)+2,14),"")</f>
        <v/>
      </c>
      <c r="C269" s="4">
        <f>IF(A269="","",IFERROR(VLOOKUP(B269,TblArticles,2,FALSE),"GTIN inconnu"))</f>
        <v/>
      </c>
      <c r="D269" s="5">
        <f>IF(A269="","",IFERROR(VLOOKUP(B269,TblArticles,3,FALSE),""))</f>
        <v/>
      </c>
      <c r="E269" s="6">
        <f>IFERROR(DATE(2000+VALUE(MID(H269,FIND("15",H269,FIND("01",H269)+16)+2,2)),VALUE(MID(H269,FIND("15",H269,FIND("01",H269)+16)+4,2)),VALUE(MID(H269,FIND("15",H269,FIND("01",H269)+16)+6,2))),"")</f>
        <v/>
      </c>
      <c r="F269" s="5">
        <f>IFERROR(MID(H269,FIND("10",H269,FIND("15",H269,FIND("01",H269)+16)+8)+2,50),"")</f>
        <v/>
      </c>
      <c r="G269" s="5" t="n"/>
      <c r="H269" s="5">
        <f>SUBSTITUTE(SUBSTITUTE(SUBSTITUTE(SUBSTITUTE(A269,"(",""),")","")," ",""),CHAR(29),"")</f>
        <v/>
      </c>
    </row>
    <row r="270">
      <c r="A270" s="7" t="n"/>
      <c r="B270" s="8">
        <f>IFERROR(MID(H270,FIND("01",H270)+2,14),"")</f>
        <v/>
      </c>
      <c r="C270" s="7">
        <f>IF(A270="","",IFERROR(VLOOKUP(B270,TblArticles,2,FALSE),"GTIN inconnu"))</f>
        <v/>
      </c>
      <c r="D270" s="8">
        <f>IF(A270="","",IFERROR(VLOOKUP(B270,TblArticles,3,FALSE),""))</f>
        <v/>
      </c>
      <c r="E270" s="9">
        <f>IFERROR(DATE(2000+VALUE(MID(H270,FIND("15",H270,FIND("01",H270)+16)+2,2)),VALUE(MID(H270,FIND("15",H270,FIND("01",H270)+16)+4,2)),VALUE(MID(H270,FIND("15",H270,FIND("01",H270)+16)+6,2))),"")</f>
        <v/>
      </c>
      <c r="F270" s="8">
        <f>IFERROR(MID(H270,FIND("10",H270,FIND("15",H270,FIND("01",H270)+16)+8)+2,50),"")</f>
        <v/>
      </c>
      <c r="G270" s="8" t="n"/>
      <c r="H270" s="8">
        <f>SUBSTITUTE(SUBSTITUTE(SUBSTITUTE(SUBSTITUTE(A270,"(",""),")","")," ",""),CHAR(29),"")</f>
        <v/>
      </c>
    </row>
    <row r="271">
      <c r="A271" s="4" t="n"/>
      <c r="B271" s="5">
        <f>IFERROR(MID(H271,FIND("01",H271)+2,14),"")</f>
        <v/>
      </c>
      <c r="C271" s="4">
        <f>IF(A271="","",IFERROR(VLOOKUP(B271,TblArticles,2,FALSE),"GTIN inconnu"))</f>
        <v/>
      </c>
      <c r="D271" s="5">
        <f>IF(A271="","",IFERROR(VLOOKUP(B271,TblArticles,3,FALSE),""))</f>
        <v/>
      </c>
      <c r="E271" s="6">
        <f>IFERROR(DATE(2000+VALUE(MID(H271,FIND("15",H271,FIND("01",H271)+16)+2,2)),VALUE(MID(H271,FIND("15",H271,FIND("01",H271)+16)+4,2)),VALUE(MID(H271,FIND("15",H271,FIND("01",H271)+16)+6,2))),"")</f>
        <v/>
      </c>
      <c r="F271" s="5">
        <f>IFERROR(MID(H271,FIND("10",H271,FIND("15",H271,FIND("01",H271)+16)+8)+2,50),"")</f>
        <v/>
      </c>
      <c r="G271" s="5" t="n"/>
      <c r="H271" s="5">
        <f>SUBSTITUTE(SUBSTITUTE(SUBSTITUTE(SUBSTITUTE(A271,"(",""),")","")," ",""),CHAR(29),"")</f>
        <v/>
      </c>
    </row>
    <row r="272">
      <c r="A272" s="7" t="n"/>
      <c r="B272" s="8">
        <f>IFERROR(MID(H272,FIND("01",H272)+2,14),"")</f>
        <v/>
      </c>
      <c r="C272" s="7">
        <f>IF(A272="","",IFERROR(VLOOKUP(B272,TblArticles,2,FALSE),"GTIN inconnu"))</f>
        <v/>
      </c>
      <c r="D272" s="8">
        <f>IF(A272="","",IFERROR(VLOOKUP(B272,TblArticles,3,FALSE),""))</f>
        <v/>
      </c>
      <c r="E272" s="9">
        <f>IFERROR(DATE(2000+VALUE(MID(H272,FIND("15",H272,FIND("01",H272)+16)+2,2)),VALUE(MID(H272,FIND("15",H272,FIND("01",H272)+16)+4,2)),VALUE(MID(H272,FIND("15",H272,FIND("01",H272)+16)+6,2))),"")</f>
        <v/>
      </c>
      <c r="F272" s="8">
        <f>IFERROR(MID(H272,FIND("10",H272,FIND("15",H272,FIND("01",H272)+16)+8)+2,50),"")</f>
        <v/>
      </c>
      <c r="G272" s="8" t="n"/>
      <c r="H272" s="8">
        <f>SUBSTITUTE(SUBSTITUTE(SUBSTITUTE(SUBSTITUTE(A272,"(",""),")","")," ",""),CHAR(29),"")</f>
        <v/>
      </c>
    </row>
    <row r="273">
      <c r="A273" s="4" t="n"/>
      <c r="B273" s="5">
        <f>IFERROR(MID(H273,FIND("01",H273)+2,14),"")</f>
        <v/>
      </c>
      <c r="C273" s="4">
        <f>IF(A273="","",IFERROR(VLOOKUP(B273,TblArticles,2,FALSE),"GTIN inconnu"))</f>
        <v/>
      </c>
      <c r="D273" s="5">
        <f>IF(A273="","",IFERROR(VLOOKUP(B273,TblArticles,3,FALSE),""))</f>
        <v/>
      </c>
      <c r="E273" s="6">
        <f>IFERROR(DATE(2000+VALUE(MID(H273,FIND("15",H273,FIND("01",H273)+16)+2,2)),VALUE(MID(H273,FIND("15",H273,FIND("01",H273)+16)+4,2)),VALUE(MID(H273,FIND("15",H273,FIND("01",H273)+16)+6,2))),"")</f>
        <v/>
      </c>
      <c r="F273" s="5">
        <f>IFERROR(MID(H273,FIND("10",H273,FIND("15",H273,FIND("01",H273)+16)+8)+2,50),"")</f>
        <v/>
      </c>
      <c r="G273" s="5" t="n"/>
      <c r="H273" s="5">
        <f>SUBSTITUTE(SUBSTITUTE(SUBSTITUTE(SUBSTITUTE(A273,"(",""),")","")," ",""),CHAR(29),"")</f>
        <v/>
      </c>
    </row>
    <row r="274">
      <c r="A274" s="7" t="n"/>
      <c r="B274" s="8">
        <f>IFERROR(MID(H274,FIND("01",H274)+2,14),"")</f>
        <v/>
      </c>
      <c r="C274" s="7">
        <f>IF(A274="","",IFERROR(VLOOKUP(B274,TblArticles,2,FALSE),"GTIN inconnu"))</f>
        <v/>
      </c>
      <c r="D274" s="8">
        <f>IF(A274="","",IFERROR(VLOOKUP(B274,TblArticles,3,FALSE),""))</f>
        <v/>
      </c>
      <c r="E274" s="9">
        <f>IFERROR(DATE(2000+VALUE(MID(H274,FIND("15",H274,FIND("01",H274)+16)+2,2)),VALUE(MID(H274,FIND("15",H274,FIND("01",H274)+16)+4,2)),VALUE(MID(H274,FIND("15",H274,FIND("01",H274)+16)+6,2))),"")</f>
        <v/>
      </c>
      <c r="F274" s="8">
        <f>IFERROR(MID(H274,FIND("10",H274,FIND("15",H274,FIND("01",H274)+16)+8)+2,50),"")</f>
        <v/>
      </c>
      <c r="G274" s="8" t="n"/>
      <c r="H274" s="8">
        <f>SUBSTITUTE(SUBSTITUTE(SUBSTITUTE(SUBSTITUTE(A274,"(",""),")","")," ",""),CHAR(29),"")</f>
        <v/>
      </c>
    </row>
    <row r="275">
      <c r="A275" s="4" t="n"/>
      <c r="B275" s="5">
        <f>IFERROR(MID(H275,FIND("01",H275)+2,14),"")</f>
        <v/>
      </c>
      <c r="C275" s="4">
        <f>IF(A275="","",IFERROR(VLOOKUP(B275,TblArticles,2,FALSE),"GTIN inconnu"))</f>
        <v/>
      </c>
      <c r="D275" s="5">
        <f>IF(A275="","",IFERROR(VLOOKUP(B275,TblArticles,3,FALSE),""))</f>
        <v/>
      </c>
      <c r="E275" s="6">
        <f>IFERROR(DATE(2000+VALUE(MID(H275,FIND("15",H275,FIND("01",H275)+16)+2,2)),VALUE(MID(H275,FIND("15",H275,FIND("01",H275)+16)+4,2)),VALUE(MID(H275,FIND("15",H275,FIND("01",H275)+16)+6,2))),"")</f>
        <v/>
      </c>
      <c r="F275" s="5">
        <f>IFERROR(MID(H275,FIND("10",H275,FIND("15",H275,FIND("01",H275)+16)+8)+2,50),"")</f>
        <v/>
      </c>
      <c r="G275" s="5" t="n"/>
      <c r="H275" s="5">
        <f>SUBSTITUTE(SUBSTITUTE(SUBSTITUTE(SUBSTITUTE(A275,"(",""),")","")," ",""),CHAR(29),"")</f>
        <v/>
      </c>
    </row>
    <row r="276">
      <c r="A276" s="7" t="n"/>
      <c r="B276" s="8">
        <f>IFERROR(MID(H276,FIND("01",H276)+2,14),"")</f>
        <v/>
      </c>
      <c r="C276" s="7">
        <f>IF(A276="","",IFERROR(VLOOKUP(B276,TblArticles,2,FALSE),"GTIN inconnu"))</f>
        <v/>
      </c>
      <c r="D276" s="8">
        <f>IF(A276="","",IFERROR(VLOOKUP(B276,TblArticles,3,FALSE),""))</f>
        <v/>
      </c>
      <c r="E276" s="9">
        <f>IFERROR(DATE(2000+VALUE(MID(H276,FIND("15",H276,FIND("01",H276)+16)+2,2)),VALUE(MID(H276,FIND("15",H276,FIND("01",H276)+16)+4,2)),VALUE(MID(H276,FIND("15",H276,FIND("01",H276)+16)+6,2))),"")</f>
        <v/>
      </c>
      <c r="F276" s="8">
        <f>IFERROR(MID(H276,FIND("10",H276,FIND("15",H276,FIND("01",H276)+16)+8)+2,50),"")</f>
        <v/>
      </c>
      <c r="G276" s="8" t="n"/>
      <c r="H276" s="8">
        <f>SUBSTITUTE(SUBSTITUTE(SUBSTITUTE(SUBSTITUTE(A276,"(",""),")","")," ",""),CHAR(29),"")</f>
        <v/>
      </c>
    </row>
    <row r="277">
      <c r="A277" s="4" t="n"/>
      <c r="B277" s="5">
        <f>IFERROR(MID(H277,FIND("01",H277)+2,14),"")</f>
        <v/>
      </c>
      <c r="C277" s="4">
        <f>IF(A277="","",IFERROR(VLOOKUP(B277,TblArticles,2,FALSE),"GTIN inconnu"))</f>
        <v/>
      </c>
      <c r="D277" s="5">
        <f>IF(A277="","",IFERROR(VLOOKUP(B277,TblArticles,3,FALSE),""))</f>
        <v/>
      </c>
      <c r="E277" s="6">
        <f>IFERROR(DATE(2000+VALUE(MID(H277,FIND("15",H277,FIND("01",H277)+16)+2,2)),VALUE(MID(H277,FIND("15",H277,FIND("01",H277)+16)+4,2)),VALUE(MID(H277,FIND("15",H277,FIND("01",H277)+16)+6,2))),"")</f>
        <v/>
      </c>
      <c r="F277" s="5">
        <f>IFERROR(MID(H277,FIND("10",H277,FIND("15",H277,FIND("01",H277)+16)+8)+2,50),"")</f>
        <v/>
      </c>
      <c r="G277" s="5" t="n"/>
      <c r="H277" s="5">
        <f>SUBSTITUTE(SUBSTITUTE(SUBSTITUTE(SUBSTITUTE(A277,"(",""),")","")," ",""),CHAR(29),"")</f>
        <v/>
      </c>
    </row>
    <row r="278">
      <c r="A278" s="7" t="n"/>
      <c r="B278" s="8">
        <f>IFERROR(MID(H278,FIND("01",H278)+2,14),"")</f>
        <v/>
      </c>
      <c r="C278" s="7">
        <f>IF(A278="","",IFERROR(VLOOKUP(B278,TblArticles,2,FALSE),"GTIN inconnu"))</f>
        <v/>
      </c>
      <c r="D278" s="8">
        <f>IF(A278="","",IFERROR(VLOOKUP(B278,TblArticles,3,FALSE),""))</f>
        <v/>
      </c>
      <c r="E278" s="9">
        <f>IFERROR(DATE(2000+VALUE(MID(H278,FIND("15",H278,FIND("01",H278)+16)+2,2)),VALUE(MID(H278,FIND("15",H278,FIND("01",H278)+16)+4,2)),VALUE(MID(H278,FIND("15",H278,FIND("01",H278)+16)+6,2))),"")</f>
        <v/>
      </c>
      <c r="F278" s="8">
        <f>IFERROR(MID(H278,FIND("10",H278,FIND("15",H278,FIND("01",H278)+16)+8)+2,50),"")</f>
        <v/>
      </c>
      <c r="G278" s="8" t="n"/>
      <c r="H278" s="8">
        <f>SUBSTITUTE(SUBSTITUTE(SUBSTITUTE(SUBSTITUTE(A278,"(",""),")","")," ",""),CHAR(29),"")</f>
        <v/>
      </c>
    </row>
    <row r="279">
      <c r="A279" s="4" t="n"/>
      <c r="B279" s="5">
        <f>IFERROR(MID(H279,FIND("01",H279)+2,14),"")</f>
        <v/>
      </c>
      <c r="C279" s="4">
        <f>IF(A279="","",IFERROR(VLOOKUP(B279,TblArticles,2,FALSE),"GTIN inconnu"))</f>
        <v/>
      </c>
      <c r="D279" s="5">
        <f>IF(A279="","",IFERROR(VLOOKUP(B279,TblArticles,3,FALSE),""))</f>
        <v/>
      </c>
      <c r="E279" s="6">
        <f>IFERROR(DATE(2000+VALUE(MID(H279,FIND("15",H279,FIND("01",H279)+16)+2,2)),VALUE(MID(H279,FIND("15",H279,FIND("01",H279)+16)+4,2)),VALUE(MID(H279,FIND("15",H279,FIND("01",H279)+16)+6,2))),"")</f>
        <v/>
      </c>
      <c r="F279" s="5">
        <f>IFERROR(MID(H279,FIND("10",H279,FIND("15",H279,FIND("01",H279)+16)+8)+2,50),"")</f>
        <v/>
      </c>
      <c r="G279" s="5" t="n"/>
      <c r="H279" s="5">
        <f>SUBSTITUTE(SUBSTITUTE(SUBSTITUTE(SUBSTITUTE(A279,"(",""),")","")," ",""),CHAR(29),"")</f>
        <v/>
      </c>
    </row>
    <row r="280">
      <c r="A280" s="7" t="n"/>
      <c r="B280" s="8">
        <f>IFERROR(MID(H280,FIND("01",H280)+2,14),"")</f>
        <v/>
      </c>
      <c r="C280" s="7">
        <f>IF(A280="","",IFERROR(VLOOKUP(B280,TblArticles,2,FALSE),"GTIN inconnu"))</f>
        <v/>
      </c>
      <c r="D280" s="8">
        <f>IF(A280="","",IFERROR(VLOOKUP(B280,TblArticles,3,FALSE),""))</f>
        <v/>
      </c>
      <c r="E280" s="9">
        <f>IFERROR(DATE(2000+VALUE(MID(H280,FIND("15",H280,FIND("01",H280)+16)+2,2)),VALUE(MID(H280,FIND("15",H280,FIND("01",H280)+16)+4,2)),VALUE(MID(H280,FIND("15",H280,FIND("01",H280)+16)+6,2))),"")</f>
        <v/>
      </c>
      <c r="F280" s="8">
        <f>IFERROR(MID(H280,FIND("10",H280,FIND("15",H280,FIND("01",H280)+16)+8)+2,50),"")</f>
        <v/>
      </c>
      <c r="G280" s="8" t="n"/>
      <c r="H280" s="8">
        <f>SUBSTITUTE(SUBSTITUTE(SUBSTITUTE(SUBSTITUTE(A280,"(",""),")","")," ",""),CHAR(29),"")</f>
        <v/>
      </c>
    </row>
    <row r="281">
      <c r="A281" s="4" t="n"/>
      <c r="B281" s="5">
        <f>IFERROR(MID(H281,FIND("01",H281)+2,14),"")</f>
        <v/>
      </c>
      <c r="C281" s="4">
        <f>IF(A281="","",IFERROR(VLOOKUP(B281,TblArticles,2,FALSE),"GTIN inconnu"))</f>
        <v/>
      </c>
      <c r="D281" s="5">
        <f>IF(A281="","",IFERROR(VLOOKUP(B281,TblArticles,3,FALSE),""))</f>
        <v/>
      </c>
      <c r="E281" s="6">
        <f>IFERROR(DATE(2000+VALUE(MID(H281,FIND("15",H281,FIND("01",H281)+16)+2,2)),VALUE(MID(H281,FIND("15",H281,FIND("01",H281)+16)+4,2)),VALUE(MID(H281,FIND("15",H281,FIND("01",H281)+16)+6,2))),"")</f>
        <v/>
      </c>
      <c r="F281" s="5">
        <f>IFERROR(MID(H281,FIND("10",H281,FIND("15",H281,FIND("01",H281)+16)+8)+2,50),"")</f>
        <v/>
      </c>
      <c r="G281" s="5" t="n"/>
      <c r="H281" s="5">
        <f>SUBSTITUTE(SUBSTITUTE(SUBSTITUTE(SUBSTITUTE(A281,"(",""),")","")," ",""),CHAR(29),"")</f>
        <v/>
      </c>
    </row>
    <row r="282">
      <c r="A282" s="7" t="n"/>
      <c r="B282" s="8">
        <f>IFERROR(MID(H282,FIND("01",H282)+2,14),"")</f>
        <v/>
      </c>
      <c r="C282" s="7">
        <f>IF(A282="","",IFERROR(VLOOKUP(B282,TblArticles,2,FALSE),"GTIN inconnu"))</f>
        <v/>
      </c>
      <c r="D282" s="8">
        <f>IF(A282="","",IFERROR(VLOOKUP(B282,TblArticles,3,FALSE),""))</f>
        <v/>
      </c>
      <c r="E282" s="9">
        <f>IFERROR(DATE(2000+VALUE(MID(H282,FIND("15",H282,FIND("01",H282)+16)+2,2)),VALUE(MID(H282,FIND("15",H282,FIND("01",H282)+16)+4,2)),VALUE(MID(H282,FIND("15",H282,FIND("01",H282)+16)+6,2))),"")</f>
        <v/>
      </c>
      <c r="F282" s="8">
        <f>IFERROR(MID(H282,FIND("10",H282,FIND("15",H282,FIND("01",H282)+16)+8)+2,50),"")</f>
        <v/>
      </c>
      <c r="G282" s="8" t="n"/>
      <c r="H282" s="8">
        <f>SUBSTITUTE(SUBSTITUTE(SUBSTITUTE(SUBSTITUTE(A282,"(",""),")","")," ",""),CHAR(29),"")</f>
        <v/>
      </c>
    </row>
    <row r="283">
      <c r="A283" s="4" t="n"/>
      <c r="B283" s="5">
        <f>IFERROR(MID(H283,FIND("01",H283)+2,14),"")</f>
        <v/>
      </c>
      <c r="C283" s="4">
        <f>IF(A283="","",IFERROR(VLOOKUP(B283,TblArticles,2,FALSE),"GTIN inconnu"))</f>
        <v/>
      </c>
      <c r="D283" s="5">
        <f>IF(A283="","",IFERROR(VLOOKUP(B283,TblArticles,3,FALSE),""))</f>
        <v/>
      </c>
      <c r="E283" s="6">
        <f>IFERROR(DATE(2000+VALUE(MID(H283,FIND("15",H283,FIND("01",H283)+16)+2,2)),VALUE(MID(H283,FIND("15",H283,FIND("01",H283)+16)+4,2)),VALUE(MID(H283,FIND("15",H283,FIND("01",H283)+16)+6,2))),"")</f>
        <v/>
      </c>
      <c r="F283" s="5">
        <f>IFERROR(MID(H283,FIND("10",H283,FIND("15",H283,FIND("01",H283)+16)+8)+2,50),"")</f>
        <v/>
      </c>
      <c r="G283" s="5" t="n"/>
      <c r="H283" s="5">
        <f>SUBSTITUTE(SUBSTITUTE(SUBSTITUTE(SUBSTITUTE(A283,"(",""),")","")," ",""),CHAR(29),"")</f>
        <v/>
      </c>
    </row>
    <row r="284">
      <c r="A284" s="7" t="n"/>
      <c r="B284" s="8">
        <f>IFERROR(MID(H284,FIND("01",H284)+2,14),"")</f>
        <v/>
      </c>
      <c r="C284" s="7">
        <f>IF(A284="","",IFERROR(VLOOKUP(B284,TblArticles,2,FALSE),"GTIN inconnu"))</f>
        <v/>
      </c>
      <c r="D284" s="8">
        <f>IF(A284="","",IFERROR(VLOOKUP(B284,TblArticles,3,FALSE),""))</f>
        <v/>
      </c>
      <c r="E284" s="9">
        <f>IFERROR(DATE(2000+VALUE(MID(H284,FIND("15",H284,FIND("01",H284)+16)+2,2)),VALUE(MID(H284,FIND("15",H284,FIND("01",H284)+16)+4,2)),VALUE(MID(H284,FIND("15",H284,FIND("01",H284)+16)+6,2))),"")</f>
        <v/>
      </c>
      <c r="F284" s="8">
        <f>IFERROR(MID(H284,FIND("10",H284,FIND("15",H284,FIND("01",H284)+16)+8)+2,50),"")</f>
        <v/>
      </c>
      <c r="G284" s="8" t="n"/>
      <c r="H284" s="8">
        <f>SUBSTITUTE(SUBSTITUTE(SUBSTITUTE(SUBSTITUTE(A284,"(",""),")","")," ",""),CHAR(29),"")</f>
        <v/>
      </c>
    </row>
    <row r="285">
      <c r="A285" s="4" t="n"/>
      <c r="B285" s="5">
        <f>IFERROR(MID(H285,FIND("01",H285)+2,14),"")</f>
        <v/>
      </c>
      <c r="C285" s="4">
        <f>IF(A285="","",IFERROR(VLOOKUP(B285,TblArticles,2,FALSE),"GTIN inconnu"))</f>
        <v/>
      </c>
      <c r="D285" s="5">
        <f>IF(A285="","",IFERROR(VLOOKUP(B285,TblArticles,3,FALSE),""))</f>
        <v/>
      </c>
      <c r="E285" s="6">
        <f>IFERROR(DATE(2000+VALUE(MID(H285,FIND("15",H285,FIND("01",H285)+16)+2,2)),VALUE(MID(H285,FIND("15",H285,FIND("01",H285)+16)+4,2)),VALUE(MID(H285,FIND("15",H285,FIND("01",H285)+16)+6,2))),"")</f>
        <v/>
      </c>
      <c r="F285" s="5">
        <f>IFERROR(MID(H285,FIND("10",H285,FIND("15",H285,FIND("01",H285)+16)+8)+2,50),"")</f>
        <v/>
      </c>
      <c r="G285" s="5" t="n"/>
      <c r="H285" s="5">
        <f>SUBSTITUTE(SUBSTITUTE(SUBSTITUTE(SUBSTITUTE(A285,"(",""),")","")," ",""),CHAR(29),"")</f>
        <v/>
      </c>
    </row>
    <row r="286">
      <c r="A286" s="7" t="n"/>
      <c r="B286" s="8">
        <f>IFERROR(MID(H286,FIND("01",H286)+2,14),"")</f>
        <v/>
      </c>
      <c r="C286" s="7">
        <f>IF(A286="","",IFERROR(VLOOKUP(B286,TblArticles,2,FALSE),"GTIN inconnu"))</f>
        <v/>
      </c>
      <c r="D286" s="8">
        <f>IF(A286="","",IFERROR(VLOOKUP(B286,TblArticles,3,FALSE),""))</f>
        <v/>
      </c>
      <c r="E286" s="9">
        <f>IFERROR(DATE(2000+VALUE(MID(H286,FIND("15",H286,FIND("01",H286)+16)+2,2)),VALUE(MID(H286,FIND("15",H286,FIND("01",H286)+16)+4,2)),VALUE(MID(H286,FIND("15",H286,FIND("01",H286)+16)+6,2))),"")</f>
        <v/>
      </c>
      <c r="F286" s="8">
        <f>IFERROR(MID(H286,FIND("10",H286,FIND("15",H286,FIND("01",H286)+16)+8)+2,50),"")</f>
        <v/>
      </c>
      <c r="G286" s="8" t="n"/>
      <c r="H286" s="8">
        <f>SUBSTITUTE(SUBSTITUTE(SUBSTITUTE(SUBSTITUTE(A286,"(",""),")","")," ",""),CHAR(29),"")</f>
        <v/>
      </c>
    </row>
    <row r="287">
      <c r="A287" s="4" t="n"/>
      <c r="B287" s="5">
        <f>IFERROR(MID(H287,FIND("01",H287)+2,14),"")</f>
        <v/>
      </c>
      <c r="C287" s="4">
        <f>IF(A287="","",IFERROR(VLOOKUP(B287,TblArticles,2,FALSE),"GTIN inconnu"))</f>
        <v/>
      </c>
      <c r="D287" s="5">
        <f>IF(A287="","",IFERROR(VLOOKUP(B287,TblArticles,3,FALSE),""))</f>
        <v/>
      </c>
      <c r="E287" s="6">
        <f>IFERROR(DATE(2000+VALUE(MID(H287,FIND("15",H287,FIND("01",H287)+16)+2,2)),VALUE(MID(H287,FIND("15",H287,FIND("01",H287)+16)+4,2)),VALUE(MID(H287,FIND("15",H287,FIND("01",H287)+16)+6,2))),"")</f>
        <v/>
      </c>
      <c r="F287" s="5">
        <f>IFERROR(MID(H287,FIND("10",H287,FIND("15",H287,FIND("01",H287)+16)+8)+2,50),"")</f>
        <v/>
      </c>
      <c r="G287" s="5" t="n"/>
      <c r="H287" s="5">
        <f>SUBSTITUTE(SUBSTITUTE(SUBSTITUTE(SUBSTITUTE(A287,"(",""),")","")," ",""),CHAR(29),"")</f>
        <v/>
      </c>
    </row>
    <row r="288">
      <c r="A288" s="7" t="n"/>
      <c r="B288" s="8">
        <f>IFERROR(MID(H288,FIND("01",H288)+2,14),"")</f>
        <v/>
      </c>
      <c r="C288" s="7">
        <f>IF(A288="","",IFERROR(VLOOKUP(B288,TblArticles,2,FALSE),"GTIN inconnu"))</f>
        <v/>
      </c>
      <c r="D288" s="8">
        <f>IF(A288="","",IFERROR(VLOOKUP(B288,TblArticles,3,FALSE),""))</f>
        <v/>
      </c>
      <c r="E288" s="9">
        <f>IFERROR(DATE(2000+VALUE(MID(H288,FIND("15",H288,FIND("01",H288)+16)+2,2)),VALUE(MID(H288,FIND("15",H288,FIND("01",H288)+16)+4,2)),VALUE(MID(H288,FIND("15",H288,FIND("01",H288)+16)+6,2))),"")</f>
        <v/>
      </c>
      <c r="F288" s="8">
        <f>IFERROR(MID(H288,FIND("10",H288,FIND("15",H288,FIND("01",H288)+16)+8)+2,50),"")</f>
        <v/>
      </c>
      <c r="G288" s="8" t="n"/>
      <c r="H288" s="8">
        <f>SUBSTITUTE(SUBSTITUTE(SUBSTITUTE(SUBSTITUTE(A288,"(",""),")","")," ",""),CHAR(29),"")</f>
        <v/>
      </c>
    </row>
    <row r="289">
      <c r="A289" s="4" t="n"/>
      <c r="B289" s="5">
        <f>IFERROR(MID(H289,FIND("01",H289)+2,14),"")</f>
        <v/>
      </c>
      <c r="C289" s="4">
        <f>IF(A289="","",IFERROR(VLOOKUP(B289,TblArticles,2,FALSE),"GTIN inconnu"))</f>
        <v/>
      </c>
      <c r="D289" s="5">
        <f>IF(A289="","",IFERROR(VLOOKUP(B289,TblArticles,3,FALSE),""))</f>
        <v/>
      </c>
      <c r="E289" s="6">
        <f>IFERROR(DATE(2000+VALUE(MID(H289,FIND("15",H289,FIND("01",H289)+16)+2,2)),VALUE(MID(H289,FIND("15",H289,FIND("01",H289)+16)+4,2)),VALUE(MID(H289,FIND("15",H289,FIND("01",H289)+16)+6,2))),"")</f>
        <v/>
      </c>
      <c r="F289" s="5">
        <f>IFERROR(MID(H289,FIND("10",H289,FIND("15",H289,FIND("01",H289)+16)+8)+2,50),"")</f>
        <v/>
      </c>
      <c r="G289" s="5" t="n"/>
      <c r="H289" s="5">
        <f>SUBSTITUTE(SUBSTITUTE(SUBSTITUTE(SUBSTITUTE(A289,"(",""),")","")," ",""),CHAR(29),"")</f>
        <v/>
      </c>
    </row>
    <row r="290">
      <c r="A290" s="7" t="n"/>
      <c r="B290" s="8">
        <f>IFERROR(MID(H290,FIND("01",H290)+2,14),"")</f>
        <v/>
      </c>
      <c r="C290" s="7">
        <f>IF(A290="","",IFERROR(VLOOKUP(B290,TblArticles,2,FALSE),"GTIN inconnu"))</f>
        <v/>
      </c>
      <c r="D290" s="8">
        <f>IF(A290="","",IFERROR(VLOOKUP(B290,TblArticles,3,FALSE),""))</f>
        <v/>
      </c>
      <c r="E290" s="9">
        <f>IFERROR(DATE(2000+VALUE(MID(H290,FIND("15",H290,FIND("01",H290)+16)+2,2)),VALUE(MID(H290,FIND("15",H290,FIND("01",H290)+16)+4,2)),VALUE(MID(H290,FIND("15",H290,FIND("01",H290)+16)+6,2))),"")</f>
        <v/>
      </c>
      <c r="F290" s="8">
        <f>IFERROR(MID(H290,FIND("10",H290,FIND("15",H290,FIND("01",H290)+16)+8)+2,50),"")</f>
        <v/>
      </c>
      <c r="G290" s="8" t="n"/>
      <c r="H290" s="8">
        <f>SUBSTITUTE(SUBSTITUTE(SUBSTITUTE(SUBSTITUTE(A290,"(",""),")","")," ",""),CHAR(29),"")</f>
        <v/>
      </c>
    </row>
    <row r="291">
      <c r="A291" s="4" t="n"/>
      <c r="B291" s="5">
        <f>IFERROR(MID(H291,FIND("01",H291)+2,14),"")</f>
        <v/>
      </c>
      <c r="C291" s="4">
        <f>IF(A291="","",IFERROR(VLOOKUP(B291,TblArticles,2,FALSE),"GTIN inconnu"))</f>
        <v/>
      </c>
      <c r="D291" s="5">
        <f>IF(A291="","",IFERROR(VLOOKUP(B291,TblArticles,3,FALSE),""))</f>
        <v/>
      </c>
      <c r="E291" s="6">
        <f>IFERROR(DATE(2000+VALUE(MID(H291,FIND("15",H291,FIND("01",H291)+16)+2,2)),VALUE(MID(H291,FIND("15",H291,FIND("01",H291)+16)+4,2)),VALUE(MID(H291,FIND("15",H291,FIND("01",H291)+16)+6,2))),"")</f>
        <v/>
      </c>
      <c r="F291" s="5">
        <f>IFERROR(MID(H291,FIND("10",H291,FIND("15",H291,FIND("01",H291)+16)+8)+2,50),"")</f>
        <v/>
      </c>
      <c r="G291" s="5" t="n"/>
      <c r="H291" s="5">
        <f>SUBSTITUTE(SUBSTITUTE(SUBSTITUTE(SUBSTITUTE(A291,"(",""),")","")," ",""),CHAR(29),"")</f>
        <v/>
      </c>
    </row>
    <row r="292">
      <c r="A292" s="7" t="n"/>
      <c r="B292" s="8">
        <f>IFERROR(MID(H292,FIND("01",H292)+2,14),"")</f>
        <v/>
      </c>
      <c r="C292" s="7">
        <f>IF(A292="","",IFERROR(VLOOKUP(B292,TblArticles,2,FALSE),"GTIN inconnu"))</f>
        <v/>
      </c>
      <c r="D292" s="8">
        <f>IF(A292="","",IFERROR(VLOOKUP(B292,TblArticles,3,FALSE),""))</f>
        <v/>
      </c>
      <c r="E292" s="9">
        <f>IFERROR(DATE(2000+VALUE(MID(H292,FIND("15",H292,FIND("01",H292)+16)+2,2)),VALUE(MID(H292,FIND("15",H292,FIND("01",H292)+16)+4,2)),VALUE(MID(H292,FIND("15",H292,FIND("01",H292)+16)+6,2))),"")</f>
        <v/>
      </c>
      <c r="F292" s="8">
        <f>IFERROR(MID(H292,FIND("10",H292,FIND("15",H292,FIND("01",H292)+16)+8)+2,50),"")</f>
        <v/>
      </c>
      <c r="G292" s="8" t="n"/>
      <c r="H292" s="8">
        <f>SUBSTITUTE(SUBSTITUTE(SUBSTITUTE(SUBSTITUTE(A292,"(",""),")","")," ",""),CHAR(29),"")</f>
        <v/>
      </c>
    </row>
    <row r="293">
      <c r="A293" s="4" t="n"/>
      <c r="B293" s="5">
        <f>IFERROR(MID(H293,FIND("01",H293)+2,14),"")</f>
        <v/>
      </c>
      <c r="C293" s="4">
        <f>IF(A293="","",IFERROR(VLOOKUP(B293,TblArticles,2,FALSE),"GTIN inconnu"))</f>
        <v/>
      </c>
      <c r="D293" s="5">
        <f>IF(A293="","",IFERROR(VLOOKUP(B293,TblArticles,3,FALSE),""))</f>
        <v/>
      </c>
      <c r="E293" s="6">
        <f>IFERROR(DATE(2000+VALUE(MID(H293,FIND("15",H293,FIND("01",H293)+16)+2,2)),VALUE(MID(H293,FIND("15",H293,FIND("01",H293)+16)+4,2)),VALUE(MID(H293,FIND("15",H293,FIND("01",H293)+16)+6,2))),"")</f>
        <v/>
      </c>
      <c r="F293" s="5">
        <f>IFERROR(MID(H293,FIND("10",H293,FIND("15",H293,FIND("01",H293)+16)+8)+2,50),"")</f>
        <v/>
      </c>
      <c r="G293" s="5" t="n"/>
      <c r="H293" s="5">
        <f>SUBSTITUTE(SUBSTITUTE(SUBSTITUTE(SUBSTITUTE(A293,"(",""),")","")," ",""),CHAR(29),"")</f>
        <v/>
      </c>
    </row>
    <row r="294">
      <c r="A294" s="7" t="n"/>
      <c r="B294" s="8">
        <f>IFERROR(MID(H294,FIND("01",H294)+2,14),"")</f>
        <v/>
      </c>
      <c r="C294" s="7">
        <f>IF(A294="","",IFERROR(VLOOKUP(B294,TblArticles,2,FALSE),"GTIN inconnu"))</f>
        <v/>
      </c>
      <c r="D294" s="8">
        <f>IF(A294="","",IFERROR(VLOOKUP(B294,TblArticles,3,FALSE),""))</f>
        <v/>
      </c>
      <c r="E294" s="9">
        <f>IFERROR(DATE(2000+VALUE(MID(H294,FIND("15",H294,FIND("01",H294)+16)+2,2)),VALUE(MID(H294,FIND("15",H294,FIND("01",H294)+16)+4,2)),VALUE(MID(H294,FIND("15",H294,FIND("01",H294)+16)+6,2))),"")</f>
        <v/>
      </c>
      <c r="F294" s="8">
        <f>IFERROR(MID(H294,FIND("10",H294,FIND("15",H294,FIND("01",H294)+16)+8)+2,50),"")</f>
        <v/>
      </c>
      <c r="G294" s="8" t="n"/>
      <c r="H294" s="8">
        <f>SUBSTITUTE(SUBSTITUTE(SUBSTITUTE(SUBSTITUTE(A294,"(",""),")","")," ",""),CHAR(29),"")</f>
        <v/>
      </c>
    </row>
    <row r="295">
      <c r="A295" s="4" t="n"/>
      <c r="B295" s="5">
        <f>IFERROR(MID(H295,FIND("01",H295)+2,14),"")</f>
        <v/>
      </c>
      <c r="C295" s="4">
        <f>IF(A295="","",IFERROR(VLOOKUP(B295,TblArticles,2,FALSE),"GTIN inconnu"))</f>
        <v/>
      </c>
      <c r="D295" s="5">
        <f>IF(A295="","",IFERROR(VLOOKUP(B295,TblArticles,3,FALSE),""))</f>
        <v/>
      </c>
      <c r="E295" s="6">
        <f>IFERROR(DATE(2000+VALUE(MID(H295,FIND("15",H295,FIND("01",H295)+16)+2,2)),VALUE(MID(H295,FIND("15",H295,FIND("01",H295)+16)+4,2)),VALUE(MID(H295,FIND("15",H295,FIND("01",H295)+16)+6,2))),"")</f>
        <v/>
      </c>
      <c r="F295" s="5">
        <f>IFERROR(MID(H295,FIND("10",H295,FIND("15",H295,FIND("01",H295)+16)+8)+2,50),"")</f>
        <v/>
      </c>
      <c r="G295" s="5" t="n"/>
      <c r="H295" s="5">
        <f>SUBSTITUTE(SUBSTITUTE(SUBSTITUTE(SUBSTITUTE(A295,"(",""),")","")," ",""),CHAR(29),"")</f>
        <v/>
      </c>
    </row>
    <row r="296">
      <c r="A296" s="7" t="n"/>
      <c r="B296" s="8">
        <f>IFERROR(MID(H296,FIND("01",H296)+2,14),"")</f>
        <v/>
      </c>
      <c r="C296" s="7">
        <f>IF(A296="","",IFERROR(VLOOKUP(B296,TblArticles,2,FALSE),"GTIN inconnu"))</f>
        <v/>
      </c>
      <c r="D296" s="8">
        <f>IF(A296="","",IFERROR(VLOOKUP(B296,TblArticles,3,FALSE),""))</f>
        <v/>
      </c>
      <c r="E296" s="9">
        <f>IFERROR(DATE(2000+VALUE(MID(H296,FIND("15",H296,FIND("01",H296)+16)+2,2)),VALUE(MID(H296,FIND("15",H296,FIND("01",H296)+16)+4,2)),VALUE(MID(H296,FIND("15",H296,FIND("01",H296)+16)+6,2))),"")</f>
        <v/>
      </c>
      <c r="F296" s="8">
        <f>IFERROR(MID(H296,FIND("10",H296,FIND("15",H296,FIND("01",H296)+16)+8)+2,50),"")</f>
        <v/>
      </c>
      <c r="G296" s="8" t="n"/>
      <c r="H296" s="8">
        <f>SUBSTITUTE(SUBSTITUTE(SUBSTITUTE(SUBSTITUTE(A296,"(",""),")","")," ",""),CHAR(29),"")</f>
        <v/>
      </c>
    </row>
    <row r="297">
      <c r="A297" s="4" t="n"/>
      <c r="B297" s="5">
        <f>IFERROR(MID(H297,FIND("01",H297)+2,14),"")</f>
        <v/>
      </c>
      <c r="C297" s="4">
        <f>IF(A297="","",IFERROR(VLOOKUP(B297,TblArticles,2,FALSE),"GTIN inconnu"))</f>
        <v/>
      </c>
      <c r="D297" s="5">
        <f>IF(A297="","",IFERROR(VLOOKUP(B297,TblArticles,3,FALSE),""))</f>
        <v/>
      </c>
      <c r="E297" s="6">
        <f>IFERROR(DATE(2000+VALUE(MID(H297,FIND("15",H297,FIND("01",H297)+16)+2,2)),VALUE(MID(H297,FIND("15",H297,FIND("01",H297)+16)+4,2)),VALUE(MID(H297,FIND("15",H297,FIND("01",H297)+16)+6,2))),"")</f>
        <v/>
      </c>
      <c r="F297" s="5">
        <f>IFERROR(MID(H297,FIND("10",H297,FIND("15",H297,FIND("01",H297)+16)+8)+2,50),"")</f>
        <v/>
      </c>
      <c r="G297" s="5" t="n"/>
      <c r="H297" s="5">
        <f>SUBSTITUTE(SUBSTITUTE(SUBSTITUTE(SUBSTITUTE(A297,"(",""),")","")," ",""),CHAR(29),"")</f>
        <v/>
      </c>
    </row>
    <row r="298">
      <c r="A298" s="7" t="n"/>
      <c r="B298" s="8">
        <f>IFERROR(MID(H298,FIND("01",H298)+2,14),"")</f>
        <v/>
      </c>
      <c r="C298" s="7">
        <f>IF(A298="","",IFERROR(VLOOKUP(B298,TblArticles,2,FALSE),"GTIN inconnu"))</f>
        <v/>
      </c>
      <c r="D298" s="8">
        <f>IF(A298="","",IFERROR(VLOOKUP(B298,TblArticles,3,FALSE),""))</f>
        <v/>
      </c>
      <c r="E298" s="9">
        <f>IFERROR(DATE(2000+VALUE(MID(H298,FIND("15",H298,FIND("01",H298)+16)+2,2)),VALUE(MID(H298,FIND("15",H298,FIND("01",H298)+16)+4,2)),VALUE(MID(H298,FIND("15",H298,FIND("01",H298)+16)+6,2))),"")</f>
        <v/>
      </c>
      <c r="F298" s="8">
        <f>IFERROR(MID(H298,FIND("10",H298,FIND("15",H298,FIND("01",H298)+16)+8)+2,50),"")</f>
        <v/>
      </c>
      <c r="G298" s="8" t="n"/>
      <c r="H298" s="8">
        <f>SUBSTITUTE(SUBSTITUTE(SUBSTITUTE(SUBSTITUTE(A298,"(",""),")","")," ",""),CHAR(29),"")</f>
        <v/>
      </c>
    </row>
    <row r="299">
      <c r="A299" s="4" t="n"/>
      <c r="B299" s="5">
        <f>IFERROR(MID(H299,FIND("01",H299)+2,14),"")</f>
        <v/>
      </c>
      <c r="C299" s="4">
        <f>IF(A299="","",IFERROR(VLOOKUP(B299,TblArticles,2,FALSE),"GTIN inconnu"))</f>
        <v/>
      </c>
      <c r="D299" s="5">
        <f>IF(A299="","",IFERROR(VLOOKUP(B299,TblArticles,3,FALSE),""))</f>
        <v/>
      </c>
      <c r="E299" s="6">
        <f>IFERROR(DATE(2000+VALUE(MID(H299,FIND("15",H299,FIND("01",H299)+16)+2,2)),VALUE(MID(H299,FIND("15",H299,FIND("01",H299)+16)+4,2)),VALUE(MID(H299,FIND("15",H299,FIND("01",H299)+16)+6,2))),"")</f>
        <v/>
      </c>
      <c r="F299" s="5">
        <f>IFERROR(MID(H299,FIND("10",H299,FIND("15",H299,FIND("01",H299)+16)+8)+2,50),"")</f>
        <v/>
      </c>
      <c r="G299" s="5" t="n"/>
      <c r="H299" s="5">
        <f>SUBSTITUTE(SUBSTITUTE(SUBSTITUTE(SUBSTITUTE(A299,"(",""),")","")," ",""),CHAR(29),"")</f>
        <v/>
      </c>
    </row>
    <row r="300">
      <c r="A300" s="7" t="n"/>
      <c r="B300" s="8">
        <f>IFERROR(MID(H300,FIND("01",H300)+2,14),"")</f>
        <v/>
      </c>
      <c r="C300" s="7">
        <f>IF(A300="","",IFERROR(VLOOKUP(B300,TblArticles,2,FALSE),"GTIN inconnu"))</f>
        <v/>
      </c>
      <c r="D300" s="8">
        <f>IF(A300="","",IFERROR(VLOOKUP(B300,TblArticles,3,FALSE),""))</f>
        <v/>
      </c>
      <c r="E300" s="9">
        <f>IFERROR(DATE(2000+VALUE(MID(H300,FIND("15",H300,FIND("01",H300)+16)+2,2)),VALUE(MID(H300,FIND("15",H300,FIND("01",H300)+16)+4,2)),VALUE(MID(H300,FIND("15",H300,FIND("01",H300)+16)+6,2))),"")</f>
        <v/>
      </c>
      <c r="F300" s="8">
        <f>IFERROR(MID(H300,FIND("10",H300,FIND("15",H300,FIND("01",H300)+16)+8)+2,50),"")</f>
        <v/>
      </c>
      <c r="G300" s="8" t="n"/>
      <c r="H300" s="8">
        <f>SUBSTITUTE(SUBSTITUTE(SUBSTITUTE(SUBSTITUTE(A300,"(",""),")","")," ",""),CHAR(29),"")</f>
        <v/>
      </c>
    </row>
    <row r="301">
      <c r="A301" s="4" t="n"/>
      <c r="B301" s="5">
        <f>IFERROR(MID(H301,FIND("01",H301)+2,14),"")</f>
        <v/>
      </c>
      <c r="C301" s="4">
        <f>IF(A301="","",IFERROR(VLOOKUP(B301,TblArticles,2,FALSE),"GTIN inconnu"))</f>
        <v/>
      </c>
      <c r="D301" s="5">
        <f>IF(A301="","",IFERROR(VLOOKUP(B301,TblArticles,3,FALSE),""))</f>
        <v/>
      </c>
      <c r="E301" s="6">
        <f>IFERROR(DATE(2000+VALUE(MID(H301,FIND("15",H301,FIND("01",H301)+16)+2,2)),VALUE(MID(H301,FIND("15",H301,FIND("01",H301)+16)+4,2)),VALUE(MID(H301,FIND("15",H301,FIND("01",H301)+16)+6,2))),"")</f>
        <v/>
      </c>
      <c r="F301" s="5">
        <f>IFERROR(MID(H301,FIND("10",H301,FIND("15",H301,FIND("01",H301)+16)+8)+2,50),"")</f>
        <v/>
      </c>
      <c r="G301" s="5" t="n"/>
      <c r="H301" s="5">
        <f>SUBSTITUTE(SUBSTITUTE(SUBSTITUTE(SUBSTITUTE(A301,"(",""),")","")," ",""),CHAR(29),"")</f>
        <v/>
      </c>
    </row>
    <row r="302">
      <c r="A302" s="7" t="n"/>
      <c r="B302" s="8">
        <f>IFERROR(MID(H302,FIND("01",H302)+2,14),"")</f>
        <v/>
      </c>
      <c r="C302" s="7">
        <f>IF(A302="","",IFERROR(VLOOKUP(B302,TblArticles,2,FALSE),"GTIN inconnu"))</f>
        <v/>
      </c>
      <c r="D302" s="8">
        <f>IF(A302="","",IFERROR(VLOOKUP(B302,TblArticles,3,FALSE),""))</f>
        <v/>
      </c>
      <c r="E302" s="9">
        <f>IFERROR(DATE(2000+VALUE(MID(H302,FIND("15",H302,FIND("01",H302)+16)+2,2)),VALUE(MID(H302,FIND("15",H302,FIND("01",H302)+16)+4,2)),VALUE(MID(H302,FIND("15",H302,FIND("01",H302)+16)+6,2))),"")</f>
        <v/>
      </c>
      <c r="F302" s="8">
        <f>IFERROR(MID(H302,FIND("10",H302,FIND("15",H302,FIND("01",H302)+16)+8)+2,50),"")</f>
        <v/>
      </c>
      <c r="G302" s="8" t="n"/>
      <c r="H302" s="8">
        <f>SUBSTITUTE(SUBSTITUTE(SUBSTITUTE(SUBSTITUTE(A302,"(",""),")","")," ",""),CHAR(29),"")</f>
        <v/>
      </c>
    </row>
    <row r="303">
      <c r="A303" s="4" t="n"/>
      <c r="B303" s="5">
        <f>IFERROR(MID(H303,FIND("01",H303)+2,14),"")</f>
        <v/>
      </c>
      <c r="C303" s="4">
        <f>IF(A303="","",IFERROR(VLOOKUP(B303,TblArticles,2,FALSE),"GTIN inconnu"))</f>
        <v/>
      </c>
      <c r="D303" s="5">
        <f>IF(A303="","",IFERROR(VLOOKUP(B303,TblArticles,3,FALSE),""))</f>
        <v/>
      </c>
      <c r="E303" s="6">
        <f>IFERROR(DATE(2000+VALUE(MID(H303,FIND("15",H303,FIND("01",H303)+16)+2,2)),VALUE(MID(H303,FIND("15",H303,FIND("01",H303)+16)+4,2)),VALUE(MID(H303,FIND("15",H303,FIND("01",H303)+16)+6,2))),"")</f>
        <v/>
      </c>
      <c r="F303" s="5">
        <f>IFERROR(MID(H303,FIND("10",H303,FIND("15",H303,FIND("01",H303)+16)+8)+2,50),"")</f>
        <v/>
      </c>
      <c r="G303" s="5" t="n"/>
      <c r="H303" s="5">
        <f>SUBSTITUTE(SUBSTITUTE(SUBSTITUTE(SUBSTITUTE(A303,"(",""),")","")," ",""),CHAR(29),"")</f>
        <v/>
      </c>
    </row>
    <row r="304">
      <c r="A304" s="7" t="n"/>
      <c r="B304" s="8">
        <f>IFERROR(MID(H304,FIND("01",H304)+2,14),"")</f>
        <v/>
      </c>
      <c r="C304" s="7">
        <f>IF(A304="","",IFERROR(VLOOKUP(B304,TblArticles,2,FALSE),"GTIN inconnu"))</f>
        <v/>
      </c>
      <c r="D304" s="8">
        <f>IF(A304="","",IFERROR(VLOOKUP(B304,TblArticles,3,FALSE),""))</f>
        <v/>
      </c>
      <c r="E304" s="9">
        <f>IFERROR(DATE(2000+VALUE(MID(H304,FIND("15",H304,FIND("01",H304)+16)+2,2)),VALUE(MID(H304,FIND("15",H304,FIND("01",H304)+16)+4,2)),VALUE(MID(H304,FIND("15",H304,FIND("01",H304)+16)+6,2))),"")</f>
        <v/>
      </c>
      <c r="F304" s="8">
        <f>IFERROR(MID(H304,FIND("10",H304,FIND("15",H304,FIND("01",H304)+16)+8)+2,50),"")</f>
        <v/>
      </c>
      <c r="G304" s="8" t="n"/>
      <c r="H304" s="8">
        <f>SUBSTITUTE(SUBSTITUTE(SUBSTITUTE(SUBSTITUTE(A304,"(",""),")","")," ",""),CHAR(29),"")</f>
        <v/>
      </c>
    </row>
    <row r="305">
      <c r="A305" s="4" t="n"/>
      <c r="B305" s="5">
        <f>IFERROR(MID(H305,FIND("01",H305)+2,14),"")</f>
        <v/>
      </c>
      <c r="C305" s="4">
        <f>IF(A305="","",IFERROR(VLOOKUP(B305,TblArticles,2,FALSE),"GTIN inconnu"))</f>
        <v/>
      </c>
      <c r="D305" s="5">
        <f>IF(A305="","",IFERROR(VLOOKUP(B305,TblArticles,3,FALSE),""))</f>
        <v/>
      </c>
      <c r="E305" s="6">
        <f>IFERROR(DATE(2000+VALUE(MID(H305,FIND("15",H305,FIND("01",H305)+16)+2,2)),VALUE(MID(H305,FIND("15",H305,FIND("01",H305)+16)+4,2)),VALUE(MID(H305,FIND("15",H305,FIND("01",H305)+16)+6,2))),"")</f>
        <v/>
      </c>
      <c r="F305" s="5">
        <f>IFERROR(MID(H305,FIND("10",H305,FIND("15",H305,FIND("01",H305)+16)+8)+2,50),"")</f>
        <v/>
      </c>
      <c r="G305" s="5" t="n"/>
      <c r="H305" s="5">
        <f>SUBSTITUTE(SUBSTITUTE(SUBSTITUTE(SUBSTITUTE(A305,"(",""),")","")," ",""),CHAR(29),"")</f>
        <v/>
      </c>
    </row>
    <row r="306">
      <c r="A306" s="7" t="n"/>
      <c r="B306" s="8">
        <f>IFERROR(MID(H306,FIND("01",H306)+2,14),"")</f>
        <v/>
      </c>
      <c r="C306" s="7">
        <f>IF(A306="","",IFERROR(VLOOKUP(B306,TblArticles,2,FALSE),"GTIN inconnu"))</f>
        <v/>
      </c>
      <c r="D306" s="8">
        <f>IF(A306="","",IFERROR(VLOOKUP(B306,TblArticles,3,FALSE),""))</f>
        <v/>
      </c>
      <c r="E306" s="9">
        <f>IFERROR(DATE(2000+VALUE(MID(H306,FIND("15",H306,FIND("01",H306)+16)+2,2)),VALUE(MID(H306,FIND("15",H306,FIND("01",H306)+16)+4,2)),VALUE(MID(H306,FIND("15",H306,FIND("01",H306)+16)+6,2))),"")</f>
        <v/>
      </c>
      <c r="F306" s="8">
        <f>IFERROR(MID(H306,FIND("10",H306,FIND("15",H306,FIND("01",H306)+16)+8)+2,50),"")</f>
        <v/>
      </c>
      <c r="G306" s="8" t="n"/>
      <c r="H306" s="8">
        <f>SUBSTITUTE(SUBSTITUTE(SUBSTITUTE(SUBSTITUTE(A306,"(",""),")","")," ",""),CHAR(29),"")</f>
        <v/>
      </c>
    </row>
    <row r="307">
      <c r="A307" s="4" t="n"/>
      <c r="B307" s="5">
        <f>IFERROR(MID(H307,FIND("01",H307)+2,14),"")</f>
        <v/>
      </c>
      <c r="C307" s="4">
        <f>IF(A307="","",IFERROR(VLOOKUP(B307,TblArticles,2,FALSE),"GTIN inconnu"))</f>
        <v/>
      </c>
      <c r="D307" s="5">
        <f>IF(A307="","",IFERROR(VLOOKUP(B307,TblArticles,3,FALSE),""))</f>
        <v/>
      </c>
      <c r="E307" s="6">
        <f>IFERROR(DATE(2000+VALUE(MID(H307,FIND("15",H307,FIND("01",H307)+16)+2,2)),VALUE(MID(H307,FIND("15",H307,FIND("01",H307)+16)+4,2)),VALUE(MID(H307,FIND("15",H307,FIND("01",H307)+16)+6,2))),"")</f>
        <v/>
      </c>
      <c r="F307" s="5">
        <f>IFERROR(MID(H307,FIND("10",H307,FIND("15",H307,FIND("01",H307)+16)+8)+2,50),"")</f>
        <v/>
      </c>
      <c r="G307" s="5" t="n"/>
      <c r="H307" s="5">
        <f>SUBSTITUTE(SUBSTITUTE(SUBSTITUTE(SUBSTITUTE(A307,"(",""),")","")," ",""),CHAR(29),"")</f>
        <v/>
      </c>
    </row>
    <row r="308">
      <c r="A308" s="7" t="n"/>
      <c r="B308" s="8">
        <f>IFERROR(MID(H308,FIND("01",H308)+2,14),"")</f>
        <v/>
      </c>
      <c r="C308" s="7">
        <f>IF(A308="","",IFERROR(VLOOKUP(B308,TblArticles,2,FALSE),"GTIN inconnu"))</f>
        <v/>
      </c>
      <c r="D308" s="8">
        <f>IF(A308="","",IFERROR(VLOOKUP(B308,TblArticles,3,FALSE),""))</f>
        <v/>
      </c>
      <c r="E308" s="9">
        <f>IFERROR(DATE(2000+VALUE(MID(H308,FIND("15",H308,FIND("01",H308)+16)+2,2)),VALUE(MID(H308,FIND("15",H308,FIND("01",H308)+16)+4,2)),VALUE(MID(H308,FIND("15",H308,FIND("01",H308)+16)+6,2))),"")</f>
        <v/>
      </c>
      <c r="F308" s="8">
        <f>IFERROR(MID(H308,FIND("10",H308,FIND("15",H308,FIND("01",H308)+16)+8)+2,50),"")</f>
        <v/>
      </c>
      <c r="G308" s="8" t="n"/>
      <c r="H308" s="8">
        <f>SUBSTITUTE(SUBSTITUTE(SUBSTITUTE(SUBSTITUTE(A308,"(",""),")","")," ",""),CHAR(29),"")</f>
        <v/>
      </c>
    </row>
    <row r="309">
      <c r="A309" s="4" t="n"/>
      <c r="B309" s="5">
        <f>IFERROR(MID(H309,FIND("01",H309)+2,14),"")</f>
        <v/>
      </c>
      <c r="C309" s="4">
        <f>IF(A309="","",IFERROR(VLOOKUP(B309,TblArticles,2,FALSE),"GTIN inconnu"))</f>
        <v/>
      </c>
      <c r="D309" s="5">
        <f>IF(A309="","",IFERROR(VLOOKUP(B309,TblArticles,3,FALSE),""))</f>
        <v/>
      </c>
      <c r="E309" s="6">
        <f>IFERROR(DATE(2000+VALUE(MID(H309,FIND("15",H309,FIND("01",H309)+16)+2,2)),VALUE(MID(H309,FIND("15",H309,FIND("01",H309)+16)+4,2)),VALUE(MID(H309,FIND("15",H309,FIND("01",H309)+16)+6,2))),"")</f>
        <v/>
      </c>
      <c r="F309" s="5">
        <f>IFERROR(MID(H309,FIND("10",H309,FIND("15",H309,FIND("01",H309)+16)+8)+2,50),"")</f>
        <v/>
      </c>
      <c r="G309" s="5" t="n"/>
      <c r="H309" s="5">
        <f>SUBSTITUTE(SUBSTITUTE(SUBSTITUTE(SUBSTITUTE(A309,"(",""),")","")," ",""),CHAR(29),"")</f>
        <v/>
      </c>
    </row>
    <row r="310">
      <c r="A310" s="7" t="n"/>
      <c r="B310" s="8">
        <f>IFERROR(MID(H310,FIND("01",H310)+2,14),"")</f>
        <v/>
      </c>
      <c r="C310" s="7">
        <f>IF(A310="","",IFERROR(VLOOKUP(B310,TblArticles,2,FALSE),"GTIN inconnu"))</f>
        <v/>
      </c>
      <c r="D310" s="8">
        <f>IF(A310="","",IFERROR(VLOOKUP(B310,TblArticles,3,FALSE),""))</f>
        <v/>
      </c>
      <c r="E310" s="9">
        <f>IFERROR(DATE(2000+VALUE(MID(H310,FIND("15",H310,FIND("01",H310)+16)+2,2)),VALUE(MID(H310,FIND("15",H310,FIND("01",H310)+16)+4,2)),VALUE(MID(H310,FIND("15",H310,FIND("01",H310)+16)+6,2))),"")</f>
        <v/>
      </c>
      <c r="F310" s="8">
        <f>IFERROR(MID(H310,FIND("10",H310,FIND("15",H310,FIND("01",H310)+16)+8)+2,50),"")</f>
        <v/>
      </c>
      <c r="G310" s="8" t="n"/>
      <c r="H310" s="8">
        <f>SUBSTITUTE(SUBSTITUTE(SUBSTITUTE(SUBSTITUTE(A310,"(",""),")","")," ",""),CHAR(29),"")</f>
        <v/>
      </c>
    </row>
    <row r="311">
      <c r="A311" s="4" t="n"/>
      <c r="B311" s="5">
        <f>IFERROR(MID(H311,FIND("01",H311)+2,14),"")</f>
        <v/>
      </c>
      <c r="C311" s="4">
        <f>IF(A311="","",IFERROR(VLOOKUP(B311,TblArticles,2,FALSE),"GTIN inconnu"))</f>
        <v/>
      </c>
      <c r="D311" s="5">
        <f>IF(A311="","",IFERROR(VLOOKUP(B311,TblArticles,3,FALSE),""))</f>
        <v/>
      </c>
      <c r="E311" s="6">
        <f>IFERROR(DATE(2000+VALUE(MID(H311,FIND("15",H311,FIND("01",H311)+16)+2,2)),VALUE(MID(H311,FIND("15",H311,FIND("01",H311)+16)+4,2)),VALUE(MID(H311,FIND("15",H311,FIND("01",H311)+16)+6,2))),"")</f>
        <v/>
      </c>
      <c r="F311" s="5">
        <f>IFERROR(MID(H311,FIND("10",H311,FIND("15",H311,FIND("01",H311)+16)+8)+2,50),"")</f>
        <v/>
      </c>
      <c r="G311" s="5" t="n"/>
      <c r="H311" s="5">
        <f>SUBSTITUTE(SUBSTITUTE(SUBSTITUTE(SUBSTITUTE(A311,"(",""),")","")," ",""),CHAR(29),"")</f>
        <v/>
      </c>
    </row>
    <row r="312">
      <c r="A312" s="7" t="n"/>
      <c r="B312" s="8">
        <f>IFERROR(MID(H312,FIND("01",H312)+2,14),"")</f>
        <v/>
      </c>
      <c r="C312" s="7">
        <f>IF(A312="","",IFERROR(VLOOKUP(B312,TblArticles,2,FALSE),"GTIN inconnu"))</f>
        <v/>
      </c>
      <c r="D312" s="8">
        <f>IF(A312="","",IFERROR(VLOOKUP(B312,TblArticles,3,FALSE),""))</f>
        <v/>
      </c>
      <c r="E312" s="9">
        <f>IFERROR(DATE(2000+VALUE(MID(H312,FIND("15",H312,FIND("01",H312)+16)+2,2)),VALUE(MID(H312,FIND("15",H312,FIND("01",H312)+16)+4,2)),VALUE(MID(H312,FIND("15",H312,FIND("01",H312)+16)+6,2))),"")</f>
        <v/>
      </c>
      <c r="F312" s="8">
        <f>IFERROR(MID(H312,FIND("10",H312,FIND("15",H312,FIND("01",H312)+16)+8)+2,50),"")</f>
        <v/>
      </c>
      <c r="G312" s="8" t="n"/>
      <c r="H312" s="8">
        <f>SUBSTITUTE(SUBSTITUTE(SUBSTITUTE(SUBSTITUTE(A312,"(",""),")","")," ",""),CHAR(29),"")</f>
        <v/>
      </c>
    </row>
    <row r="313">
      <c r="A313" s="4" t="n"/>
      <c r="B313" s="5">
        <f>IFERROR(MID(H313,FIND("01",H313)+2,14),"")</f>
        <v/>
      </c>
      <c r="C313" s="4">
        <f>IF(A313="","",IFERROR(VLOOKUP(B313,TblArticles,2,FALSE),"GTIN inconnu"))</f>
        <v/>
      </c>
      <c r="D313" s="5">
        <f>IF(A313="","",IFERROR(VLOOKUP(B313,TblArticles,3,FALSE),""))</f>
        <v/>
      </c>
      <c r="E313" s="6">
        <f>IFERROR(DATE(2000+VALUE(MID(H313,FIND("15",H313,FIND("01",H313)+16)+2,2)),VALUE(MID(H313,FIND("15",H313,FIND("01",H313)+16)+4,2)),VALUE(MID(H313,FIND("15",H313,FIND("01",H313)+16)+6,2))),"")</f>
        <v/>
      </c>
      <c r="F313" s="5">
        <f>IFERROR(MID(H313,FIND("10",H313,FIND("15",H313,FIND("01",H313)+16)+8)+2,50),"")</f>
        <v/>
      </c>
      <c r="G313" s="5" t="n"/>
      <c r="H313" s="5">
        <f>SUBSTITUTE(SUBSTITUTE(SUBSTITUTE(SUBSTITUTE(A313,"(",""),")","")," ",""),CHAR(29),"")</f>
        <v/>
      </c>
    </row>
    <row r="314">
      <c r="A314" s="7" t="n"/>
      <c r="B314" s="8">
        <f>IFERROR(MID(H314,FIND("01",H314)+2,14),"")</f>
        <v/>
      </c>
      <c r="C314" s="7">
        <f>IF(A314="","",IFERROR(VLOOKUP(B314,TblArticles,2,FALSE),"GTIN inconnu"))</f>
        <v/>
      </c>
      <c r="D314" s="8">
        <f>IF(A314="","",IFERROR(VLOOKUP(B314,TblArticles,3,FALSE),""))</f>
        <v/>
      </c>
      <c r="E314" s="9">
        <f>IFERROR(DATE(2000+VALUE(MID(H314,FIND("15",H314,FIND("01",H314)+16)+2,2)),VALUE(MID(H314,FIND("15",H314,FIND("01",H314)+16)+4,2)),VALUE(MID(H314,FIND("15",H314,FIND("01",H314)+16)+6,2))),"")</f>
        <v/>
      </c>
      <c r="F314" s="8">
        <f>IFERROR(MID(H314,FIND("10",H314,FIND("15",H314,FIND("01",H314)+16)+8)+2,50),"")</f>
        <v/>
      </c>
      <c r="G314" s="8" t="n"/>
      <c r="H314" s="8">
        <f>SUBSTITUTE(SUBSTITUTE(SUBSTITUTE(SUBSTITUTE(A314,"(",""),")","")," ",""),CHAR(29),"")</f>
        <v/>
      </c>
    </row>
    <row r="315">
      <c r="A315" s="4" t="n"/>
      <c r="B315" s="5">
        <f>IFERROR(MID(H315,FIND("01",H315)+2,14),"")</f>
        <v/>
      </c>
      <c r="C315" s="4">
        <f>IF(A315="","",IFERROR(VLOOKUP(B315,TblArticles,2,FALSE),"GTIN inconnu"))</f>
        <v/>
      </c>
      <c r="D315" s="5">
        <f>IF(A315="","",IFERROR(VLOOKUP(B315,TblArticles,3,FALSE),""))</f>
        <v/>
      </c>
      <c r="E315" s="6">
        <f>IFERROR(DATE(2000+VALUE(MID(H315,FIND("15",H315,FIND("01",H315)+16)+2,2)),VALUE(MID(H315,FIND("15",H315,FIND("01",H315)+16)+4,2)),VALUE(MID(H315,FIND("15",H315,FIND("01",H315)+16)+6,2))),"")</f>
        <v/>
      </c>
      <c r="F315" s="5">
        <f>IFERROR(MID(H315,FIND("10",H315,FIND("15",H315,FIND("01",H315)+16)+8)+2,50),"")</f>
        <v/>
      </c>
      <c r="G315" s="5" t="n"/>
      <c r="H315" s="5">
        <f>SUBSTITUTE(SUBSTITUTE(SUBSTITUTE(SUBSTITUTE(A315,"(",""),")","")," ",""),CHAR(29),"")</f>
        <v/>
      </c>
    </row>
    <row r="316">
      <c r="A316" s="7" t="n"/>
      <c r="B316" s="8">
        <f>IFERROR(MID(H316,FIND("01",H316)+2,14),"")</f>
        <v/>
      </c>
      <c r="C316" s="7">
        <f>IF(A316="","",IFERROR(VLOOKUP(B316,TblArticles,2,FALSE),"GTIN inconnu"))</f>
        <v/>
      </c>
      <c r="D316" s="8">
        <f>IF(A316="","",IFERROR(VLOOKUP(B316,TblArticles,3,FALSE),""))</f>
        <v/>
      </c>
      <c r="E316" s="9">
        <f>IFERROR(DATE(2000+VALUE(MID(H316,FIND("15",H316,FIND("01",H316)+16)+2,2)),VALUE(MID(H316,FIND("15",H316,FIND("01",H316)+16)+4,2)),VALUE(MID(H316,FIND("15",H316,FIND("01",H316)+16)+6,2))),"")</f>
        <v/>
      </c>
      <c r="F316" s="8">
        <f>IFERROR(MID(H316,FIND("10",H316,FIND("15",H316,FIND("01",H316)+16)+8)+2,50),"")</f>
        <v/>
      </c>
      <c r="G316" s="8" t="n"/>
      <c r="H316" s="8">
        <f>SUBSTITUTE(SUBSTITUTE(SUBSTITUTE(SUBSTITUTE(A316,"(",""),")","")," ",""),CHAR(29),"")</f>
        <v/>
      </c>
    </row>
    <row r="317">
      <c r="A317" s="4" t="n"/>
      <c r="B317" s="5">
        <f>IFERROR(MID(H317,FIND("01",H317)+2,14),"")</f>
        <v/>
      </c>
      <c r="C317" s="4">
        <f>IF(A317="","",IFERROR(VLOOKUP(B317,TblArticles,2,FALSE),"GTIN inconnu"))</f>
        <v/>
      </c>
      <c r="D317" s="5">
        <f>IF(A317="","",IFERROR(VLOOKUP(B317,TblArticles,3,FALSE),""))</f>
        <v/>
      </c>
      <c r="E317" s="6">
        <f>IFERROR(DATE(2000+VALUE(MID(H317,FIND("15",H317,FIND("01",H317)+16)+2,2)),VALUE(MID(H317,FIND("15",H317,FIND("01",H317)+16)+4,2)),VALUE(MID(H317,FIND("15",H317,FIND("01",H317)+16)+6,2))),"")</f>
        <v/>
      </c>
      <c r="F317" s="5">
        <f>IFERROR(MID(H317,FIND("10",H317,FIND("15",H317,FIND("01",H317)+16)+8)+2,50),"")</f>
        <v/>
      </c>
      <c r="G317" s="5" t="n"/>
      <c r="H317" s="5">
        <f>SUBSTITUTE(SUBSTITUTE(SUBSTITUTE(SUBSTITUTE(A317,"(",""),")","")," ",""),CHAR(29),"")</f>
        <v/>
      </c>
    </row>
    <row r="318">
      <c r="A318" s="7" t="n"/>
      <c r="B318" s="8">
        <f>IFERROR(MID(H318,FIND("01",H318)+2,14),"")</f>
        <v/>
      </c>
      <c r="C318" s="7">
        <f>IF(A318="","",IFERROR(VLOOKUP(B318,TblArticles,2,FALSE),"GTIN inconnu"))</f>
        <v/>
      </c>
      <c r="D318" s="8">
        <f>IF(A318="","",IFERROR(VLOOKUP(B318,TblArticles,3,FALSE),""))</f>
        <v/>
      </c>
      <c r="E318" s="9">
        <f>IFERROR(DATE(2000+VALUE(MID(H318,FIND("15",H318,FIND("01",H318)+16)+2,2)),VALUE(MID(H318,FIND("15",H318,FIND("01",H318)+16)+4,2)),VALUE(MID(H318,FIND("15",H318,FIND("01",H318)+16)+6,2))),"")</f>
        <v/>
      </c>
      <c r="F318" s="8">
        <f>IFERROR(MID(H318,FIND("10",H318,FIND("15",H318,FIND("01",H318)+16)+8)+2,50),"")</f>
        <v/>
      </c>
      <c r="G318" s="8" t="n"/>
      <c r="H318" s="8">
        <f>SUBSTITUTE(SUBSTITUTE(SUBSTITUTE(SUBSTITUTE(A318,"(",""),")","")," ",""),CHAR(29),"")</f>
        <v/>
      </c>
    </row>
    <row r="319">
      <c r="A319" s="4" t="n"/>
      <c r="B319" s="5">
        <f>IFERROR(MID(H319,FIND("01",H319)+2,14),"")</f>
        <v/>
      </c>
      <c r="C319" s="4">
        <f>IF(A319="","",IFERROR(VLOOKUP(B319,TblArticles,2,FALSE),"GTIN inconnu"))</f>
        <v/>
      </c>
      <c r="D319" s="5">
        <f>IF(A319="","",IFERROR(VLOOKUP(B319,TblArticles,3,FALSE),""))</f>
        <v/>
      </c>
      <c r="E319" s="6">
        <f>IFERROR(DATE(2000+VALUE(MID(H319,FIND("15",H319,FIND("01",H319)+16)+2,2)),VALUE(MID(H319,FIND("15",H319,FIND("01",H319)+16)+4,2)),VALUE(MID(H319,FIND("15",H319,FIND("01",H319)+16)+6,2))),"")</f>
        <v/>
      </c>
      <c r="F319" s="5">
        <f>IFERROR(MID(H319,FIND("10",H319,FIND("15",H319,FIND("01",H319)+16)+8)+2,50),"")</f>
        <v/>
      </c>
      <c r="G319" s="5" t="n"/>
      <c r="H319" s="5">
        <f>SUBSTITUTE(SUBSTITUTE(SUBSTITUTE(SUBSTITUTE(A319,"(",""),")","")," ",""),CHAR(29),"")</f>
        <v/>
      </c>
    </row>
    <row r="320">
      <c r="A320" s="7" t="n"/>
      <c r="B320" s="8">
        <f>IFERROR(MID(H320,FIND("01",H320)+2,14),"")</f>
        <v/>
      </c>
      <c r="C320" s="7">
        <f>IF(A320="","",IFERROR(VLOOKUP(B320,TblArticles,2,FALSE),"GTIN inconnu"))</f>
        <v/>
      </c>
      <c r="D320" s="8">
        <f>IF(A320="","",IFERROR(VLOOKUP(B320,TblArticles,3,FALSE),""))</f>
        <v/>
      </c>
      <c r="E320" s="9">
        <f>IFERROR(DATE(2000+VALUE(MID(H320,FIND("15",H320,FIND("01",H320)+16)+2,2)),VALUE(MID(H320,FIND("15",H320,FIND("01",H320)+16)+4,2)),VALUE(MID(H320,FIND("15",H320,FIND("01",H320)+16)+6,2))),"")</f>
        <v/>
      </c>
      <c r="F320" s="8">
        <f>IFERROR(MID(H320,FIND("10",H320,FIND("15",H320,FIND("01",H320)+16)+8)+2,50),"")</f>
        <v/>
      </c>
      <c r="G320" s="8" t="n"/>
      <c r="H320" s="8">
        <f>SUBSTITUTE(SUBSTITUTE(SUBSTITUTE(SUBSTITUTE(A320,"(",""),")","")," ",""),CHAR(29),"")</f>
        <v/>
      </c>
    </row>
    <row r="321">
      <c r="A321" s="4" t="n"/>
      <c r="B321" s="5">
        <f>IFERROR(MID(H321,FIND("01",H321)+2,14),"")</f>
        <v/>
      </c>
      <c r="C321" s="4">
        <f>IF(A321="","",IFERROR(VLOOKUP(B321,TblArticles,2,FALSE),"GTIN inconnu"))</f>
        <v/>
      </c>
      <c r="D321" s="5">
        <f>IF(A321="","",IFERROR(VLOOKUP(B321,TblArticles,3,FALSE),""))</f>
        <v/>
      </c>
      <c r="E321" s="6">
        <f>IFERROR(DATE(2000+VALUE(MID(H321,FIND("15",H321,FIND("01",H321)+16)+2,2)),VALUE(MID(H321,FIND("15",H321,FIND("01",H321)+16)+4,2)),VALUE(MID(H321,FIND("15",H321,FIND("01",H321)+16)+6,2))),"")</f>
        <v/>
      </c>
      <c r="F321" s="5">
        <f>IFERROR(MID(H321,FIND("10",H321,FIND("15",H321,FIND("01",H321)+16)+8)+2,50),"")</f>
        <v/>
      </c>
      <c r="G321" s="5" t="n"/>
      <c r="H321" s="5">
        <f>SUBSTITUTE(SUBSTITUTE(SUBSTITUTE(SUBSTITUTE(A321,"(",""),")","")," ",""),CHAR(29),"")</f>
        <v/>
      </c>
    </row>
    <row r="322">
      <c r="A322" s="7" t="n"/>
      <c r="B322" s="8">
        <f>IFERROR(MID(H322,FIND("01",H322)+2,14),"")</f>
        <v/>
      </c>
      <c r="C322" s="7">
        <f>IF(A322="","",IFERROR(VLOOKUP(B322,TblArticles,2,FALSE),"GTIN inconnu"))</f>
        <v/>
      </c>
      <c r="D322" s="8">
        <f>IF(A322="","",IFERROR(VLOOKUP(B322,TblArticles,3,FALSE),""))</f>
        <v/>
      </c>
      <c r="E322" s="9">
        <f>IFERROR(DATE(2000+VALUE(MID(H322,FIND("15",H322,FIND("01",H322)+16)+2,2)),VALUE(MID(H322,FIND("15",H322,FIND("01",H322)+16)+4,2)),VALUE(MID(H322,FIND("15",H322,FIND("01",H322)+16)+6,2))),"")</f>
        <v/>
      </c>
      <c r="F322" s="8">
        <f>IFERROR(MID(H322,FIND("10",H322,FIND("15",H322,FIND("01",H322)+16)+8)+2,50),"")</f>
        <v/>
      </c>
      <c r="G322" s="8" t="n"/>
      <c r="H322" s="8">
        <f>SUBSTITUTE(SUBSTITUTE(SUBSTITUTE(SUBSTITUTE(A322,"(",""),")","")," ",""),CHAR(29),"")</f>
        <v/>
      </c>
    </row>
    <row r="323">
      <c r="A323" s="4" t="n"/>
      <c r="B323" s="5">
        <f>IFERROR(MID(H323,FIND("01",H323)+2,14),"")</f>
        <v/>
      </c>
      <c r="C323" s="4">
        <f>IF(A323="","",IFERROR(VLOOKUP(B323,TblArticles,2,FALSE),"GTIN inconnu"))</f>
        <v/>
      </c>
      <c r="D323" s="5">
        <f>IF(A323="","",IFERROR(VLOOKUP(B323,TblArticles,3,FALSE),""))</f>
        <v/>
      </c>
      <c r="E323" s="6">
        <f>IFERROR(DATE(2000+VALUE(MID(H323,FIND("15",H323,FIND("01",H323)+16)+2,2)),VALUE(MID(H323,FIND("15",H323,FIND("01",H323)+16)+4,2)),VALUE(MID(H323,FIND("15",H323,FIND("01",H323)+16)+6,2))),"")</f>
        <v/>
      </c>
      <c r="F323" s="5">
        <f>IFERROR(MID(H323,FIND("10",H323,FIND("15",H323,FIND("01",H323)+16)+8)+2,50),"")</f>
        <v/>
      </c>
      <c r="G323" s="5" t="n"/>
      <c r="H323" s="5">
        <f>SUBSTITUTE(SUBSTITUTE(SUBSTITUTE(SUBSTITUTE(A323,"(",""),")","")," ",""),CHAR(29),"")</f>
        <v/>
      </c>
    </row>
    <row r="324">
      <c r="A324" s="7" t="n"/>
      <c r="B324" s="8">
        <f>IFERROR(MID(H324,FIND("01",H324)+2,14),"")</f>
        <v/>
      </c>
      <c r="C324" s="7">
        <f>IF(A324="","",IFERROR(VLOOKUP(B324,TblArticles,2,FALSE),"GTIN inconnu"))</f>
        <v/>
      </c>
      <c r="D324" s="8">
        <f>IF(A324="","",IFERROR(VLOOKUP(B324,TblArticles,3,FALSE),""))</f>
        <v/>
      </c>
      <c r="E324" s="9">
        <f>IFERROR(DATE(2000+VALUE(MID(H324,FIND("15",H324,FIND("01",H324)+16)+2,2)),VALUE(MID(H324,FIND("15",H324,FIND("01",H324)+16)+4,2)),VALUE(MID(H324,FIND("15",H324,FIND("01",H324)+16)+6,2))),"")</f>
        <v/>
      </c>
      <c r="F324" s="8">
        <f>IFERROR(MID(H324,FIND("10",H324,FIND("15",H324,FIND("01",H324)+16)+8)+2,50),"")</f>
        <v/>
      </c>
      <c r="G324" s="8" t="n"/>
      <c r="H324" s="8">
        <f>SUBSTITUTE(SUBSTITUTE(SUBSTITUTE(SUBSTITUTE(A324,"(",""),")","")," ",""),CHAR(29),"")</f>
        <v/>
      </c>
    </row>
    <row r="325">
      <c r="A325" s="4" t="n"/>
      <c r="B325" s="5">
        <f>IFERROR(MID(H325,FIND("01",H325)+2,14),"")</f>
        <v/>
      </c>
      <c r="C325" s="4">
        <f>IF(A325="","",IFERROR(VLOOKUP(B325,TblArticles,2,FALSE),"GTIN inconnu"))</f>
        <v/>
      </c>
      <c r="D325" s="5">
        <f>IF(A325="","",IFERROR(VLOOKUP(B325,TblArticles,3,FALSE),""))</f>
        <v/>
      </c>
      <c r="E325" s="6">
        <f>IFERROR(DATE(2000+VALUE(MID(H325,FIND("15",H325,FIND("01",H325)+16)+2,2)),VALUE(MID(H325,FIND("15",H325,FIND("01",H325)+16)+4,2)),VALUE(MID(H325,FIND("15",H325,FIND("01",H325)+16)+6,2))),"")</f>
        <v/>
      </c>
      <c r="F325" s="5">
        <f>IFERROR(MID(H325,FIND("10",H325,FIND("15",H325,FIND("01",H325)+16)+8)+2,50),"")</f>
        <v/>
      </c>
      <c r="G325" s="5" t="n"/>
      <c r="H325" s="5">
        <f>SUBSTITUTE(SUBSTITUTE(SUBSTITUTE(SUBSTITUTE(A325,"(",""),")","")," ",""),CHAR(29),"")</f>
        <v/>
      </c>
    </row>
    <row r="326">
      <c r="A326" s="7" t="n"/>
      <c r="B326" s="8">
        <f>IFERROR(MID(H326,FIND("01",H326)+2,14),"")</f>
        <v/>
      </c>
      <c r="C326" s="7">
        <f>IF(A326="","",IFERROR(VLOOKUP(B326,TblArticles,2,FALSE),"GTIN inconnu"))</f>
        <v/>
      </c>
      <c r="D326" s="8">
        <f>IF(A326="","",IFERROR(VLOOKUP(B326,TblArticles,3,FALSE),""))</f>
        <v/>
      </c>
      <c r="E326" s="9">
        <f>IFERROR(DATE(2000+VALUE(MID(H326,FIND("15",H326,FIND("01",H326)+16)+2,2)),VALUE(MID(H326,FIND("15",H326,FIND("01",H326)+16)+4,2)),VALUE(MID(H326,FIND("15",H326,FIND("01",H326)+16)+6,2))),"")</f>
        <v/>
      </c>
      <c r="F326" s="8">
        <f>IFERROR(MID(H326,FIND("10",H326,FIND("15",H326,FIND("01",H326)+16)+8)+2,50),"")</f>
        <v/>
      </c>
      <c r="G326" s="8" t="n"/>
      <c r="H326" s="8">
        <f>SUBSTITUTE(SUBSTITUTE(SUBSTITUTE(SUBSTITUTE(A326,"(",""),")","")," ",""),CHAR(29),"")</f>
        <v/>
      </c>
    </row>
    <row r="327">
      <c r="A327" s="4" t="n"/>
      <c r="B327" s="5">
        <f>IFERROR(MID(H327,FIND("01",H327)+2,14),"")</f>
        <v/>
      </c>
      <c r="C327" s="4">
        <f>IF(A327="","",IFERROR(VLOOKUP(B327,TblArticles,2,FALSE),"GTIN inconnu"))</f>
        <v/>
      </c>
      <c r="D327" s="5">
        <f>IF(A327="","",IFERROR(VLOOKUP(B327,TblArticles,3,FALSE),""))</f>
        <v/>
      </c>
      <c r="E327" s="6">
        <f>IFERROR(DATE(2000+VALUE(MID(H327,FIND("15",H327,FIND("01",H327)+16)+2,2)),VALUE(MID(H327,FIND("15",H327,FIND("01",H327)+16)+4,2)),VALUE(MID(H327,FIND("15",H327,FIND("01",H327)+16)+6,2))),"")</f>
        <v/>
      </c>
      <c r="F327" s="5">
        <f>IFERROR(MID(H327,FIND("10",H327,FIND("15",H327,FIND("01",H327)+16)+8)+2,50),"")</f>
        <v/>
      </c>
      <c r="G327" s="5" t="n"/>
      <c r="H327" s="5">
        <f>SUBSTITUTE(SUBSTITUTE(SUBSTITUTE(SUBSTITUTE(A327,"(",""),")","")," ",""),CHAR(29),"")</f>
        <v/>
      </c>
    </row>
    <row r="328">
      <c r="A328" s="7" t="n"/>
      <c r="B328" s="8">
        <f>IFERROR(MID(H328,FIND("01",H328)+2,14),"")</f>
        <v/>
      </c>
      <c r="C328" s="7">
        <f>IF(A328="","",IFERROR(VLOOKUP(B328,TblArticles,2,FALSE),"GTIN inconnu"))</f>
        <v/>
      </c>
      <c r="D328" s="8">
        <f>IF(A328="","",IFERROR(VLOOKUP(B328,TblArticles,3,FALSE),""))</f>
        <v/>
      </c>
      <c r="E328" s="9">
        <f>IFERROR(DATE(2000+VALUE(MID(H328,FIND("15",H328,FIND("01",H328)+16)+2,2)),VALUE(MID(H328,FIND("15",H328,FIND("01",H328)+16)+4,2)),VALUE(MID(H328,FIND("15",H328,FIND("01",H328)+16)+6,2))),"")</f>
        <v/>
      </c>
      <c r="F328" s="8">
        <f>IFERROR(MID(H328,FIND("10",H328,FIND("15",H328,FIND("01",H328)+16)+8)+2,50),"")</f>
        <v/>
      </c>
      <c r="G328" s="8" t="n"/>
      <c r="H328" s="8">
        <f>SUBSTITUTE(SUBSTITUTE(SUBSTITUTE(SUBSTITUTE(A328,"(",""),")","")," ",""),CHAR(29),"")</f>
        <v/>
      </c>
    </row>
    <row r="329">
      <c r="A329" s="4" t="n"/>
      <c r="B329" s="5">
        <f>IFERROR(MID(H329,FIND("01",H329)+2,14),"")</f>
        <v/>
      </c>
      <c r="C329" s="4">
        <f>IF(A329="","",IFERROR(VLOOKUP(B329,TblArticles,2,FALSE),"GTIN inconnu"))</f>
        <v/>
      </c>
      <c r="D329" s="5">
        <f>IF(A329="","",IFERROR(VLOOKUP(B329,TblArticles,3,FALSE),""))</f>
        <v/>
      </c>
      <c r="E329" s="6">
        <f>IFERROR(DATE(2000+VALUE(MID(H329,FIND("15",H329,FIND("01",H329)+16)+2,2)),VALUE(MID(H329,FIND("15",H329,FIND("01",H329)+16)+4,2)),VALUE(MID(H329,FIND("15",H329,FIND("01",H329)+16)+6,2))),"")</f>
        <v/>
      </c>
      <c r="F329" s="5">
        <f>IFERROR(MID(H329,FIND("10",H329,FIND("15",H329,FIND("01",H329)+16)+8)+2,50),"")</f>
        <v/>
      </c>
      <c r="G329" s="5" t="n"/>
      <c r="H329" s="5">
        <f>SUBSTITUTE(SUBSTITUTE(SUBSTITUTE(SUBSTITUTE(A329,"(",""),")","")," ",""),CHAR(29),"")</f>
        <v/>
      </c>
    </row>
    <row r="330">
      <c r="A330" s="7" t="n"/>
      <c r="B330" s="8">
        <f>IFERROR(MID(H330,FIND("01",H330)+2,14),"")</f>
        <v/>
      </c>
      <c r="C330" s="7">
        <f>IF(A330="","",IFERROR(VLOOKUP(B330,TblArticles,2,FALSE),"GTIN inconnu"))</f>
        <v/>
      </c>
      <c r="D330" s="8">
        <f>IF(A330="","",IFERROR(VLOOKUP(B330,TblArticles,3,FALSE),""))</f>
        <v/>
      </c>
      <c r="E330" s="9">
        <f>IFERROR(DATE(2000+VALUE(MID(H330,FIND("15",H330,FIND("01",H330)+16)+2,2)),VALUE(MID(H330,FIND("15",H330,FIND("01",H330)+16)+4,2)),VALUE(MID(H330,FIND("15",H330,FIND("01",H330)+16)+6,2))),"")</f>
        <v/>
      </c>
      <c r="F330" s="8">
        <f>IFERROR(MID(H330,FIND("10",H330,FIND("15",H330,FIND("01",H330)+16)+8)+2,50),"")</f>
        <v/>
      </c>
      <c r="G330" s="8" t="n"/>
      <c r="H330" s="8">
        <f>SUBSTITUTE(SUBSTITUTE(SUBSTITUTE(SUBSTITUTE(A330,"(",""),")","")," ",""),CHAR(29),"")</f>
        <v/>
      </c>
    </row>
    <row r="331">
      <c r="A331" s="4" t="n"/>
      <c r="B331" s="5">
        <f>IFERROR(MID(H331,FIND("01",H331)+2,14),"")</f>
        <v/>
      </c>
      <c r="C331" s="4">
        <f>IF(A331="","",IFERROR(VLOOKUP(B331,TblArticles,2,FALSE),"GTIN inconnu"))</f>
        <v/>
      </c>
      <c r="D331" s="5">
        <f>IF(A331="","",IFERROR(VLOOKUP(B331,TblArticles,3,FALSE),""))</f>
        <v/>
      </c>
      <c r="E331" s="6">
        <f>IFERROR(DATE(2000+VALUE(MID(H331,FIND("15",H331,FIND("01",H331)+16)+2,2)),VALUE(MID(H331,FIND("15",H331,FIND("01",H331)+16)+4,2)),VALUE(MID(H331,FIND("15",H331,FIND("01",H331)+16)+6,2))),"")</f>
        <v/>
      </c>
      <c r="F331" s="5">
        <f>IFERROR(MID(H331,FIND("10",H331,FIND("15",H331,FIND("01",H331)+16)+8)+2,50),"")</f>
        <v/>
      </c>
      <c r="G331" s="5" t="n"/>
      <c r="H331" s="5">
        <f>SUBSTITUTE(SUBSTITUTE(SUBSTITUTE(SUBSTITUTE(A331,"(",""),")","")," ",""),CHAR(29),"")</f>
        <v/>
      </c>
    </row>
    <row r="332">
      <c r="A332" s="7" t="n"/>
      <c r="B332" s="8">
        <f>IFERROR(MID(H332,FIND("01",H332)+2,14),"")</f>
        <v/>
      </c>
      <c r="C332" s="7">
        <f>IF(A332="","",IFERROR(VLOOKUP(B332,TblArticles,2,FALSE),"GTIN inconnu"))</f>
        <v/>
      </c>
      <c r="D332" s="8">
        <f>IF(A332="","",IFERROR(VLOOKUP(B332,TblArticles,3,FALSE),""))</f>
        <v/>
      </c>
      <c r="E332" s="9">
        <f>IFERROR(DATE(2000+VALUE(MID(H332,FIND("15",H332,FIND("01",H332)+16)+2,2)),VALUE(MID(H332,FIND("15",H332,FIND("01",H332)+16)+4,2)),VALUE(MID(H332,FIND("15",H332,FIND("01",H332)+16)+6,2))),"")</f>
        <v/>
      </c>
      <c r="F332" s="8">
        <f>IFERROR(MID(H332,FIND("10",H332,FIND("15",H332,FIND("01",H332)+16)+8)+2,50),"")</f>
        <v/>
      </c>
      <c r="G332" s="8" t="n"/>
      <c r="H332" s="8">
        <f>SUBSTITUTE(SUBSTITUTE(SUBSTITUTE(SUBSTITUTE(A332,"(",""),")","")," ",""),CHAR(29),"")</f>
        <v/>
      </c>
    </row>
    <row r="333">
      <c r="A333" s="4" t="n"/>
      <c r="B333" s="5">
        <f>IFERROR(MID(H333,FIND("01",H333)+2,14),"")</f>
        <v/>
      </c>
      <c r="C333" s="4">
        <f>IF(A333="","",IFERROR(VLOOKUP(B333,TblArticles,2,FALSE),"GTIN inconnu"))</f>
        <v/>
      </c>
      <c r="D333" s="5">
        <f>IF(A333="","",IFERROR(VLOOKUP(B333,TblArticles,3,FALSE),""))</f>
        <v/>
      </c>
      <c r="E333" s="6">
        <f>IFERROR(DATE(2000+VALUE(MID(H333,FIND("15",H333,FIND("01",H333)+16)+2,2)),VALUE(MID(H333,FIND("15",H333,FIND("01",H333)+16)+4,2)),VALUE(MID(H333,FIND("15",H333,FIND("01",H333)+16)+6,2))),"")</f>
        <v/>
      </c>
      <c r="F333" s="5">
        <f>IFERROR(MID(H333,FIND("10",H333,FIND("15",H333,FIND("01",H333)+16)+8)+2,50),"")</f>
        <v/>
      </c>
      <c r="G333" s="5" t="n"/>
      <c r="H333" s="5">
        <f>SUBSTITUTE(SUBSTITUTE(SUBSTITUTE(SUBSTITUTE(A333,"(",""),")","")," ",""),CHAR(29),"")</f>
        <v/>
      </c>
    </row>
    <row r="334">
      <c r="A334" s="7" t="n"/>
      <c r="B334" s="8">
        <f>IFERROR(MID(H334,FIND("01",H334)+2,14),"")</f>
        <v/>
      </c>
      <c r="C334" s="7">
        <f>IF(A334="","",IFERROR(VLOOKUP(B334,TblArticles,2,FALSE),"GTIN inconnu"))</f>
        <v/>
      </c>
      <c r="D334" s="8">
        <f>IF(A334="","",IFERROR(VLOOKUP(B334,TblArticles,3,FALSE),""))</f>
        <v/>
      </c>
      <c r="E334" s="9">
        <f>IFERROR(DATE(2000+VALUE(MID(H334,FIND("15",H334,FIND("01",H334)+16)+2,2)),VALUE(MID(H334,FIND("15",H334,FIND("01",H334)+16)+4,2)),VALUE(MID(H334,FIND("15",H334,FIND("01",H334)+16)+6,2))),"")</f>
        <v/>
      </c>
      <c r="F334" s="8">
        <f>IFERROR(MID(H334,FIND("10",H334,FIND("15",H334,FIND("01",H334)+16)+8)+2,50),"")</f>
        <v/>
      </c>
      <c r="G334" s="8" t="n"/>
      <c r="H334" s="8">
        <f>SUBSTITUTE(SUBSTITUTE(SUBSTITUTE(SUBSTITUTE(A334,"(",""),")","")," ",""),CHAR(29),"")</f>
        <v/>
      </c>
    </row>
    <row r="335">
      <c r="A335" s="4" t="n"/>
      <c r="B335" s="5">
        <f>IFERROR(MID(H335,FIND("01",H335)+2,14),"")</f>
        <v/>
      </c>
      <c r="C335" s="4">
        <f>IF(A335="","",IFERROR(VLOOKUP(B335,TblArticles,2,FALSE),"GTIN inconnu"))</f>
        <v/>
      </c>
      <c r="D335" s="5">
        <f>IF(A335="","",IFERROR(VLOOKUP(B335,TblArticles,3,FALSE),""))</f>
        <v/>
      </c>
      <c r="E335" s="6">
        <f>IFERROR(DATE(2000+VALUE(MID(H335,FIND("15",H335,FIND("01",H335)+16)+2,2)),VALUE(MID(H335,FIND("15",H335,FIND("01",H335)+16)+4,2)),VALUE(MID(H335,FIND("15",H335,FIND("01",H335)+16)+6,2))),"")</f>
        <v/>
      </c>
      <c r="F335" s="5">
        <f>IFERROR(MID(H335,FIND("10",H335,FIND("15",H335,FIND("01",H335)+16)+8)+2,50),"")</f>
        <v/>
      </c>
      <c r="G335" s="5" t="n"/>
      <c r="H335" s="5">
        <f>SUBSTITUTE(SUBSTITUTE(SUBSTITUTE(SUBSTITUTE(A335,"(",""),")","")," ",""),CHAR(29),"")</f>
        <v/>
      </c>
    </row>
    <row r="336">
      <c r="A336" s="7" t="n"/>
      <c r="B336" s="8">
        <f>IFERROR(MID(H336,FIND("01",H336)+2,14),"")</f>
        <v/>
      </c>
      <c r="C336" s="7">
        <f>IF(A336="","",IFERROR(VLOOKUP(B336,TblArticles,2,FALSE),"GTIN inconnu"))</f>
        <v/>
      </c>
      <c r="D336" s="8">
        <f>IF(A336="","",IFERROR(VLOOKUP(B336,TblArticles,3,FALSE),""))</f>
        <v/>
      </c>
      <c r="E336" s="9">
        <f>IFERROR(DATE(2000+VALUE(MID(H336,FIND("15",H336,FIND("01",H336)+16)+2,2)),VALUE(MID(H336,FIND("15",H336,FIND("01",H336)+16)+4,2)),VALUE(MID(H336,FIND("15",H336,FIND("01",H336)+16)+6,2))),"")</f>
        <v/>
      </c>
      <c r="F336" s="8">
        <f>IFERROR(MID(H336,FIND("10",H336,FIND("15",H336,FIND("01",H336)+16)+8)+2,50),"")</f>
        <v/>
      </c>
      <c r="G336" s="8" t="n"/>
      <c r="H336" s="8">
        <f>SUBSTITUTE(SUBSTITUTE(SUBSTITUTE(SUBSTITUTE(A336,"(",""),")","")," ",""),CHAR(29),"")</f>
        <v/>
      </c>
    </row>
    <row r="337">
      <c r="A337" s="4" t="n"/>
      <c r="B337" s="5">
        <f>IFERROR(MID(H337,FIND("01",H337)+2,14),"")</f>
        <v/>
      </c>
      <c r="C337" s="4">
        <f>IF(A337="","",IFERROR(VLOOKUP(B337,TblArticles,2,FALSE),"GTIN inconnu"))</f>
        <v/>
      </c>
      <c r="D337" s="5">
        <f>IF(A337="","",IFERROR(VLOOKUP(B337,TblArticles,3,FALSE),""))</f>
        <v/>
      </c>
      <c r="E337" s="6">
        <f>IFERROR(DATE(2000+VALUE(MID(H337,FIND("15",H337,FIND("01",H337)+16)+2,2)),VALUE(MID(H337,FIND("15",H337,FIND("01",H337)+16)+4,2)),VALUE(MID(H337,FIND("15",H337,FIND("01",H337)+16)+6,2))),"")</f>
        <v/>
      </c>
      <c r="F337" s="5">
        <f>IFERROR(MID(H337,FIND("10",H337,FIND("15",H337,FIND("01",H337)+16)+8)+2,50),"")</f>
        <v/>
      </c>
      <c r="G337" s="5" t="n"/>
      <c r="H337" s="5">
        <f>SUBSTITUTE(SUBSTITUTE(SUBSTITUTE(SUBSTITUTE(A337,"(",""),")","")," ",""),CHAR(29),"")</f>
        <v/>
      </c>
    </row>
    <row r="338">
      <c r="A338" s="7" t="n"/>
      <c r="B338" s="8">
        <f>IFERROR(MID(H338,FIND("01",H338)+2,14),"")</f>
        <v/>
      </c>
      <c r="C338" s="7">
        <f>IF(A338="","",IFERROR(VLOOKUP(B338,TblArticles,2,FALSE),"GTIN inconnu"))</f>
        <v/>
      </c>
      <c r="D338" s="8">
        <f>IF(A338="","",IFERROR(VLOOKUP(B338,TblArticles,3,FALSE),""))</f>
        <v/>
      </c>
      <c r="E338" s="9">
        <f>IFERROR(DATE(2000+VALUE(MID(H338,FIND("15",H338,FIND("01",H338)+16)+2,2)),VALUE(MID(H338,FIND("15",H338,FIND("01",H338)+16)+4,2)),VALUE(MID(H338,FIND("15",H338,FIND("01",H338)+16)+6,2))),"")</f>
        <v/>
      </c>
      <c r="F338" s="8">
        <f>IFERROR(MID(H338,FIND("10",H338,FIND("15",H338,FIND("01",H338)+16)+8)+2,50),"")</f>
        <v/>
      </c>
      <c r="G338" s="8" t="n"/>
      <c r="H338" s="8">
        <f>SUBSTITUTE(SUBSTITUTE(SUBSTITUTE(SUBSTITUTE(A338,"(",""),")","")," ",""),CHAR(29),"")</f>
        <v/>
      </c>
    </row>
    <row r="339">
      <c r="A339" s="4" t="n"/>
      <c r="B339" s="5">
        <f>IFERROR(MID(H339,FIND("01",H339)+2,14),"")</f>
        <v/>
      </c>
      <c r="C339" s="4">
        <f>IF(A339="","",IFERROR(VLOOKUP(B339,TblArticles,2,FALSE),"GTIN inconnu"))</f>
        <v/>
      </c>
      <c r="D339" s="5">
        <f>IF(A339="","",IFERROR(VLOOKUP(B339,TblArticles,3,FALSE),""))</f>
        <v/>
      </c>
      <c r="E339" s="6">
        <f>IFERROR(DATE(2000+VALUE(MID(H339,FIND("15",H339,FIND("01",H339)+16)+2,2)),VALUE(MID(H339,FIND("15",H339,FIND("01",H339)+16)+4,2)),VALUE(MID(H339,FIND("15",H339,FIND("01",H339)+16)+6,2))),"")</f>
        <v/>
      </c>
      <c r="F339" s="5">
        <f>IFERROR(MID(H339,FIND("10",H339,FIND("15",H339,FIND("01",H339)+16)+8)+2,50),"")</f>
        <v/>
      </c>
      <c r="G339" s="5" t="n"/>
      <c r="H339" s="5">
        <f>SUBSTITUTE(SUBSTITUTE(SUBSTITUTE(SUBSTITUTE(A339,"(",""),")","")," ",""),CHAR(29),"")</f>
        <v/>
      </c>
    </row>
    <row r="340">
      <c r="A340" s="7" t="n"/>
      <c r="B340" s="8">
        <f>IFERROR(MID(H340,FIND("01",H340)+2,14),"")</f>
        <v/>
      </c>
      <c r="C340" s="7">
        <f>IF(A340="","",IFERROR(VLOOKUP(B340,TblArticles,2,FALSE),"GTIN inconnu"))</f>
        <v/>
      </c>
      <c r="D340" s="8">
        <f>IF(A340="","",IFERROR(VLOOKUP(B340,TblArticles,3,FALSE),""))</f>
        <v/>
      </c>
      <c r="E340" s="9">
        <f>IFERROR(DATE(2000+VALUE(MID(H340,FIND("15",H340,FIND("01",H340)+16)+2,2)),VALUE(MID(H340,FIND("15",H340,FIND("01",H340)+16)+4,2)),VALUE(MID(H340,FIND("15",H340,FIND("01",H340)+16)+6,2))),"")</f>
        <v/>
      </c>
      <c r="F340" s="8">
        <f>IFERROR(MID(H340,FIND("10",H340,FIND("15",H340,FIND("01",H340)+16)+8)+2,50),"")</f>
        <v/>
      </c>
      <c r="G340" s="8" t="n"/>
      <c r="H340" s="8">
        <f>SUBSTITUTE(SUBSTITUTE(SUBSTITUTE(SUBSTITUTE(A340,"(",""),")","")," ",""),CHAR(29),"")</f>
        <v/>
      </c>
    </row>
    <row r="341">
      <c r="A341" s="4" t="n"/>
      <c r="B341" s="5">
        <f>IFERROR(MID(H341,FIND("01",H341)+2,14),"")</f>
        <v/>
      </c>
      <c r="C341" s="4">
        <f>IF(A341="","",IFERROR(VLOOKUP(B341,TblArticles,2,FALSE),"GTIN inconnu"))</f>
        <v/>
      </c>
      <c r="D341" s="5">
        <f>IF(A341="","",IFERROR(VLOOKUP(B341,TblArticles,3,FALSE),""))</f>
        <v/>
      </c>
      <c r="E341" s="6">
        <f>IFERROR(DATE(2000+VALUE(MID(H341,FIND("15",H341,FIND("01",H341)+16)+2,2)),VALUE(MID(H341,FIND("15",H341,FIND("01",H341)+16)+4,2)),VALUE(MID(H341,FIND("15",H341,FIND("01",H341)+16)+6,2))),"")</f>
        <v/>
      </c>
      <c r="F341" s="5">
        <f>IFERROR(MID(H341,FIND("10",H341,FIND("15",H341,FIND("01",H341)+16)+8)+2,50),"")</f>
        <v/>
      </c>
      <c r="G341" s="5" t="n"/>
      <c r="H341" s="5">
        <f>SUBSTITUTE(SUBSTITUTE(SUBSTITUTE(SUBSTITUTE(A341,"(",""),")","")," ",""),CHAR(29),"")</f>
        <v/>
      </c>
    </row>
    <row r="342">
      <c r="A342" s="7" t="n"/>
      <c r="B342" s="8">
        <f>IFERROR(MID(H342,FIND("01",H342)+2,14),"")</f>
        <v/>
      </c>
      <c r="C342" s="7">
        <f>IF(A342="","",IFERROR(VLOOKUP(B342,TblArticles,2,FALSE),"GTIN inconnu"))</f>
        <v/>
      </c>
      <c r="D342" s="8">
        <f>IF(A342="","",IFERROR(VLOOKUP(B342,TblArticles,3,FALSE),""))</f>
        <v/>
      </c>
      <c r="E342" s="9">
        <f>IFERROR(DATE(2000+VALUE(MID(H342,FIND("15",H342,FIND("01",H342)+16)+2,2)),VALUE(MID(H342,FIND("15",H342,FIND("01",H342)+16)+4,2)),VALUE(MID(H342,FIND("15",H342,FIND("01",H342)+16)+6,2))),"")</f>
        <v/>
      </c>
      <c r="F342" s="8">
        <f>IFERROR(MID(H342,FIND("10",H342,FIND("15",H342,FIND("01",H342)+16)+8)+2,50),"")</f>
        <v/>
      </c>
      <c r="G342" s="8" t="n"/>
      <c r="H342" s="8">
        <f>SUBSTITUTE(SUBSTITUTE(SUBSTITUTE(SUBSTITUTE(A342,"(",""),")","")," ",""),CHAR(29),"")</f>
        <v/>
      </c>
    </row>
    <row r="343">
      <c r="A343" s="4" t="n"/>
      <c r="B343" s="5">
        <f>IFERROR(MID(H343,FIND("01",H343)+2,14),"")</f>
        <v/>
      </c>
      <c r="C343" s="4">
        <f>IF(A343="","",IFERROR(VLOOKUP(B343,TblArticles,2,FALSE),"GTIN inconnu"))</f>
        <v/>
      </c>
      <c r="D343" s="5">
        <f>IF(A343="","",IFERROR(VLOOKUP(B343,TblArticles,3,FALSE),""))</f>
        <v/>
      </c>
      <c r="E343" s="6">
        <f>IFERROR(DATE(2000+VALUE(MID(H343,FIND("15",H343,FIND("01",H343)+16)+2,2)),VALUE(MID(H343,FIND("15",H343,FIND("01",H343)+16)+4,2)),VALUE(MID(H343,FIND("15",H343,FIND("01",H343)+16)+6,2))),"")</f>
        <v/>
      </c>
      <c r="F343" s="5">
        <f>IFERROR(MID(H343,FIND("10",H343,FIND("15",H343,FIND("01",H343)+16)+8)+2,50),"")</f>
        <v/>
      </c>
      <c r="G343" s="5" t="n"/>
      <c r="H343" s="5">
        <f>SUBSTITUTE(SUBSTITUTE(SUBSTITUTE(SUBSTITUTE(A343,"(",""),")","")," ",""),CHAR(29),"")</f>
        <v/>
      </c>
    </row>
    <row r="344">
      <c r="A344" s="7" t="n"/>
      <c r="B344" s="8">
        <f>IFERROR(MID(H344,FIND("01",H344)+2,14),"")</f>
        <v/>
      </c>
      <c r="C344" s="7">
        <f>IF(A344="","",IFERROR(VLOOKUP(B344,TblArticles,2,FALSE),"GTIN inconnu"))</f>
        <v/>
      </c>
      <c r="D344" s="8">
        <f>IF(A344="","",IFERROR(VLOOKUP(B344,TblArticles,3,FALSE),""))</f>
        <v/>
      </c>
      <c r="E344" s="9">
        <f>IFERROR(DATE(2000+VALUE(MID(H344,FIND("15",H344,FIND("01",H344)+16)+2,2)),VALUE(MID(H344,FIND("15",H344,FIND("01",H344)+16)+4,2)),VALUE(MID(H344,FIND("15",H344,FIND("01",H344)+16)+6,2))),"")</f>
        <v/>
      </c>
      <c r="F344" s="8">
        <f>IFERROR(MID(H344,FIND("10",H344,FIND("15",H344,FIND("01",H344)+16)+8)+2,50),"")</f>
        <v/>
      </c>
      <c r="G344" s="8" t="n"/>
      <c r="H344" s="8">
        <f>SUBSTITUTE(SUBSTITUTE(SUBSTITUTE(SUBSTITUTE(A344,"(",""),")","")," ",""),CHAR(29),"")</f>
        <v/>
      </c>
    </row>
    <row r="345">
      <c r="A345" s="4" t="n"/>
      <c r="B345" s="5">
        <f>IFERROR(MID(H345,FIND("01",H345)+2,14),"")</f>
        <v/>
      </c>
      <c r="C345" s="4">
        <f>IF(A345="","",IFERROR(VLOOKUP(B345,TblArticles,2,FALSE),"GTIN inconnu"))</f>
        <v/>
      </c>
      <c r="D345" s="5">
        <f>IF(A345="","",IFERROR(VLOOKUP(B345,TblArticles,3,FALSE),""))</f>
        <v/>
      </c>
      <c r="E345" s="6">
        <f>IFERROR(DATE(2000+VALUE(MID(H345,FIND("15",H345,FIND("01",H345)+16)+2,2)),VALUE(MID(H345,FIND("15",H345,FIND("01",H345)+16)+4,2)),VALUE(MID(H345,FIND("15",H345,FIND("01",H345)+16)+6,2))),"")</f>
        <v/>
      </c>
      <c r="F345" s="5">
        <f>IFERROR(MID(H345,FIND("10",H345,FIND("15",H345,FIND("01",H345)+16)+8)+2,50),"")</f>
        <v/>
      </c>
      <c r="G345" s="5" t="n"/>
      <c r="H345" s="5">
        <f>SUBSTITUTE(SUBSTITUTE(SUBSTITUTE(SUBSTITUTE(A345,"(",""),")","")," ",""),CHAR(29),"")</f>
        <v/>
      </c>
    </row>
    <row r="346">
      <c r="A346" s="7" t="n"/>
      <c r="B346" s="8">
        <f>IFERROR(MID(H346,FIND("01",H346)+2,14),"")</f>
        <v/>
      </c>
      <c r="C346" s="7">
        <f>IF(A346="","",IFERROR(VLOOKUP(B346,TblArticles,2,FALSE),"GTIN inconnu"))</f>
        <v/>
      </c>
      <c r="D346" s="8">
        <f>IF(A346="","",IFERROR(VLOOKUP(B346,TblArticles,3,FALSE),""))</f>
        <v/>
      </c>
      <c r="E346" s="9">
        <f>IFERROR(DATE(2000+VALUE(MID(H346,FIND("15",H346,FIND("01",H346)+16)+2,2)),VALUE(MID(H346,FIND("15",H346,FIND("01",H346)+16)+4,2)),VALUE(MID(H346,FIND("15",H346,FIND("01",H346)+16)+6,2))),"")</f>
        <v/>
      </c>
      <c r="F346" s="8">
        <f>IFERROR(MID(H346,FIND("10",H346,FIND("15",H346,FIND("01",H346)+16)+8)+2,50),"")</f>
        <v/>
      </c>
      <c r="G346" s="8" t="n"/>
      <c r="H346" s="8">
        <f>SUBSTITUTE(SUBSTITUTE(SUBSTITUTE(SUBSTITUTE(A346,"(",""),")","")," ",""),CHAR(29),"")</f>
        <v/>
      </c>
    </row>
    <row r="347">
      <c r="A347" s="4" t="n"/>
      <c r="B347" s="5">
        <f>IFERROR(MID(H347,FIND("01",H347)+2,14),"")</f>
        <v/>
      </c>
      <c r="C347" s="4">
        <f>IF(A347="","",IFERROR(VLOOKUP(B347,TblArticles,2,FALSE),"GTIN inconnu"))</f>
        <v/>
      </c>
      <c r="D347" s="5">
        <f>IF(A347="","",IFERROR(VLOOKUP(B347,TblArticles,3,FALSE),""))</f>
        <v/>
      </c>
      <c r="E347" s="6">
        <f>IFERROR(DATE(2000+VALUE(MID(H347,FIND("15",H347,FIND("01",H347)+16)+2,2)),VALUE(MID(H347,FIND("15",H347,FIND("01",H347)+16)+4,2)),VALUE(MID(H347,FIND("15",H347,FIND("01",H347)+16)+6,2))),"")</f>
        <v/>
      </c>
      <c r="F347" s="5">
        <f>IFERROR(MID(H347,FIND("10",H347,FIND("15",H347,FIND("01",H347)+16)+8)+2,50),"")</f>
        <v/>
      </c>
      <c r="G347" s="5" t="n"/>
      <c r="H347" s="5">
        <f>SUBSTITUTE(SUBSTITUTE(SUBSTITUTE(SUBSTITUTE(A347,"(",""),")","")," ",""),CHAR(29),"")</f>
        <v/>
      </c>
    </row>
    <row r="348">
      <c r="A348" s="7" t="n"/>
      <c r="B348" s="8">
        <f>IFERROR(MID(H348,FIND("01",H348)+2,14),"")</f>
        <v/>
      </c>
      <c r="C348" s="7">
        <f>IF(A348="","",IFERROR(VLOOKUP(B348,TblArticles,2,FALSE),"GTIN inconnu"))</f>
        <v/>
      </c>
      <c r="D348" s="8">
        <f>IF(A348="","",IFERROR(VLOOKUP(B348,TblArticles,3,FALSE),""))</f>
        <v/>
      </c>
      <c r="E348" s="9">
        <f>IFERROR(DATE(2000+VALUE(MID(H348,FIND("15",H348,FIND("01",H348)+16)+2,2)),VALUE(MID(H348,FIND("15",H348,FIND("01",H348)+16)+4,2)),VALUE(MID(H348,FIND("15",H348,FIND("01",H348)+16)+6,2))),"")</f>
        <v/>
      </c>
      <c r="F348" s="8">
        <f>IFERROR(MID(H348,FIND("10",H348,FIND("15",H348,FIND("01",H348)+16)+8)+2,50),"")</f>
        <v/>
      </c>
      <c r="G348" s="8" t="n"/>
      <c r="H348" s="8">
        <f>SUBSTITUTE(SUBSTITUTE(SUBSTITUTE(SUBSTITUTE(A348,"(",""),")","")," ",""),CHAR(29),"")</f>
        <v/>
      </c>
    </row>
    <row r="349">
      <c r="A349" s="4" t="n"/>
      <c r="B349" s="5">
        <f>IFERROR(MID(H349,FIND("01",H349)+2,14),"")</f>
        <v/>
      </c>
      <c r="C349" s="4">
        <f>IF(A349="","",IFERROR(VLOOKUP(B349,TblArticles,2,FALSE),"GTIN inconnu"))</f>
        <v/>
      </c>
      <c r="D349" s="5">
        <f>IF(A349="","",IFERROR(VLOOKUP(B349,TblArticles,3,FALSE),""))</f>
        <v/>
      </c>
      <c r="E349" s="6">
        <f>IFERROR(DATE(2000+VALUE(MID(H349,FIND("15",H349,FIND("01",H349)+16)+2,2)),VALUE(MID(H349,FIND("15",H349,FIND("01",H349)+16)+4,2)),VALUE(MID(H349,FIND("15",H349,FIND("01",H349)+16)+6,2))),"")</f>
        <v/>
      </c>
      <c r="F349" s="5">
        <f>IFERROR(MID(H349,FIND("10",H349,FIND("15",H349,FIND("01",H349)+16)+8)+2,50),"")</f>
        <v/>
      </c>
      <c r="G349" s="5" t="n"/>
      <c r="H349" s="5">
        <f>SUBSTITUTE(SUBSTITUTE(SUBSTITUTE(SUBSTITUTE(A349,"(",""),")","")," ",""),CHAR(29),"")</f>
        <v/>
      </c>
    </row>
    <row r="350">
      <c r="A350" s="7" t="n"/>
      <c r="B350" s="8">
        <f>IFERROR(MID(H350,FIND("01",H350)+2,14),"")</f>
        <v/>
      </c>
      <c r="C350" s="7">
        <f>IF(A350="","",IFERROR(VLOOKUP(B350,TblArticles,2,FALSE),"GTIN inconnu"))</f>
        <v/>
      </c>
      <c r="D350" s="8">
        <f>IF(A350="","",IFERROR(VLOOKUP(B350,TblArticles,3,FALSE),""))</f>
        <v/>
      </c>
      <c r="E350" s="9">
        <f>IFERROR(DATE(2000+VALUE(MID(H350,FIND("15",H350,FIND("01",H350)+16)+2,2)),VALUE(MID(H350,FIND("15",H350,FIND("01",H350)+16)+4,2)),VALUE(MID(H350,FIND("15",H350,FIND("01",H350)+16)+6,2))),"")</f>
        <v/>
      </c>
      <c r="F350" s="8">
        <f>IFERROR(MID(H350,FIND("10",H350,FIND("15",H350,FIND("01",H350)+16)+8)+2,50),"")</f>
        <v/>
      </c>
      <c r="G350" s="8" t="n"/>
      <c r="H350" s="8">
        <f>SUBSTITUTE(SUBSTITUTE(SUBSTITUTE(SUBSTITUTE(A350,"(",""),")","")," ",""),CHAR(29),"")</f>
        <v/>
      </c>
    </row>
    <row r="351">
      <c r="A351" s="4" t="n"/>
      <c r="B351" s="5">
        <f>IFERROR(MID(H351,FIND("01",H351)+2,14),"")</f>
        <v/>
      </c>
      <c r="C351" s="4">
        <f>IF(A351="","",IFERROR(VLOOKUP(B351,TblArticles,2,FALSE),"GTIN inconnu"))</f>
        <v/>
      </c>
      <c r="D351" s="5">
        <f>IF(A351="","",IFERROR(VLOOKUP(B351,TblArticles,3,FALSE),""))</f>
        <v/>
      </c>
      <c r="E351" s="6">
        <f>IFERROR(DATE(2000+VALUE(MID(H351,FIND("15",H351,FIND("01",H351)+16)+2,2)),VALUE(MID(H351,FIND("15",H351,FIND("01",H351)+16)+4,2)),VALUE(MID(H351,FIND("15",H351,FIND("01",H351)+16)+6,2))),"")</f>
        <v/>
      </c>
      <c r="F351" s="5">
        <f>IFERROR(MID(H351,FIND("10",H351,FIND("15",H351,FIND("01",H351)+16)+8)+2,50),"")</f>
        <v/>
      </c>
      <c r="G351" s="5" t="n"/>
      <c r="H351" s="5">
        <f>SUBSTITUTE(SUBSTITUTE(SUBSTITUTE(SUBSTITUTE(A351,"(",""),")","")," ",""),CHAR(29),"")</f>
        <v/>
      </c>
    </row>
    <row r="352">
      <c r="A352" s="7" t="n"/>
      <c r="B352" s="8">
        <f>IFERROR(MID(H352,FIND("01",H352)+2,14),"")</f>
        <v/>
      </c>
      <c r="C352" s="7">
        <f>IF(A352="","",IFERROR(VLOOKUP(B352,TblArticles,2,FALSE),"GTIN inconnu"))</f>
        <v/>
      </c>
      <c r="D352" s="8">
        <f>IF(A352="","",IFERROR(VLOOKUP(B352,TblArticles,3,FALSE),""))</f>
        <v/>
      </c>
      <c r="E352" s="9">
        <f>IFERROR(DATE(2000+VALUE(MID(H352,FIND("15",H352,FIND("01",H352)+16)+2,2)),VALUE(MID(H352,FIND("15",H352,FIND("01",H352)+16)+4,2)),VALUE(MID(H352,FIND("15",H352,FIND("01",H352)+16)+6,2))),"")</f>
        <v/>
      </c>
      <c r="F352" s="8">
        <f>IFERROR(MID(H352,FIND("10",H352,FIND("15",H352,FIND("01",H352)+16)+8)+2,50),"")</f>
        <v/>
      </c>
      <c r="G352" s="8" t="n"/>
      <c r="H352" s="8">
        <f>SUBSTITUTE(SUBSTITUTE(SUBSTITUTE(SUBSTITUTE(A352,"(",""),")","")," ",""),CHAR(29),"")</f>
        <v/>
      </c>
    </row>
    <row r="353">
      <c r="A353" s="4" t="n"/>
      <c r="B353" s="5">
        <f>IFERROR(MID(H353,FIND("01",H353)+2,14),"")</f>
        <v/>
      </c>
      <c r="C353" s="4">
        <f>IF(A353="","",IFERROR(VLOOKUP(B353,TblArticles,2,FALSE),"GTIN inconnu"))</f>
        <v/>
      </c>
      <c r="D353" s="5">
        <f>IF(A353="","",IFERROR(VLOOKUP(B353,TblArticles,3,FALSE),""))</f>
        <v/>
      </c>
      <c r="E353" s="6">
        <f>IFERROR(DATE(2000+VALUE(MID(H353,FIND("15",H353,FIND("01",H353)+16)+2,2)),VALUE(MID(H353,FIND("15",H353,FIND("01",H353)+16)+4,2)),VALUE(MID(H353,FIND("15",H353,FIND("01",H353)+16)+6,2))),"")</f>
        <v/>
      </c>
      <c r="F353" s="5">
        <f>IFERROR(MID(H353,FIND("10",H353,FIND("15",H353,FIND("01",H353)+16)+8)+2,50),"")</f>
        <v/>
      </c>
      <c r="G353" s="5" t="n"/>
      <c r="H353" s="5">
        <f>SUBSTITUTE(SUBSTITUTE(SUBSTITUTE(SUBSTITUTE(A353,"(",""),")","")," ",""),CHAR(29),"")</f>
        <v/>
      </c>
    </row>
    <row r="354">
      <c r="A354" s="7" t="n"/>
      <c r="B354" s="8">
        <f>IFERROR(MID(H354,FIND("01",H354)+2,14),"")</f>
        <v/>
      </c>
      <c r="C354" s="7">
        <f>IF(A354="","",IFERROR(VLOOKUP(B354,TblArticles,2,FALSE),"GTIN inconnu"))</f>
        <v/>
      </c>
      <c r="D354" s="8">
        <f>IF(A354="","",IFERROR(VLOOKUP(B354,TblArticles,3,FALSE),""))</f>
        <v/>
      </c>
      <c r="E354" s="9">
        <f>IFERROR(DATE(2000+VALUE(MID(H354,FIND("15",H354,FIND("01",H354)+16)+2,2)),VALUE(MID(H354,FIND("15",H354,FIND("01",H354)+16)+4,2)),VALUE(MID(H354,FIND("15",H354,FIND("01",H354)+16)+6,2))),"")</f>
        <v/>
      </c>
      <c r="F354" s="8">
        <f>IFERROR(MID(H354,FIND("10",H354,FIND("15",H354,FIND("01",H354)+16)+8)+2,50),"")</f>
        <v/>
      </c>
      <c r="G354" s="8" t="n"/>
      <c r="H354" s="8">
        <f>SUBSTITUTE(SUBSTITUTE(SUBSTITUTE(SUBSTITUTE(A354,"(",""),")","")," ",""),CHAR(29),"")</f>
        <v/>
      </c>
    </row>
    <row r="355">
      <c r="A355" s="4" t="n"/>
      <c r="B355" s="5">
        <f>IFERROR(MID(H355,FIND("01",H355)+2,14),"")</f>
        <v/>
      </c>
      <c r="C355" s="4">
        <f>IF(A355="","",IFERROR(VLOOKUP(B355,TblArticles,2,FALSE),"GTIN inconnu"))</f>
        <v/>
      </c>
      <c r="D355" s="5">
        <f>IF(A355="","",IFERROR(VLOOKUP(B355,TblArticles,3,FALSE),""))</f>
        <v/>
      </c>
      <c r="E355" s="6">
        <f>IFERROR(DATE(2000+VALUE(MID(H355,FIND("15",H355,FIND("01",H355)+16)+2,2)),VALUE(MID(H355,FIND("15",H355,FIND("01",H355)+16)+4,2)),VALUE(MID(H355,FIND("15",H355,FIND("01",H355)+16)+6,2))),"")</f>
        <v/>
      </c>
      <c r="F355" s="5">
        <f>IFERROR(MID(H355,FIND("10",H355,FIND("15",H355,FIND("01",H355)+16)+8)+2,50),"")</f>
        <v/>
      </c>
      <c r="G355" s="5" t="n"/>
      <c r="H355" s="5">
        <f>SUBSTITUTE(SUBSTITUTE(SUBSTITUTE(SUBSTITUTE(A355,"(",""),")","")," ",""),CHAR(29),"")</f>
        <v/>
      </c>
    </row>
    <row r="356">
      <c r="A356" s="7" t="n"/>
      <c r="B356" s="8">
        <f>IFERROR(MID(H356,FIND("01",H356)+2,14),"")</f>
        <v/>
      </c>
      <c r="C356" s="7">
        <f>IF(A356="","",IFERROR(VLOOKUP(B356,TblArticles,2,FALSE),"GTIN inconnu"))</f>
        <v/>
      </c>
      <c r="D356" s="8">
        <f>IF(A356="","",IFERROR(VLOOKUP(B356,TblArticles,3,FALSE),""))</f>
        <v/>
      </c>
      <c r="E356" s="9">
        <f>IFERROR(DATE(2000+VALUE(MID(H356,FIND("15",H356,FIND("01",H356)+16)+2,2)),VALUE(MID(H356,FIND("15",H356,FIND("01",H356)+16)+4,2)),VALUE(MID(H356,FIND("15",H356,FIND("01",H356)+16)+6,2))),"")</f>
        <v/>
      </c>
      <c r="F356" s="8">
        <f>IFERROR(MID(H356,FIND("10",H356,FIND("15",H356,FIND("01",H356)+16)+8)+2,50),"")</f>
        <v/>
      </c>
      <c r="G356" s="8" t="n"/>
      <c r="H356" s="8">
        <f>SUBSTITUTE(SUBSTITUTE(SUBSTITUTE(SUBSTITUTE(A356,"(",""),")","")," ",""),CHAR(29),"")</f>
        <v/>
      </c>
    </row>
    <row r="357">
      <c r="A357" s="4" t="n"/>
      <c r="B357" s="5">
        <f>IFERROR(MID(H357,FIND("01",H357)+2,14),"")</f>
        <v/>
      </c>
      <c r="C357" s="4">
        <f>IF(A357="","",IFERROR(VLOOKUP(B357,TblArticles,2,FALSE),"GTIN inconnu"))</f>
        <v/>
      </c>
      <c r="D357" s="5">
        <f>IF(A357="","",IFERROR(VLOOKUP(B357,TblArticles,3,FALSE),""))</f>
        <v/>
      </c>
      <c r="E357" s="6">
        <f>IFERROR(DATE(2000+VALUE(MID(H357,FIND("15",H357,FIND("01",H357)+16)+2,2)),VALUE(MID(H357,FIND("15",H357,FIND("01",H357)+16)+4,2)),VALUE(MID(H357,FIND("15",H357,FIND("01",H357)+16)+6,2))),"")</f>
        <v/>
      </c>
      <c r="F357" s="5">
        <f>IFERROR(MID(H357,FIND("10",H357,FIND("15",H357,FIND("01",H357)+16)+8)+2,50),"")</f>
        <v/>
      </c>
      <c r="G357" s="5" t="n"/>
      <c r="H357" s="5">
        <f>SUBSTITUTE(SUBSTITUTE(SUBSTITUTE(SUBSTITUTE(A357,"(",""),")","")," ",""),CHAR(29),"")</f>
        <v/>
      </c>
    </row>
    <row r="358">
      <c r="A358" s="7" t="n"/>
      <c r="B358" s="8">
        <f>IFERROR(MID(H358,FIND("01",H358)+2,14),"")</f>
        <v/>
      </c>
      <c r="C358" s="7">
        <f>IF(A358="","",IFERROR(VLOOKUP(B358,TblArticles,2,FALSE),"GTIN inconnu"))</f>
        <v/>
      </c>
      <c r="D358" s="8">
        <f>IF(A358="","",IFERROR(VLOOKUP(B358,TblArticles,3,FALSE),""))</f>
        <v/>
      </c>
      <c r="E358" s="9">
        <f>IFERROR(DATE(2000+VALUE(MID(H358,FIND("15",H358,FIND("01",H358)+16)+2,2)),VALUE(MID(H358,FIND("15",H358,FIND("01",H358)+16)+4,2)),VALUE(MID(H358,FIND("15",H358,FIND("01",H358)+16)+6,2))),"")</f>
        <v/>
      </c>
      <c r="F358" s="8">
        <f>IFERROR(MID(H358,FIND("10",H358,FIND("15",H358,FIND("01",H358)+16)+8)+2,50),"")</f>
        <v/>
      </c>
      <c r="G358" s="8" t="n"/>
      <c r="H358" s="8">
        <f>SUBSTITUTE(SUBSTITUTE(SUBSTITUTE(SUBSTITUTE(A358,"(",""),")","")," ",""),CHAR(29),"")</f>
        <v/>
      </c>
    </row>
    <row r="359">
      <c r="A359" s="4" t="n"/>
      <c r="B359" s="5">
        <f>IFERROR(MID(H359,FIND("01",H359)+2,14),"")</f>
        <v/>
      </c>
      <c r="C359" s="4">
        <f>IF(A359="","",IFERROR(VLOOKUP(B359,TblArticles,2,FALSE),"GTIN inconnu"))</f>
        <v/>
      </c>
      <c r="D359" s="5">
        <f>IF(A359="","",IFERROR(VLOOKUP(B359,TblArticles,3,FALSE),""))</f>
        <v/>
      </c>
      <c r="E359" s="6">
        <f>IFERROR(DATE(2000+VALUE(MID(H359,FIND("15",H359,FIND("01",H359)+16)+2,2)),VALUE(MID(H359,FIND("15",H359,FIND("01",H359)+16)+4,2)),VALUE(MID(H359,FIND("15",H359,FIND("01",H359)+16)+6,2))),"")</f>
        <v/>
      </c>
      <c r="F359" s="5">
        <f>IFERROR(MID(H359,FIND("10",H359,FIND("15",H359,FIND("01",H359)+16)+8)+2,50),"")</f>
        <v/>
      </c>
      <c r="G359" s="5" t="n"/>
      <c r="H359" s="5">
        <f>SUBSTITUTE(SUBSTITUTE(SUBSTITUTE(SUBSTITUTE(A359,"(",""),")","")," ",""),CHAR(29),"")</f>
        <v/>
      </c>
    </row>
    <row r="360">
      <c r="A360" s="7" t="n"/>
      <c r="B360" s="8">
        <f>IFERROR(MID(H360,FIND("01",H360)+2,14),"")</f>
        <v/>
      </c>
      <c r="C360" s="7">
        <f>IF(A360="","",IFERROR(VLOOKUP(B360,TblArticles,2,FALSE),"GTIN inconnu"))</f>
        <v/>
      </c>
      <c r="D360" s="8">
        <f>IF(A360="","",IFERROR(VLOOKUP(B360,TblArticles,3,FALSE),""))</f>
        <v/>
      </c>
      <c r="E360" s="9">
        <f>IFERROR(DATE(2000+VALUE(MID(H360,FIND("15",H360,FIND("01",H360)+16)+2,2)),VALUE(MID(H360,FIND("15",H360,FIND("01",H360)+16)+4,2)),VALUE(MID(H360,FIND("15",H360,FIND("01",H360)+16)+6,2))),"")</f>
        <v/>
      </c>
      <c r="F360" s="8">
        <f>IFERROR(MID(H360,FIND("10",H360,FIND("15",H360,FIND("01",H360)+16)+8)+2,50),"")</f>
        <v/>
      </c>
      <c r="G360" s="8" t="n"/>
      <c r="H360" s="8">
        <f>SUBSTITUTE(SUBSTITUTE(SUBSTITUTE(SUBSTITUTE(A360,"(",""),")","")," ",""),CHAR(29),"")</f>
        <v/>
      </c>
    </row>
    <row r="361">
      <c r="A361" s="4" t="n"/>
      <c r="B361" s="5">
        <f>IFERROR(MID(H361,FIND("01",H361)+2,14),"")</f>
        <v/>
      </c>
      <c r="C361" s="4">
        <f>IF(A361="","",IFERROR(VLOOKUP(B361,TblArticles,2,FALSE),"GTIN inconnu"))</f>
        <v/>
      </c>
      <c r="D361" s="5">
        <f>IF(A361="","",IFERROR(VLOOKUP(B361,TblArticles,3,FALSE),""))</f>
        <v/>
      </c>
      <c r="E361" s="6">
        <f>IFERROR(DATE(2000+VALUE(MID(H361,FIND("15",H361,FIND("01",H361)+16)+2,2)),VALUE(MID(H361,FIND("15",H361,FIND("01",H361)+16)+4,2)),VALUE(MID(H361,FIND("15",H361,FIND("01",H361)+16)+6,2))),"")</f>
        <v/>
      </c>
      <c r="F361" s="5">
        <f>IFERROR(MID(H361,FIND("10",H361,FIND("15",H361,FIND("01",H361)+16)+8)+2,50),"")</f>
        <v/>
      </c>
      <c r="G361" s="5" t="n"/>
      <c r="H361" s="5">
        <f>SUBSTITUTE(SUBSTITUTE(SUBSTITUTE(SUBSTITUTE(A361,"(",""),")","")," ",""),CHAR(29),"")</f>
        <v/>
      </c>
    </row>
    <row r="362">
      <c r="A362" s="7" t="n"/>
      <c r="B362" s="8">
        <f>IFERROR(MID(H362,FIND("01",H362)+2,14),"")</f>
        <v/>
      </c>
      <c r="C362" s="7">
        <f>IF(A362="","",IFERROR(VLOOKUP(B362,TblArticles,2,FALSE),"GTIN inconnu"))</f>
        <v/>
      </c>
      <c r="D362" s="8">
        <f>IF(A362="","",IFERROR(VLOOKUP(B362,TblArticles,3,FALSE),""))</f>
        <v/>
      </c>
      <c r="E362" s="9">
        <f>IFERROR(DATE(2000+VALUE(MID(H362,FIND("15",H362,FIND("01",H362)+16)+2,2)),VALUE(MID(H362,FIND("15",H362,FIND("01",H362)+16)+4,2)),VALUE(MID(H362,FIND("15",H362,FIND("01",H362)+16)+6,2))),"")</f>
        <v/>
      </c>
      <c r="F362" s="8">
        <f>IFERROR(MID(H362,FIND("10",H362,FIND("15",H362,FIND("01",H362)+16)+8)+2,50),"")</f>
        <v/>
      </c>
      <c r="G362" s="8" t="n"/>
      <c r="H362" s="8">
        <f>SUBSTITUTE(SUBSTITUTE(SUBSTITUTE(SUBSTITUTE(A362,"(",""),")","")," ",""),CHAR(29),"")</f>
        <v/>
      </c>
    </row>
    <row r="363">
      <c r="A363" s="4" t="n"/>
      <c r="B363" s="5">
        <f>IFERROR(MID(H363,FIND("01",H363)+2,14),"")</f>
        <v/>
      </c>
      <c r="C363" s="4">
        <f>IF(A363="","",IFERROR(VLOOKUP(B363,TblArticles,2,FALSE),"GTIN inconnu"))</f>
        <v/>
      </c>
      <c r="D363" s="5">
        <f>IF(A363="","",IFERROR(VLOOKUP(B363,TblArticles,3,FALSE),""))</f>
        <v/>
      </c>
      <c r="E363" s="6">
        <f>IFERROR(DATE(2000+VALUE(MID(H363,FIND("15",H363,FIND("01",H363)+16)+2,2)),VALUE(MID(H363,FIND("15",H363,FIND("01",H363)+16)+4,2)),VALUE(MID(H363,FIND("15",H363,FIND("01",H363)+16)+6,2))),"")</f>
        <v/>
      </c>
      <c r="F363" s="5">
        <f>IFERROR(MID(H363,FIND("10",H363,FIND("15",H363,FIND("01",H363)+16)+8)+2,50),"")</f>
        <v/>
      </c>
      <c r="G363" s="5" t="n"/>
      <c r="H363" s="5">
        <f>SUBSTITUTE(SUBSTITUTE(SUBSTITUTE(SUBSTITUTE(A363,"(",""),")","")," ",""),CHAR(29),"")</f>
        <v/>
      </c>
    </row>
    <row r="364">
      <c r="A364" s="7" t="n"/>
      <c r="B364" s="8">
        <f>IFERROR(MID(H364,FIND("01",H364)+2,14),"")</f>
        <v/>
      </c>
      <c r="C364" s="7">
        <f>IF(A364="","",IFERROR(VLOOKUP(B364,TblArticles,2,FALSE),"GTIN inconnu"))</f>
        <v/>
      </c>
      <c r="D364" s="8">
        <f>IF(A364="","",IFERROR(VLOOKUP(B364,TblArticles,3,FALSE),""))</f>
        <v/>
      </c>
      <c r="E364" s="9">
        <f>IFERROR(DATE(2000+VALUE(MID(H364,FIND("15",H364,FIND("01",H364)+16)+2,2)),VALUE(MID(H364,FIND("15",H364,FIND("01",H364)+16)+4,2)),VALUE(MID(H364,FIND("15",H364,FIND("01",H364)+16)+6,2))),"")</f>
        <v/>
      </c>
      <c r="F364" s="8">
        <f>IFERROR(MID(H364,FIND("10",H364,FIND("15",H364,FIND("01",H364)+16)+8)+2,50),"")</f>
        <v/>
      </c>
      <c r="G364" s="8" t="n"/>
      <c r="H364" s="8">
        <f>SUBSTITUTE(SUBSTITUTE(SUBSTITUTE(SUBSTITUTE(A364,"(",""),")","")," ",""),CHAR(29),"")</f>
        <v/>
      </c>
    </row>
    <row r="365">
      <c r="A365" s="4" t="n"/>
      <c r="B365" s="5">
        <f>IFERROR(MID(H365,FIND("01",H365)+2,14),"")</f>
        <v/>
      </c>
      <c r="C365" s="4">
        <f>IF(A365="","",IFERROR(VLOOKUP(B365,TblArticles,2,FALSE),"GTIN inconnu"))</f>
        <v/>
      </c>
      <c r="D365" s="5">
        <f>IF(A365="","",IFERROR(VLOOKUP(B365,TblArticles,3,FALSE),""))</f>
        <v/>
      </c>
      <c r="E365" s="6">
        <f>IFERROR(DATE(2000+VALUE(MID(H365,FIND("15",H365,FIND("01",H365)+16)+2,2)),VALUE(MID(H365,FIND("15",H365,FIND("01",H365)+16)+4,2)),VALUE(MID(H365,FIND("15",H365,FIND("01",H365)+16)+6,2))),"")</f>
        <v/>
      </c>
      <c r="F365" s="5">
        <f>IFERROR(MID(H365,FIND("10",H365,FIND("15",H365,FIND("01",H365)+16)+8)+2,50),"")</f>
        <v/>
      </c>
      <c r="G365" s="5" t="n"/>
      <c r="H365" s="5">
        <f>SUBSTITUTE(SUBSTITUTE(SUBSTITUTE(SUBSTITUTE(A365,"(",""),")","")," ",""),CHAR(29),"")</f>
        <v/>
      </c>
    </row>
    <row r="366">
      <c r="A366" s="7" t="n"/>
      <c r="B366" s="8">
        <f>IFERROR(MID(H366,FIND("01",H366)+2,14),"")</f>
        <v/>
      </c>
      <c r="C366" s="7">
        <f>IF(A366="","",IFERROR(VLOOKUP(B366,TblArticles,2,FALSE),"GTIN inconnu"))</f>
        <v/>
      </c>
      <c r="D366" s="8">
        <f>IF(A366="","",IFERROR(VLOOKUP(B366,TblArticles,3,FALSE),""))</f>
        <v/>
      </c>
      <c r="E366" s="9">
        <f>IFERROR(DATE(2000+VALUE(MID(H366,FIND("15",H366,FIND("01",H366)+16)+2,2)),VALUE(MID(H366,FIND("15",H366,FIND("01",H366)+16)+4,2)),VALUE(MID(H366,FIND("15",H366,FIND("01",H366)+16)+6,2))),"")</f>
        <v/>
      </c>
      <c r="F366" s="8">
        <f>IFERROR(MID(H366,FIND("10",H366,FIND("15",H366,FIND("01",H366)+16)+8)+2,50),"")</f>
        <v/>
      </c>
      <c r="G366" s="8" t="n"/>
      <c r="H366" s="8">
        <f>SUBSTITUTE(SUBSTITUTE(SUBSTITUTE(SUBSTITUTE(A366,"(",""),")","")," ",""),CHAR(29),"")</f>
        <v/>
      </c>
    </row>
    <row r="367">
      <c r="A367" s="4" t="n"/>
      <c r="B367" s="5">
        <f>IFERROR(MID(H367,FIND("01",H367)+2,14),"")</f>
        <v/>
      </c>
      <c r="C367" s="4">
        <f>IF(A367="","",IFERROR(VLOOKUP(B367,TblArticles,2,FALSE),"GTIN inconnu"))</f>
        <v/>
      </c>
      <c r="D367" s="5">
        <f>IF(A367="","",IFERROR(VLOOKUP(B367,TblArticles,3,FALSE),""))</f>
        <v/>
      </c>
      <c r="E367" s="6">
        <f>IFERROR(DATE(2000+VALUE(MID(H367,FIND("15",H367,FIND("01",H367)+16)+2,2)),VALUE(MID(H367,FIND("15",H367,FIND("01",H367)+16)+4,2)),VALUE(MID(H367,FIND("15",H367,FIND("01",H367)+16)+6,2))),"")</f>
        <v/>
      </c>
      <c r="F367" s="5">
        <f>IFERROR(MID(H367,FIND("10",H367,FIND("15",H367,FIND("01",H367)+16)+8)+2,50),"")</f>
        <v/>
      </c>
      <c r="G367" s="5" t="n"/>
      <c r="H367" s="5">
        <f>SUBSTITUTE(SUBSTITUTE(SUBSTITUTE(SUBSTITUTE(A367,"(",""),")","")," ",""),CHAR(29),"")</f>
        <v/>
      </c>
    </row>
    <row r="368">
      <c r="A368" s="7" t="n"/>
      <c r="B368" s="8">
        <f>IFERROR(MID(H368,FIND("01",H368)+2,14),"")</f>
        <v/>
      </c>
      <c r="C368" s="7">
        <f>IF(A368="","",IFERROR(VLOOKUP(B368,TblArticles,2,FALSE),"GTIN inconnu"))</f>
        <v/>
      </c>
      <c r="D368" s="8">
        <f>IF(A368="","",IFERROR(VLOOKUP(B368,TblArticles,3,FALSE),""))</f>
        <v/>
      </c>
      <c r="E368" s="9">
        <f>IFERROR(DATE(2000+VALUE(MID(H368,FIND("15",H368,FIND("01",H368)+16)+2,2)),VALUE(MID(H368,FIND("15",H368,FIND("01",H368)+16)+4,2)),VALUE(MID(H368,FIND("15",H368,FIND("01",H368)+16)+6,2))),"")</f>
        <v/>
      </c>
      <c r="F368" s="8">
        <f>IFERROR(MID(H368,FIND("10",H368,FIND("15",H368,FIND("01",H368)+16)+8)+2,50),"")</f>
        <v/>
      </c>
      <c r="G368" s="8" t="n"/>
      <c r="H368" s="8">
        <f>SUBSTITUTE(SUBSTITUTE(SUBSTITUTE(SUBSTITUTE(A368,"(",""),")","")," ",""),CHAR(29),"")</f>
        <v/>
      </c>
    </row>
    <row r="369">
      <c r="A369" s="4" t="n"/>
      <c r="B369" s="5">
        <f>IFERROR(MID(H369,FIND("01",H369)+2,14),"")</f>
        <v/>
      </c>
      <c r="C369" s="4">
        <f>IF(A369="","",IFERROR(VLOOKUP(B369,TblArticles,2,FALSE),"GTIN inconnu"))</f>
        <v/>
      </c>
      <c r="D369" s="5">
        <f>IF(A369="","",IFERROR(VLOOKUP(B369,TblArticles,3,FALSE),""))</f>
        <v/>
      </c>
      <c r="E369" s="6">
        <f>IFERROR(DATE(2000+VALUE(MID(H369,FIND("15",H369,FIND("01",H369)+16)+2,2)),VALUE(MID(H369,FIND("15",H369,FIND("01",H369)+16)+4,2)),VALUE(MID(H369,FIND("15",H369,FIND("01",H369)+16)+6,2))),"")</f>
        <v/>
      </c>
      <c r="F369" s="5">
        <f>IFERROR(MID(H369,FIND("10",H369,FIND("15",H369,FIND("01",H369)+16)+8)+2,50),"")</f>
        <v/>
      </c>
      <c r="G369" s="5" t="n"/>
      <c r="H369" s="5">
        <f>SUBSTITUTE(SUBSTITUTE(SUBSTITUTE(SUBSTITUTE(A369,"(",""),")","")," ",""),CHAR(29),"")</f>
        <v/>
      </c>
    </row>
    <row r="370">
      <c r="A370" s="7" t="n"/>
      <c r="B370" s="8">
        <f>IFERROR(MID(H370,FIND("01",H370)+2,14),"")</f>
        <v/>
      </c>
      <c r="C370" s="7">
        <f>IF(A370="","",IFERROR(VLOOKUP(B370,TblArticles,2,FALSE),"GTIN inconnu"))</f>
        <v/>
      </c>
      <c r="D370" s="8">
        <f>IF(A370="","",IFERROR(VLOOKUP(B370,TblArticles,3,FALSE),""))</f>
        <v/>
      </c>
      <c r="E370" s="9">
        <f>IFERROR(DATE(2000+VALUE(MID(H370,FIND("15",H370,FIND("01",H370)+16)+2,2)),VALUE(MID(H370,FIND("15",H370,FIND("01",H370)+16)+4,2)),VALUE(MID(H370,FIND("15",H370,FIND("01",H370)+16)+6,2))),"")</f>
        <v/>
      </c>
      <c r="F370" s="8">
        <f>IFERROR(MID(H370,FIND("10",H370,FIND("15",H370,FIND("01",H370)+16)+8)+2,50),"")</f>
        <v/>
      </c>
      <c r="G370" s="8" t="n"/>
      <c r="H370" s="8">
        <f>SUBSTITUTE(SUBSTITUTE(SUBSTITUTE(SUBSTITUTE(A370,"(",""),")","")," ",""),CHAR(29),"")</f>
        <v/>
      </c>
    </row>
    <row r="371">
      <c r="A371" s="4" t="n"/>
      <c r="B371" s="5">
        <f>IFERROR(MID(H371,FIND("01",H371)+2,14),"")</f>
        <v/>
      </c>
      <c r="C371" s="4">
        <f>IF(A371="","",IFERROR(VLOOKUP(B371,TblArticles,2,FALSE),"GTIN inconnu"))</f>
        <v/>
      </c>
      <c r="D371" s="5">
        <f>IF(A371="","",IFERROR(VLOOKUP(B371,TblArticles,3,FALSE),""))</f>
        <v/>
      </c>
      <c r="E371" s="6">
        <f>IFERROR(DATE(2000+VALUE(MID(H371,FIND("15",H371,FIND("01",H371)+16)+2,2)),VALUE(MID(H371,FIND("15",H371,FIND("01",H371)+16)+4,2)),VALUE(MID(H371,FIND("15",H371,FIND("01",H371)+16)+6,2))),"")</f>
        <v/>
      </c>
      <c r="F371" s="5">
        <f>IFERROR(MID(H371,FIND("10",H371,FIND("15",H371,FIND("01",H371)+16)+8)+2,50),"")</f>
        <v/>
      </c>
      <c r="G371" s="5" t="n"/>
      <c r="H371" s="5">
        <f>SUBSTITUTE(SUBSTITUTE(SUBSTITUTE(SUBSTITUTE(A371,"(",""),")","")," ",""),CHAR(29),"")</f>
        <v/>
      </c>
    </row>
    <row r="372">
      <c r="A372" s="7" t="n"/>
      <c r="B372" s="8">
        <f>IFERROR(MID(H372,FIND("01",H372)+2,14),"")</f>
        <v/>
      </c>
      <c r="C372" s="7">
        <f>IF(A372="","",IFERROR(VLOOKUP(B372,TblArticles,2,FALSE),"GTIN inconnu"))</f>
        <v/>
      </c>
      <c r="D372" s="8">
        <f>IF(A372="","",IFERROR(VLOOKUP(B372,TblArticles,3,FALSE),""))</f>
        <v/>
      </c>
      <c r="E372" s="9">
        <f>IFERROR(DATE(2000+VALUE(MID(H372,FIND("15",H372,FIND("01",H372)+16)+2,2)),VALUE(MID(H372,FIND("15",H372,FIND("01",H372)+16)+4,2)),VALUE(MID(H372,FIND("15",H372,FIND("01",H372)+16)+6,2))),"")</f>
        <v/>
      </c>
      <c r="F372" s="8">
        <f>IFERROR(MID(H372,FIND("10",H372,FIND("15",H372,FIND("01",H372)+16)+8)+2,50),"")</f>
        <v/>
      </c>
      <c r="G372" s="8" t="n"/>
      <c r="H372" s="8">
        <f>SUBSTITUTE(SUBSTITUTE(SUBSTITUTE(SUBSTITUTE(A372,"(",""),")","")," ",""),CHAR(29),"")</f>
        <v/>
      </c>
    </row>
    <row r="373">
      <c r="A373" s="4" t="n"/>
      <c r="B373" s="5">
        <f>IFERROR(MID(H373,FIND("01",H373)+2,14),"")</f>
        <v/>
      </c>
      <c r="C373" s="4">
        <f>IF(A373="","",IFERROR(VLOOKUP(B373,TblArticles,2,FALSE),"GTIN inconnu"))</f>
        <v/>
      </c>
      <c r="D373" s="5">
        <f>IF(A373="","",IFERROR(VLOOKUP(B373,TblArticles,3,FALSE),""))</f>
        <v/>
      </c>
      <c r="E373" s="6">
        <f>IFERROR(DATE(2000+VALUE(MID(H373,FIND("15",H373,FIND("01",H373)+16)+2,2)),VALUE(MID(H373,FIND("15",H373,FIND("01",H373)+16)+4,2)),VALUE(MID(H373,FIND("15",H373,FIND("01",H373)+16)+6,2))),"")</f>
        <v/>
      </c>
      <c r="F373" s="5">
        <f>IFERROR(MID(H373,FIND("10",H373,FIND("15",H373,FIND("01",H373)+16)+8)+2,50),"")</f>
        <v/>
      </c>
      <c r="G373" s="5" t="n"/>
      <c r="H373" s="5">
        <f>SUBSTITUTE(SUBSTITUTE(SUBSTITUTE(SUBSTITUTE(A373,"(",""),")","")," ",""),CHAR(29),"")</f>
        <v/>
      </c>
    </row>
    <row r="374">
      <c r="A374" s="7" t="n"/>
      <c r="B374" s="8">
        <f>IFERROR(MID(H374,FIND("01",H374)+2,14),"")</f>
        <v/>
      </c>
      <c r="C374" s="7">
        <f>IF(A374="","",IFERROR(VLOOKUP(B374,TblArticles,2,FALSE),"GTIN inconnu"))</f>
        <v/>
      </c>
      <c r="D374" s="8">
        <f>IF(A374="","",IFERROR(VLOOKUP(B374,TblArticles,3,FALSE),""))</f>
        <v/>
      </c>
      <c r="E374" s="9">
        <f>IFERROR(DATE(2000+VALUE(MID(H374,FIND("15",H374,FIND("01",H374)+16)+2,2)),VALUE(MID(H374,FIND("15",H374,FIND("01",H374)+16)+4,2)),VALUE(MID(H374,FIND("15",H374,FIND("01",H374)+16)+6,2))),"")</f>
        <v/>
      </c>
      <c r="F374" s="8">
        <f>IFERROR(MID(H374,FIND("10",H374,FIND("15",H374,FIND("01",H374)+16)+8)+2,50),"")</f>
        <v/>
      </c>
      <c r="G374" s="8" t="n"/>
      <c r="H374" s="8">
        <f>SUBSTITUTE(SUBSTITUTE(SUBSTITUTE(SUBSTITUTE(A374,"(",""),")","")," ",""),CHAR(29),"")</f>
        <v/>
      </c>
    </row>
    <row r="375">
      <c r="A375" s="4" t="n"/>
      <c r="B375" s="5">
        <f>IFERROR(MID(H375,FIND("01",H375)+2,14),"")</f>
        <v/>
      </c>
      <c r="C375" s="4">
        <f>IF(A375="","",IFERROR(VLOOKUP(B375,TblArticles,2,FALSE),"GTIN inconnu"))</f>
        <v/>
      </c>
      <c r="D375" s="5">
        <f>IF(A375="","",IFERROR(VLOOKUP(B375,TblArticles,3,FALSE),""))</f>
        <v/>
      </c>
      <c r="E375" s="6">
        <f>IFERROR(DATE(2000+VALUE(MID(H375,FIND("15",H375,FIND("01",H375)+16)+2,2)),VALUE(MID(H375,FIND("15",H375,FIND("01",H375)+16)+4,2)),VALUE(MID(H375,FIND("15",H375,FIND("01",H375)+16)+6,2))),"")</f>
        <v/>
      </c>
      <c r="F375" s="5">
        <f>IFERROR(MID(H375,FIND("10",H375,FIND("15",H375,FIND("01",H375)+16)+8)+2,50),"")</f>
        <v/>
      </c>
      <c r="G375" s="5" t="n"/>
      <c r="H375" s="5">
        <f>SUBSTITUTE(SUBSTITUTE(SUBSTITUTE(SUBSTITUTE(A375,"(",""),")","")," ",""),CHAR(29),"")</f>
        <v/>
      </c>
    </row>
    <row r="376">
      <c r="A376" s="7" t="n"/>
      <c r="B376" s="8">
        <f>IFERROR(MID(H376,FIND("01",H376)+2,14),"")</f>
        <v/>
      </c>
      <c r="C376" s="7">
        <f>IF(A376="","",IFERROR(VLOOKUP(B376,TblArticles,2,FALSE),"GTIN inconnu"))</f>
        <v/>
      </c>
      <c r="D376" s="8">
        <f>IF(A376="","",IFERROR(VLOOKUP(B376,TblArticles,3,FALSE),""))</f>
        <v/>
      </c>
      <c r="E376" s="9">
        <f>IFERROR(DATE(2000+VALUE(MID(H376,FIND("15",H376,FIND("01",H376)+16)+2,2)),VALUE(MID(H376,FIND("15",H376,FIND("01",H376)+16)+4,2)),VALUE(MID(H376,FIND("15",H376,FIND("01",H376)+16)+6,2))),"")</f>
        <v/>
      </c>
      <c r="F376" s="8">
        <f>IFERROR(MID(H376,FIND("10",H376,FIND("15",H376,FIND("01",H376)+16)+8)+2,50),"")</f>
        <v/>
      </c>
      <c r="G376" s="8" t="n"/>
      <c r="H376" s="8">
        <f>SUBSTITUTE(SUBSTITUTE(SUBSTITUTE(SUBSTITUTE(A376,"(",""),")","")," ",""),CHAR(29),"")</f>
        <v/>
      </c>
    </row>
    <row r="377">
      <c r="A377" s="4" t="n"/>
      <c r="B377" s="5">
        <f>IFERROR(MID(H377,FIND("01",H377)+2,14),"")</f>
        <v/>
      </c>
      <c r="C377" s="4">
        <f>IF(A377="","",IFERROR(VLOOKUP(B377,TblArticles,2,FALSE),"GTIN inconnu"))</f>
        <v/>
      </c>
      <c r="D377" s="5">
        <f>IF(A377="","",IFERROR(VLOOKUP(B377,TblArticles,3,FALSE),""))</f>
        <v/>
      </c>
      <c r="E377" s="6">
        <f>IFERROR(DATE(2000+VALUE(MID(H377,FIND("15",H377,FIND("01",H377)+16)+2,2)),VALUE(MID(H377,FIND("15",H377,FIND("01",H377)+16)+4,2)),VALUE(MID(H377,FIND("15",H377,FIND("01",H377)+16)+6,2))),"")</f>
        <v/>
      </c>
      <c r="F377" s="5">
        <f>IFERROR(MID(H377,FIND("10",H377,FIND("15",H377,FIND("01",H377)+16)+8)+2,50),"")</f>
        <v/>
      </c>
      <c r="G377" s="5" t="n"/>
      <c r="H377" s="5">
        <f>SUBSTITUTE(SUBSTITUTE(SUBSTITUTE(SUBSTITUTE(A377,"(",""),")","")," ",""),CHAR(29),"")</f>
        <v/>
      </c>
    </row>
    <row r="378">
      <c r="A378" s="7" t="n"/>
      <c r="B378" s="8">
        <f>IFERROR(MID(H378,FIND("01",H378)+2,14),"")</f>
        <v/>
      </c>
      <c r="C378" s="7">
        <f>IF(A378="","",IFERROR(VLOOKUP(B378,TblArticles,2,FALSE),"GTIN inconnu"))</f>
        <v/>
      </c>
      <c r="D378" s="8">
        <f>IF(A378="","",IFERROR(VLOOKUP(B378,TblArticles,3,FALSE),""))</f>
        <v/>
      </c>
      <c r="E378" s="9">
        <f>IFERROR(DATE(2000+VALUE(MID(H378,FIND("15",H378,FIND("01",H378)+16)+2,2)),VALUE(MID(H378,FIND("15",H378,FIND("01",H378)+16)+4,2)),VALUE(MID(H378,FIND("15",H378,FIND("01",H378)+16)+6,2))),"")</f>
        <v/>
      </c>
      <c r="F378" s="8">
        <f>IFERROR(MID(H378,FIND("10",H378,FIND("15",H378,FIND("01",H378)+16)+8)+2,50),"")</f>
        <v/>
      </c>
      <c r="G378" s="8" t="n"/>
      <c r="H378" s="8">
        <f>SUBSTITUTE(SUBSTITUTE(SUBSTITUTE(SUBSTITUTE(A378,"(",""),")","")," ",""),CHAR(29),"")</f>
        <v/>
      </c>
    </row>
    <row r="379">
      <c r="A379" s="4" t="n"/>
      <c r="B379" s="5">
        <f>IFERROR(MID(H379,FIND("01",H379)+2,14),"")</f>
        <v/>
      </c>
      <c r="C379" s="4">
        <f>IF(A379="","",IFERROR(VLOOKUP(B379,TblArticles,2,FALSE),"GTIN inconnu"))</f>
        <v/>
      </c>
      <c r="D379" s="5">
        <f>IF(A379="","",IFERROR(VLOOKUP(B379,TblArticles,3,FALSE),""))</f>
        <v/>
      </c>
      <c r="E379" s="6">
        <f>IFERROR(DATE(2000+VALUE(MID(H379,FIND("15",H379,FIND("01",H379)+16)+2,2)),VALUE(MID(H379,FIND("15",H379,FIND("01",H379)+16)+4,2)),VALUE(MID(H379,FIND("15",H379,FIND("01",H379)+16)+6,2))),"")</f>
        <v/>
      </c>
      <c r="F379" s="5">
        <f>IFERROR(MID(H379,FIND("10",H379,FIND("15",H379,FIND("01",H379)+16)+8)+2,50),"")</f>
        <v/>
      </c>
      <c r="G379" s="5" t="n"/>
      <c r="H379" s="5">
        <f>SUBSTITUTE(SUBSTITUTE(SUBSTITUTE(SUBSTITUTE(A379,"(",""),")","")," ",""),CHAR(29),"")</f>
        <v/>
      </c>
    </row>
    <row r="380">
      <c r="A380" s="7" t="n"/>
      <c r="B380" s="8">
        <f>IFERROR(MID(H380,FIND("01",H380)+2,14),"")</f>
        <v/>
      </c>
      <c r="C380" s="7">
        <f>IF(A380="","",IFERROR(VLOOKUP(B380,TblArticles,2,FALSE),"GTIN inconnu"))</f>
        <v/>
      </c>
      <c r="D380" s="8">
        <f>IF(A380="","",IFERROR(VLOOKUP(B380,TblArticles,3,FALSE),""))</f>
        <v/>
      </c>
      <c r="E380" s="9">
        <f>IFERROR(DATE(2000+VALUE(MID(H380,FIND("15",H380,FIND("01",H380)+16)+2,2)),VALUE(MID(H380,FIND("15",H380,FIND("01",H380)+16)+4,2)),VALUE(MID(H380,FIND("15",H380,FIND("01",H380)+16)+6,2))),"")</f>
        <v/>
      </c>
      <c r="F380" s="8">
        <f>IFERROR(MID(H380,FIND("10",H380,FIND("15",H380,FIND("01",H380)+16)+8)+2,50),"")</f>
        <v/>
      </c>
      <c r="G380" s="8" t="n"/>
      <c r="H380" s="8">
        <f>SUBSTITUTE(SUBSTITUTE(SUBSTITUTE(SUBSTITUTE(A380,"(",""),")","")," ",""),CHAR(29),"")</f>
        <v/>
      </c>
    </row>
    <row r="381">
      <c r="A381" s="4" t="n"/>
      <c r="B381" s="5">
        <f>IFERROR(MID(H381,FIND("01",H381)+2,14),"")</f>
        <v/>
      </c>
      <c r="C381" s="4">
        <f>IF(A381="","",IFERROR(VLOOKUP(B381,TblArticles,2,FALSE),"GTIN inconnu"))</f>
        <v/>
      </c>
      <c r="D381" s="5">
        <f>IF(A381="","",IFERROR(VLOOKUP(B381,TblArticles,3,FALSE),""))</f>
        <v/>
      </c>
      <c r="E381" s="6">
        <f>IFERROR(DATE(2000+VALUE(MID(H381,FIND("15",H381,FIND("01",H381)+16)+2,2)),VALUE(MID(H381,FIND("15",H381,FIND("01",H381)+16)+4,2)),VALUE(MID(H381,FIND("15",H381,FIND("01",H381)+16)+6,2))),"")</f>
        <v/>
      </c>
      <c r="F381" s="5">
        <f>IFERROR(MID(H381,FIND("10",H381,FIND("15",H381,FIND("01",H381)+16)+8)+2,50),"")</f>
        <v/>
      </c>
      <c r="G381" s="5" t="n"/>
      <c r="H381" s="5">
        <f>SUBSTITUTE(SUBSTITUTE(SUBSTITUTE(SUBSTITUTE(A381,"(",""),")","")," ",""),CHAR(29),"")</f>
        <v/>
      </c>
    </row>
    <row r="382">
      <c r="A382" s="7" t="n"/>
      <c r="B382" s="8">
        <f>IFERROR(MID(H382,FIND("01",H382)+2,14),"")</f>
        <v/>
      </c>
      <c r="C382" s="7">
        <f>IF(A382="","",IFERROR(VLOOKUP(B382,TblArticles,2,FALSE),"GTIN inconnu"))</f>
        <v/>
      </c>
      <c r="D382" s="8">
        <f>IF(A382="","",IFERROR(VLOOKUP(B382,TblArticles,3,FALSE),""))</f>
        <v/>
      </c>
      <c r="E382" s="9">
        <f>IFERROR(DATE(2000+VALUE(MID(H382,FIND("15",H382,FIND("01",H382)+16)+2,2)),VALUE(MID(H382,FIND("15",H382,FIND("01",H382)+16)+4,2)),VALUE(MID(H382,FIND("15",H382,FIND("01",H382)+16)+6,2))),"")</f>
        <v/>
      </c>
      <c r="F382" s="8">
        <f>IFERROR(MID(H382,FIND("10",H382,FIND("15",H382,FIND("01",H382)+16)+8)+2,50),"")</f>
        <v/>
      </c>
      <c r="G382" s="8" t="n"/>
      <c r="H382" s="8">
        <f>SUBSTITUTE(SUBSTITUTE(SUBSTITUTE(SUBSTITUTE(A382,"(",""),")","")," ",""),CHAR(29),"")</f>
        <v/>
      </c>
    </row>
    <row r="383">
      <c r="A383" s="4" t="n"/>
      <c r="B383" s="5">
        <f>IFERROR(MID(H383,FIND("01",H383)+2,14),"")</f>
        <v/>
      </c>
      <c r="C383" s="4">
        <f>IF(A383="","",IFERROR(VLOOKUP(B383,TblArticles,2,FALSE),"GTIN inconnu"))</f>
        <v/>
      </c>
      <c r="D383" s="5">
        <f>IF(A383="","",IFERROR(VLOOKUP(B383,TblArticles,3,FALSE),""))</f>
        <v/>
      </c>
      <c r="E383" s="6">
        <f>IFERROR(DATE(2000+VALUE(MID(H383,FIND("15",H383,FIND("01",H383)+16)+2,2)),VALUE(MID(H383,FIND("15",H383,FIND("01",H383)+16)+4,2)),VALUE(MID(H383,FIND("15",H383,FIND("01",H383)+16)+6,2))),"")</f>
        <v/>
      </c>
      <c r="F383" s="5">
        <f>IFERROR(MID(H383,FIND("10",H383,FIND("15",H383,FIND("01",H383)+16)+8)+2,50),"")</f>
        <v/>
      </c>
      <c r="G383" s="5" t="n"/>
      <c r="H383" s="5">
        <f>SUBSTITUTE(SUBSTITUTE(SUBSTITUTE(SUBSTITUTE(A383,"(",""),")","")," ",""),CHAR(29),"")</f>
        <v/>
      </c>
    </row>
    <row r="384">
      <c r="A384" s="7" t="n"/>
      <c r="B384" s="8">
        <f>IFERROR(MID(H384,FIND("01",H384)+2,14),"")</f>
        <v/>
      </c>
      <c r="C384" s="7">
        <f>IF(A384="","",IFERROR(VLOOKUP(B384,TblArticles,2,FALSE),"GTIN inconnu"))</f>
        <v/>
      </c>
      <c r="D384" s="8">
        <f>IF(A384="","",IFERROR(VLOOKUP(B384,TblArticles,3,FALSE),""))</f>
        <v/>
      </c>
      <c r="E384" s="9">
        <f>IFERROR(DATE(2000+VALUE(MID(H384,FIND("15",H384,FIND("01",H384)+16)+2,2)),VALUE(MID(H384,FIND("15",H384,FIND("01",H384)+16)+4,2)),VALUE(MID(H384,FIND("15",H384,FIND("01",H384)+16)+6,2))),"")</f>
        <v/>
      </c>
      <c r="F384" s="8">
        <f>IFERROR(MID(H384,FIND("10",H384,FIND("15",H384,FIND("01",H384)+16)+8)+2,50),"")</f>
        <v/>
      </c>
      <c r="G384" s="8" t="n"/>
      <c r="H384" s="8">
        <f>SUBSTITUTE(SUBSTITUTE(SUBSTITUTE(SUBSTITUTE(A384,"(",""),")","")," ",""),CHAR(29),"")</f>
        <v/>
      </c>
    </row>
    <row r="385">
      <c r="A385" s="4" t="n"/>
      <c r="B385" s="5">
        <f>IFERROR(MID(H385,FIND("01",H385)+2,14),"")</f>
        <v/>
      </c>
      <c r="C385" s="4">
        <f>IF(A385="","",IFERROR(VLOOKUP(B385,TblArticles,2,FALSE),"GTIN inconnu"))</f>
        <v/>
      </c>
      <c r="D385" s="5">
        <f>IF(A385="","",IFERROR(VLOOKUP(B385,TblArticles,3,FALSE),""))</f>
        <v/>
      </c>
      <c r="E385" s="6">
        <f>IFERROR(DATE(2000+VALUE(MID(H385,FIND("15",H385,FIND("01",H385)+16)+2,2)),VALUE(MID(H385,FIND("15",H385,FIND("01",H385)+16)+4,2)),VALUE(MID(H385,FIND("15",H385,FIND("01",H385)+16)+6,2))),"")</f>
        <v/>
      </c>
      <c r="F385" s="5">
        <f>IFERROR(MID(H385,FIND("10",H385,FIND("15",H385,FIND("01",H385)+16)+8)+2,50),"")</f>
        <v/>
      </c>
      <c r="G385" s="5" t="n"/>
      <c r="H385" s="5">
        <f>SUBSTITUTE(SUBSTITUTE(SUBSTITUTE(SUBSTITUTE(A385,"(",""),")","")," ",""),CHAR(29),"")</f>
        <v/>
      </c>
    </row>
    <row r="386">
      <c r="A386" s="7" t="n"/>
      <c r="B386" s="8">
        <f>IFERROR(MID(H386,FIND("01",H386)+2,14),"")</f>
        <v/>
      </c>
      <c r="C386" s="7">
        <f>IF(A386="","",IFERROR(VLOOKUP(B386,TblArticles,2,FALSE),"GTIN inconnu"))</f>
        <v/>
      </c>
      <c r="D386" s="8">
        <f>IF(A386="","",IFERROR(VLOOKUP(B386,TblArticles,3,FALSE),""))</f>
        <v/>
      </c>
      <c r="E386" s="9">
        <f>IFERROR(DATE(2000+VALUE(MID(H386,FIND("15",H386,FIND("01",H386)+16)+2,2)),VALUE(MID(H386,FIND("15",H386,FIND("01",H386)+16)+4,2)),VALUE(MID(H386,FIND("15",H386,FIND("01",H386)+16)+6,2))),"")</f>
        <v/>
      </c>
      <c r="F386" s="8">
        <f>IFERROR(MID(H386,FIND("10",H386,FIND("15",H386,FIND("01",H386)+16)+8)+2,50),"")</f>
        <v/>
      </c>
      <c r="G386" s="8" t="n"/>
      <c r="H386" s="8">
        <f>SUBSTITUTE(SUBSTITUTE(SUBSTITUTE(SUBSTITUTE(A386,"(",""),")","")," ",""),CHAR(29),"")</f>
        <v/>
      </c>
    </row>
    <row r="387">
      <c r="A387" s="4" t="n"/>
      <c r="B387" s="5">
        <f>IFERROR(MID(H387,FIND("01",H387)+2,14),"")</f>
        <v/>
      </c>
      <c r="C387" s="4">
        <f>IF(A387="","",IFERROR(VLOOKUP(B387,TblArticles,2,FALSE),"GTIN inconnu"))</f>
        <v/>
      </c>
      <c r="D387" s="5">
        <f>IF(A387="","",IFERROR(VLOOKUP(B387,TblArticles,3,FALSE),""))</f>
        <v/>
      </c>
      <c r="E387" s="6">
        <f>IFERROR(DATE(2000+VALUE(MID(H387,FIND("15",H387,FIND("01",H387)+16)+2,2)),VALUE(MID(H387,FIND("15",H387,FIND("01",H387)+16)+4,2)),VALUE(MID(H387,FIND("15",H387,FIND("01",H387)+16)+6,2))),"")</f>
        <v/>
      </c>
      <c r="F387" s="5">
        <f>IFERROR(MID(H387,FIND("10",H387,FIND("15",H387,FIND("01",H387)+16)+8)+2,50),"")</f>
        <v/>
      </c>
      <c r="G387" s="5" t="n"/>
      <c r="H387" s="5">
        <f>SUBSTITUTE(SUBSTITUTE(SUBSTITUTE(SUBSTITUTE(A387,"(",""),")","")," ",""),CHAR(29),"")</f>
        <v/>
      </c>
    </row>
    <row r="388">
      <c r="A388" s="7" t="n"/>
      <c r="B388" s="8">
        <f>IFERROR(MID(H388,FIND("01",H388)+2,14),"")</f>
        <v/>
      </c>
      <c r="C388" s="7">
        <f>IF(A388="","",IFERROR(VLOOKUP(B388,TblArticles,2,FALSE),"GTIN inconnu"))</f>
        <v/>
      </c>
      <c r="D388" s="8">
        <f>IF(A388="","",IFERROR(VLOOKUP(B388,TblArticles,3,FALSE),""))</f>
        <v/>
      </c>
      <c r="E388" s="9">
        <f>IFERROR(DATE(2000+VALUE(MID(H388,FIND("15",H388,FIND("01",H388)+16)+2,2)),VALUE(MID(H388,FIND("15",H388,FIND("01",H388)+16)+4,2)),VALUE(MID(H388,FIND("15",H388,FIND("01",H388)+16)+6,2))),"")</f>
        <v/>
      </c>
      <c r="F388" s="8">
        <f>IFERROR(MID(H388,FIND("10",H388,FIND("15",H388,FIND("01",H388)+16)+8)+2,50),"")</f>
        <v/>
      </c>
      <c r="G388" s="8" t="n"/>
      <c r="H388" s="8">
        <f>SUBSTITUTE(SUBSTITUTE(SUBSTITUTE(SUBSTITUTE(A388,"(",""),")","")," ",""),CHAR(29),"")</f>
        <v/>
      </c>
    </row>
    <row r="389">
      <c r="A389" s="4" t="n"/>
      <c r="B389" s="5">
        <f>IFERROR(MID(H389,FIND("01",H389)+2,14),"")</f>
        <v/>
      </c>
      <c r="C389" s="4">
        <f>IF(A389="","",IFERROR(VLOOKUP(B389,TblArticles,2,FALSE),"GTIN inconnu"))</f>
        <v/>
      </c>
      <c r="D389" s="5">
        <f>IF(A389="","",IFERROR(VLOOKUP(B389,TblArticles,3,FALSE),""))</f>
        <v/>
      </c>
      <c r="E389" s="6">
        <f>IFERROR(DATE(2000+VALUE(MID(H389,FIND("15",H389,FIND("01",H389)+16)+2,2)),VALUE(MID(H389,FIND("15",H389,FIND("01",H389)+16)+4,2)),VALUE(MID(H389,FIND("15",H389,FIND("01",H389)+16)+6,2))),"")</f>
        <v/>
      </c>
      <c r="F389" s="5">
        <f>IFERROR(MID(H389,FIND("10",H389,FIND("15",H389,FIND("01",H389)+16)+8)+2,50),"")</f>
        <v/>
      </c>
      <c r="G389" s="5" t="n"/>
      <c r="H389" s="5">
        <f>SUBSTITUTE(SUBSTITUTE(SUBSTITUTE(SUBSTITUTE(A389,"(",""),")","")," ",""),CHAR(29),"")</f>
        <v/>
      </c>
    </row>
    <row r="390">
      <c r="A390" s="7" t="n"/>
      <c r="B390" s="8">
        <f>IFERROR(MID(H390,FIND("01",H390)+2,14),"")</f>
        <v/>
      </c>
      <c r="C390" s="7">
        <f>IF(A390="","",IFERROR(VLOOKUP(B390,TblArticles,2,FALSE),"GTIN inconnu"))</f>
        <v/>
      </c>
      <c r="D390" s="8">
        <f>IF(A390="","",IFERROR(VLOOKUP(B390,TblArticles,3,FALSE),""))</f>
        <v/>
      </c>
      <c r="E390" s="9">
        <f>IFERROR(DATE(2000+VALUE(MID(H390,FIND("15",H390,FIND("01",H390)+16)+2,2)),VALUE(MID(H390,FIND("15",H390,FIND("01",H390)+16)+4,2)),VALUE(MID(H390,FIND("15",H390,FIND("01",H390)+16)+6,2))),"")</f>
        <v/>
      </c>
      <c r="F390" s="8">
        <f>IFERROR(MID(H390,FIND("10",H390,FIND("15",H390,FIND("01",H390)+16)+8)+2,50),"")</f>
        <v/>
      </c>
      <c r="G390" s="8" t="n"/>
      <c r="H390" s="8">
        <f>SUBSTITUTE(SUBSTITUTE(SUBSTITUTE(SUBSTITUTE(A390,"(",""),")","")," ",""),CHAR(29),"")</f>
        <v/>
      </c>
    </row>
    <row r="391">
      <c r="A391" s="4" t="n"/>
      <c r="B391" s="5">
        <f>IFERROR(MID(H391,FIND("01",H391)+2,14),"")</f>
        <v/>
      </c>
      <c r="C391" s="4">
        <f>IF(A391="","",IFERROR(VLOOKUP(B391,TblArticles,2,FALSE),"GTIN inconnu"))</f>
        <v/>
      </c>
      <c r="D391" s="5">
        <f>IF(A391="","",IFERROR(VLOOKUP(B391,TblArticles,3,FALSE),""))</f>
        <v/>
      </c>
      <c r="E391" s="6">
        <f>IFERROR(DATE(2000+VALUE(MID(H391,FIND("15",H391,FIND("01",H391)+16)+2,2)),VALUE(MID(H391,FIND("15",H391,FIND("01",H391)+16)+4,2)),VALUE(MID(H391,FIND("15",H391,FIND("01",H391)+16)+6,2))),"")</f>
        <v/>
      </c>
      <c r="F391" s="5">
        <f>IFERROR(MID(H391,FIND("10",H391,FIND("15",H391,FIND("01",H391)+16)+8)+2,50),"")</f>
        <v/>
      </c>
      <c r="G391" s="5" t="n"/>
      <c r="H391" s="5">
        <f>SUBSTITUTE(SUBSTITUTE(SUBSTITUTE(SUBSTITUTE(A391,"(",""),")","")," ",""),CHAR(29),"")</f>
        <v/>
      </c>
    </row>
    <row r="392">
      <c r="A392" s="7" t="n"/>
      <c r="B392" s="8">
        <f>IFERROR(MID(H392,FIND("01",H392)+2,14),"")</f>
        <v/>
      </c>
      <c r="C392" s="7">
        <f>IF(A392="","",IFERROR(VLOOKUP(B392,TblArticles,2,FALSE),"GTIN inconnu"))</f>
        <v/>
      </c>
      <c r="D392" s="8">
        <f>IF(A392="","",IFERROR(VLOOKUP(B392,TblArticles,3,FALSE),""))</f>
        <v/>
      </c>
      <c r="E392" s="9">
        <f>IFERROR(DATE(2000+VALUE(MID(H392,FIND("15",H392,FIND("01",H392)+16)+2,2)),VALUE(MID(H392,FIND("15",H392,FIND("01",H392)+16)+4,2)),VALUE(MID(H392,FIND("15",H392,FIND("01",H392)+16)+6,2))),"")</f>
        <v/>
      </c>
      <c r="F392" s="8">
        <f>IFERROR(MID(H392,FIND("10",H392,FIND("15",H392,FIND("01",H392)+16)+8)+2,50),"")</f>
        <v/>
      </c>
      <c r="G392" s="8" t="n"/>
      <c r="H392" s="8">
        <f>SUBSTITUTE(SUBSTITUTE(SUBSTITUTE(SUBSTITUTE(A392,"(",""),")","")," ",""),CHAR(29),"")</f>
        <v/>
      </c>
    </row>
    <row r="393">
      <c r="A393" s="4" t="n"/>
      <c r="B393" s="5">
        <f>IFERROR(MID(H393,FIND("01",H393)+2,14),"")</f>
        <v/>
      </c>
      <c r="C393" s="4">
        <f>IF(A393="","",IFERROR(VLOOKUP(B393,TblArticles,2,FALSE),"GTIN inconnu"))</f>
        <v/>
      </c>
      <c r="D393" s="5">
        <f>IF(A393="","",IFERROR(VLOOKUP(B393,TblArticles,3,FALSE),""))</f>
        <v/>
      </c>
      <c r="E393" s="6">
        <f>IFERROR(DATE(2000+VALUE(MID(H393,FIND("15",H393,FIND("01",H393)+16)+2,2)),VALUE(MID(H393,FIND("15",H393,FIND("01",H393)+16)+4,2)),VALUE(MID(H393,FIND("15",H393,FIND("01",H393)+16)+6,2))),"")</f>
        <v/>
      </c>
      <c r="F393" s="5">
        <f>IFERROR(MID(H393,FIND("10",H393,FIND("15",H393,FIND("01",H393)+16)+8)+2,50),"")</f>
        <v/>
      </c>
      <c r="G393" s="5" t="n"/>
      <c r="H393" s="5">
        <f>SUBSTITUTE(SUBSTITUTE(SUBSTITUTE(SUBSTITUTE(A393,"(",""),")","")," ",""),CHAR(29),"")</f>
        <v/>
      </c>
    </row>
    <row r="394">
      <c r="A394" s="7" t="n"/>
      <c r="B394" s="8">
        <f>IFERROR(MID(H394,FIND("01",H394)+2,14),"")</f>
        <v/>
      </c>
      <c r="C394" s="7">
        <f>IF(A394="","",IFERROR(VLOOKUP(B394,TblArticles,2,FALSE),"GTIN inconnu"))</f>
        <v/>
      </c>
      <c r="D394" s="8">
        <f>IF(A394="","",IFERROR(VLOOKUP(B394,TblArticles,3,FALSE),""))</f>
        <v/>
      </c>
      <c r="E394" s="9">
        <f>IFERROR(DATE(2000+VALUE(MID(H394,FIND("15",H394,FIND("01",H394)+16)+2,2)),VALUE(MID(H394,FIND("15",H394,FIND("01",H394)+16)+4,2)),VALUE(MID(H394,FIND("15",H394,FIND("01",H394)+16)+6,2))),"")</f>
        <v/>
      </c>
      <c r="F394" s="8">
        <f>IFERROR(MID(H394,FIND("10",H394,FIND("15",H394,FIND("01",H394)+16)+8)+2,50),"")</f>
        <v/>
      </c>
      <c r="G394" s="8" t="n"/>
      <c r="H394" s="8">
        <f>SUBSTITUTE(SUBSTITUTE(SUBSTITUTE(SUBSTITUTE(A394,"(",""),")","")," ",""),CHAR(29),"")</f>
        <v/>
      </c>
    </row>
    <row r="395">
      <c r="A395" s="4" t="n"/>
      <c r="B395" s="5">
        <f>IFERROR(MID(H395,FIND("01",H395)+2,14),"")</f>
        <v/>
      </c>
      <c r="C395" s="4">
        <f>IF(A395="","",IFERROR(VLOOKUP(B395,TblArticles,2,FALSE),"GTIN inconnu"))</f>
        <v/>
      </c>
      <c r="D395" s="5">
        <f>IF(A395="","",IFERROR(VLOOKUP(B395,TblArticles,3,FALSE),""))</f>
        <v/>
      </c>
      <c r="E395" s="6">
        <f>IFERROR(DATE(2000+VALUE(MID(H395,FIND("15",H395,FIND("01",H395)+16)+2,2)),VALUE(MID(H395,FIND("15",H395,FIND("01",H395)+16)+4,2)),VALUE(MID(H395,FIND("15",H395,FIND("01",H395)+16)+6,2))),"")</f>
        <v/>
      </c>
      <c r="F395" s="5">
        <f>IFERROR(MID(H395,FIND("10",H395,FIND("15",H395,FIND("01",H395)+16)+8)+2,50),"")</f>
        <v/>
      </c>
      <c r="G395" s="5" t="n"/>
      <c r="H395" s="5">
        <f>SUBSTITUTE(SUBSTITUTE(SUBSTITUTE(SUBSTITUTE(A395,"(",""),")","")," ",""),CHAR(29),"")</f>
        <v/>
      </c>
    </row>
    <row r="396">
      <c r="A396" s="7" t="n"/>
      <c r="B396" s="8">
        <f>IFERROR(MID(H396,FIND("01",H396)+2,14),"")</f>
        <v/>
      </c>
      <c r="C396" s="7">
        <f>IF(A396="","",IFERROR(VLOOKUP(B396,TblArticles,2,FALSE),"GTIN inconnu"))</f>
        <v/>
      </c>
      <c r="D396" s="8">
        <f>IF(A396="","",IFERROR(VLOOKUP(B396,TblArticles,3,FALSE),""))</f>
        <v/>
      </c>
      <c r="E396" s="9">
        <f>IFERROR(DATE(2000+VALUE(MID(H396,FIND("15",H396,FIND("01",H396)+16)+2,2)),VALUE(MID(H396,FIND("15",H396,FIND("01",H396)+16)+4,2)),VALUE(MID(H396,FIND("15",H396,FIND("01",H396)+16)+6,2))),"")</f>
        <v/>
      </c>
      <c r="F396" s="8">
        <f>IFERROR(MID(H396,FIND("10",H396,FIND("15",H396,FIND("01",H396)+16)+8)+2,50),"")</f>
        <v/>
      </c>
      <c r="G396" s="8" t="n"/>
      <c r="H396" s="8">
        <f>SUBSTITUTE(SUBSTITUTE(SUBSTITUTE(SUBSTITUTE(A396,"(",""),")","")," ",""),CHAR(29),"")</f>
        <v/>
      </c>
    </row>
    <row r="397">
      <c r="A397" s="4" t="n"/>
      <c r="B397" s="5">
        <f>IFERROR(MID(H397,FIND("01",H397)+2,14),"")</f>
        <v/>
      </c>
      <c r="C397" s="4">
        <f>IF(A397="","",IFERROR(VLOOKUP(B397,TblArticles,2,FALSE),"GTIN inconnu"))</f>
        <v/>
      </c>
      <c r="D397" s="5">
        <f>IF(A397="","",IFERROR(VLOOKUP(B397,TblArticles,3,FALSE),""))</f>
        <v/>
      </c>
      <c r="E397" s="6">
        <f>IFERROR(DATE(2000+VALUE(MID(H397,FIND("15",H397,FIND("01",H397)+16)+2,2)),VALUE(MID(H397,FIND("15",H397,FIND("01",H397)+16)+4,2)),VALUE(MID(H397,FIND("15",H397,FIND("01",H397)+16)+6,2))),"")</f>
        <v/>
      </c>
      <c r="F397" s="5">
        <f>IFERROR(MID(H397,FIND("10",H397,FIND("15",H397,FIND("01",H397)+16)+8)+2,50),"")</f>
        <v/>
      </c>
      <c r="G397" s="5" t="n"/>
      <c r="H397" s="5">
        <f>SUBSTITUTE(SUBSTITUTE(SUBSTITUTE(SUBSTITUTE(A397,"(",""),")","")," ",""),CHAR(29),"")</f>
        <v/>
      </c>
    </row>
    <row r="398">
      <c r="A398" s="7" t="n"/>
      <c r="B398" s="8">
        <f>IFERROR(MID(H398,FIND("01",H398)+2,14),"")</f>
        <v/>
      </c>
      <c r="C398" s="7">
        <f>IF(A398="","",IFERROR(VLOOKUP(B398,TblArticles,2,FALSE),"GTIN inconnu"))</f>
        <v/>
      </c>
      <c r="D398" s="8">
        <f>IF(A398="","",IFERROR(VLOOKUP(B398,TblArticles,3,FALSE),""))</f>
        <v/>
      </c>
      <c r="E398" s="9">
        <f>IFERROR(DATE(2000+VALUE(MID(H398,FIND("15",H398,FIND("01",H398)+16)+2,2)),VALUE(MID(H398,FIND("15",H398,FIND("01",H398)+16)+4,2)),VALUE(MID(H398,FIND("15",H398,FIND("01",H398)+16)+6,2))),"")</f>
        <v/>
      </c>
      <c r="F398" s="8">
        <f>IFERROR(MID(H398,FIND("10",H398,FIND("15",H398,FIND("01",H398)+16)+8)+2,50),"")</f>
        <v/>
      </c>
      <c r="G398" s="8" t="n"/>
      <c r="H398" s="8">
        <f>SUBSTITUTE(SUBSTITUTE(SUBSTITUTE(SUBSTITUTE(A398,"(",""),")","")," ",""),CHAR(29),"")</f>
        <v/>
      </c>
    </row>
    <row r="399">
      <c r="A399" s="4" t="n"/>
      <c r="B399" s="5">
        <f>IFERROR(MID(H399,FIND("01",H399)+2,14),"")</f>
        <v/>
      </c>
      <c r="C399" s="4">
        <f>IF(A399="","",IFERROR(VLOOKUP(B399,TblArticles,2,FALSE),"GTIN inconnu"))</f>
        <v/>
      </c>
      <c r="D399" s="5">
        <f>IF(A399="","",IFERROR(VLOOKUP(B399,TblArticles,3,FALSE),""))</f>
        <v/>
      </c>
      <c r="E399" s="6">
        <f>IFERROR(DATE(2000+VALUE(MID(H399,FIND("15",H399,FIND("01",H399)+16)+2,2)),VALUE(MID(H399,FIND("15",H399,FIND("01",H399)+16)+4,2)),VALUE(MID(H399,FIND("15",H399,FIND("01",H399)+16)+6,2))),"")</f>
        <v/>
      </c>
      <c r="F399" s="5">
        <f>IFERROR(MID(H399,FIND("10",H399,FIND("15",H399,FIND("01",H399)+16)+8)+2,50),"")</f>
        <v/>
      </c>
      <c r="G399" s="5" t="n"/>
      <c r="H399" s="5">
        <f>SUBSTITUTE(SUBSTITUTE(SUBSTITUTE(SUBSTITUTE(A399,"(",""),")","")," ",""),CHAR(29),"")</f>
        <v/>
      </c>
    </row>
    <row r="400">
      <c r="A400" s="7" t="n"/>
      <c r="B400" s="8">
        <f>IFERROR(MID(H400,FIND("01",H400)+2,14),"")</f>
        <v/>
      </c>
      <c r="C400" s="7">
        <f>IF(A400="","",IFERROR(VLOOKUP(B400,TblArticles,2,FALSE),"GTIN inconnu"))</f>
        <v/>
      </c>
      <c r="D400" s="8">
        <f>IF(A400="","",IFERROR(VLOOKUP(B400,TblArticles,3,FALSE),""))</f>
        <v/>
      </c>
      <c r="E400" s="9">
        <f>IFERROR(DATE(2000+VALUE(MID(H400,FIND("15",H400,FIND("01",H400)+16)+2,2)),VALUE(MID(H400,FIND("15",H400,FIND("01",H400)+16)+4,2)),VALUE(MID(H400,FIND("15",H400,FIND("01",H400)+16)+6,2))),"")</f>
        <v/>
      </c>
      <c r="F400" s="8">
        <f>IFERROR(MID(H400,FIND("10",H400,FIND("15",H400,FIND("01",H400)+16)+8)+2,50),"")</f>
        <v/>
      </c>
      <c r="G400" s="8" t="n"/>
      <c r="H400" s="8">
        <f>SUBSTITUTE(SUBSTITUTE(SUBSTITUTE(SUBSTITUTE(A400,"(",""),")","")," ",""),CHAR(29),"")</f>
        <v/>
      </c>
    </row>
    <row r="401">
      <c r="A401" s="4" t="n"/>
      <c r="B401" s="5">
        <f>IFERROR(MID(H401,FIND("01",H401)+2,14),"")</f>
        <v/>
      </c>
      <c r="C401" s="4">
        <f>IF(A401="","",IFERROR(VLOOKUP(B401,TblArticles,2,FALSE),"GTIN inconnu"))</f>
        <v/>
      </c>
      <c r="D401" s="5">
        <f>IF(A401="","",IFERROR(VLOOKUP(B401,TblArticles,3,FALSE),""))</f>
        <v/>
      </c>
      <c r="E401" s="6">
        <f>IFERROR(DATE(2000+VALUE(MID(H401,FIND("15",H401,FIND("01",H401)+16)+2,2)),VALUE(MID(H401,FIND("15",H401,FIND("01",H401)+16)+4,2)),VALUE(MID(H401,FIND("15",H401,FIND("01",H401)+16)+6,2))),"")</f>
        <v/>
      </c>
      <c r="F401" s="5">
        <f>IFERROR(MID(H401,FIND("10",H401,FIND("15",H401,FIND("01",H401)+16)+8)+2,50),"")</f>
        <v/>
      </c>
      <c r="G401" s="5" t="n"/>
      <c r="H401" s="5">
        <f>SUBSTITUTE(SUBSTITUTE(SUBSTITUTE(SUBSTITUTE(A401,"(",""),")","")," ",""),CHAR(29),"")</f>
        <v/>
      </c>
    </row>
    <row r="402">
      <c r="A402" s="7" t="n"/>
      <c r="B402" s="8">
        <f>IFERROR(MID(H402,FIND("01",H402)+2,14),"")</f>
        <v/>
      </c>
      <c r="C402" s="7">
        <f>IF(A402="","",IFERROR(VLOOKUP(B402,TblArticles,2,FALSE),"GTIN inconnu"))</f>
        <v/>
      </c>
      <c r="D402" s="8">
        <f>IF(A402="","",IFERROR(VLOOKUP(B402,TblArticles,3,FALSE),""))</f>
        <v/>
      </c>
      <c r="E402" s="9">
        <f>IFERROR(DATE(2000+VALUE(MID(H402,FIND("15",H402,FIND("01",H402)+16)+2,2)),VALUE(MID(H402,FIND("15",H402,FIND("01",H402)+16)+4,2)),VALUE(MID(H402,FIND("15",H402,FIND("01",H402)+16)+6,2))),"")</f>
        <v/>
      </c>
      <c r="F402" s="8">
        <f>IFERROR(MID(H402,FIND("10",H402,FIND("15",H402,FIND("01",H402)+16)+8)+2,50),"")</f>
        <v/>
      </c>
      <c r="G402" s="8" t="n"/>
      <c r="H402" s="8">
        <f>SUBSTITUTE(SUBSTITUTE(SUBSTITUTE(SUBSTITUTE(A402,"(",""),")","")," ",""),CHAR(29),"")</f>
        <v/>
      </c>
    </row>
    <row r="403">
      <c r="A403" s="4" t="n"/>
      <c r="B403" s="5">
        <f>IFERROR(MID(H403,FIND("01",H403)+2,14),"")</f>
        <v/>
      </c>
      <c r="C403" s="4">
        <f>IF(A403="","",IFERROR(VLOOKUP(B403,TblArticles,2,FALSE),"GTIN inconnu"))</f>
        <v/>
      </c>
      <c r="D403" s="5">
        <f>IF(A403="","",IFERROR(VLOOKUP(B403,TblArticles,3,FALSE),""))</f>
        <v/>
      </c>
      <c r="E403" s="6">
        <f>IFERROR(DATE(2000+VALUE(MID(H403,FIND("15",H403,FIND("01",H403)+16)+2,2)),VALUE(MID(H403,FIND("15",H403,FIND("01",H403)+16)+4,2)),VALUE(MID(H403,FIND("15",H403,FIND("01",H403)+16)+6,2))),"")</f>
        <v/>
      </c>
      <c r="F403" s="5">
        <f>IFERROR(MID(H403,FIND("10",H403,FIND("15",H403,FIND("01",H403)+16)+8)+2,50),"")</f>
        <v/>
      </c>
      <c r="G403" s="5" t="n"/>
      <c r="H403" s="5">
        <f>SUBSTITUTE(SUBSTITUTE(SUBSTITUTE(SUBSTITUTE(A403,"(",""),")","")," ",""),CHAR(29),"")</f>
        <v/>
      </c>
    </row>
    <row r="404">
      <c r="A404" s="7" t="n"/>
      <c r="B404" s="8">
        <f>IFERROR(MID(H404,FIND("01",H404)+2,14),"")</f>
        <v/>
      </c>
      <c r="C404" s="7">
        <f>IF(A404="","",IFERROR(VLOOKUP(B404,TblArticles,2,FALSE),"GTIN inconnu"))</f>
        <v/>
      </c>
      <c r="D404" s="8">
        <f>IF(A404="","",IFERROR(VLOOKUP(B404,TblArticles,3,FALSE),""))</f>
        <v/>
      </c>
      <c r="E404" s="9">
        <f>IFERROR(DATE(2000+VALUE(MID(H404,FIND("15",H404,FIND("01",H404)+16)+2,2)),VALUE(MID(H404,FIND("15",H404,FIND("01",H404)+16)+4,2)),VALUE(MID(H404,FIND("15",H404,FIND("01",H404)+16)+6,2))),"")</f>
        <v/>
      </c>
      <c r="F404" s="8">
        <f>IFERROR(MID(H404,FIND("10",H404,FIND("15",H404,FIND("01",H404)+16)+8)+2,50),"")</f>
        <v/>
      </c>
      <c r="G404" s="8" t="n"/>
      <c r="H404" s="8">
        <f>SUBSTITUTE(SUBSTITUTE(SUBSTITUTE(SUBSTITUTE(A404,"(",""),")","")," ",""),CHAR(29),"")</f>
        <v/>
      </c>
    </row>
    <row r="405">
      <c r="A405" s="4" t="n"/>
      <c r="B405" s="5">
        <f>IFERROR(MID(H405,FIND("01",H405)+2,14),"")</f>
        <v/>
      </c>
      <c r="C405" s="4">
        <f>IF(A405="","",IFERROR(VLOOKUP(B405,TblArticles,2,FALSE),"GTIN inconnu"))</f>
        <v/>
      </c>
      <c r="D405" s="5">
        <f>IF(A405="","",IFERROR(VLOOKUP(B405,TblArticles,3,FALSE),""))</f>
        <v/>
      </c>
      <c r="E405" s="6">
        <f>IFERROR(DATE(2000+VALUE(MID(H405,FIND("15",H405,FIND("01",H405)+16)+2,2)),VALUE(MID(H405,FIND("15",H405,FIND("01",H405)+16)+4,2)),VALUE(MID(H405,FIND("15",H405,FIND("01",H405)+16)+6,2))),"")</f>
        <v/>
      </c>
      <c r="F405" s="5">
        <f>IFERROR(MID(H405,FIND("10",H405,FIND("15",H405,FIND("01",H405)+16)+8)+2,50),"")</f>
        <v/>
      </c>
      <c r="G405" s="5" t="n"/>
      <c r="H405" s="5">
        <f>SUBSTITUTE(SUBSTITUTE(SUBSTITUTE(SUBSTITUTE(A405,"(",""),")","")," ",""),CHAR(29),"")</f>
        <v/>
      </c>
    </row>
    <row r="406">
      <c r="A406" s="7" t="n"/>
      <c r="B406" s="8">
        <f>IFERROR(MID(H406,FIND("01",H406)+2,14),"")</f>
        <v/>
      </c>
      <c r="C406" s="7">
        <f>IF(A406="","",IFERROR(VLOOKUP(B406,TblArticles,2,FALSE),"GTIN inconnu"))</f>
        <v/>
      </c>
      <c r="D406" s="8">
        <f>IF(A406="","",IFERROR(VLOOKUP(B406,TblArticles,3,FALSE),""))</f>
        <v/>
      </c>
      <c r="E406" s="9">
        <f>IFERROR(DATE(2000+VALUE(MID(H406,FIND("15",H406,FIND("01",H406)+16)+2,2)),VALUE(MID(H406,FIND("15",H406,FIND("01",H406)+16)+4,2)),VALUE(MID(H406,FIND("15",H406,FIND("01",H406)+16)+6,2))),"")</f>
        <v/>
      </c>
      <c r="F406" s="8">
        <f>IFERROR(MID(H406,FIND("10",H406,FIND("15",H406,FIND("01",H406)+16)+8)+2,50),"")</f>
        <v/>
      </c>
      <c r="G406" s="8" t="n"/>
      <c r="H406" s="8">
        <f>SUBSTITUTE(SUBSTITUTE(SUBSTITUTE(SUBSTITUTE(A406,"(",""),")","")," ",""),CHAR(29),"")</f>
        <v/>
      </c>
    </row>
    <row r="407">
      <c r="A407" s="4" t="n"/>
      <c r="B407" s="5">
        <f>IFERROR(MID(H407,FIND("01",H407)+2,14),"")</f>
        <v/>
      </c>
      <c r="C407" s="4">
        <f>IF(A407="","",IFERROR(VLOOKUP(B407,TblArticles,2,FALSE),"GTIN inconnu"))</f>
        <v/>
      </c>
      <c r="D407" s="5">
        <f>IF(A407="","",IFERROR(VLOOKUP(B407,TblArticles,3,FALSE),""))</f>
        <v/>
      </c>
      <c r="E407" s="6">
        <f>IFERROR(DATE(2000+VALUE(MID(H407,FIND("15",H407,FIND("01",H407)+16)+2,2)),VALUE(MID(H407,FIND("15",H407,FIND("01",H407)+16)+4,2)),VALUE(MID(H407,FIND("15",H407,FIND("01",H407)+16)+6,2))),"")</f>
        <v/>
      </c>
      <c r="F407" s="5">
        <f>IFERROR(MID(H407,FIND("10",H407,FIND("15",H407,FIND("01",H407)+16)+8)+2,50),"")</f>
        <v/>
      </c>
      <c r="G407" s="5" t="n"/>
      <c r="H407" s="5">
        <f>SUBSTITUTE(SUBSTITUTE(SUBSTITUTE(SUBSTITUTE(A407,"(",""),")","")," ",""),CHAR(29),"")</f>
        <v/>
      </c>
    </row>
    <row r="408">
      <c r="A408" s="7" t="n"/>
      <c r="B408" s="8">
        <f>IFERROR(MID(H408,FIND("01",H408)+2,14),"")</f>
        <v/>
      </c>
      <c r="C408" s="7">
        <f>IF(A408="","",IFERROR(VLOOKUP(B408,TblArticles,2,FALSE),"GTIN inconnu"))</f>
        <v/>
      </c>
      <c r="D408" s="8">
        <f>IF(A408="","",IFERROR(VLOOKUP(B408,TblArticles,3,FALSE),""))</f>
        <v/>
      </c>
      <c r="E408" s="9">
        <f>IFERROR(DATE(2000+VALUE(MID(H408,FIND("15",H408,FIND("01",H408)+16)+2,2)),VALUE(MID(H408,FIND("15",H408,FIND("01",H408)+16)+4,2)),VALUE(MID(H408,FIND("15",H408,FIND("01",H408)+16)+6,2))),"")</f>
        <v/>
      </c>
      <c r="F408" s="8">
        <f>IFERROR(MID(H408,FIND("10",H408,FIND("15",H408,FIND("01",H408)+16)+8)+2,50),"")</f>
        <v/>
      </c>
      <c r="G408" s="8" t="n"/>
      <c r="H408" s="8">
        <f>SUBSTITUTE(SUBSTITUTE(SUBSTITUTE(SUBSTITUTE(A408,"(",""),")","")," ",""),CHAR(29),"")</f>
        <v/>
      </c>
    </row>
    <row r="409">
      <c r="A409" s="4" t="n"/>
      <c r="B409" s="5">
        <f>IFERROR(MID(H409,FIND("01",H409)+2,14),"")</f>
        <v/>
      </c>
      <c r="C409" s="4">
        <f>IF(A409="","",IFERROR(VLOOKUP(B409,TblArticles,2,FALSE),"GTIN inconnu"))</f>
        <v/>
      </c>
      <c r="D409" s="5">
        <f>IF(A409="","",IFERROR(VLOOKUP(B409,TblArticles,3,FALSE),""))</f>
        <v/>
      </c>
      <c r="E409" s="6">
        <f>IFERROR(DATE(2000+VALUE(MID(H409,FIND("15",H409,FIND("01",H409)+16)+2,2)),VALUE(MID(H409,FIND("15",H409,FIND("01",H409)+16)+4,2)),VALUE(MID(H409,FIND("15",H409,FIND("01",H409)+16)+6,2))),"")</f>
        <v/>
      </c>
      <c r="F409" s="5">
        <f>IFERROR(MID(H409,FIND("10",H409,FIND("15",H409,FIND("01",H409)+16)+8)+2,50),"")</f>
        <v/>
      </c>
      <c r="G409" s="5" t="n"/>
      <c r="H409" s="5">
        <f>SUBSTITUTE(SUBSTITUTE(SUBSTITUTE(SUBSTITUTE(A409,"(",""),")","")," ",""),CHAR(29),"")</f>
        <v/>
      </c>
    </row>
    <row r="410">
      <c r="A410" s="7" t="n"/>
      <c r="B410" s="8">
        <f>IFERROR(MID(H410,FIND("01",H410)+2,14),"")</f>
        <v/>
      </c>
      <c r="C410" s="7">
        <f>IF(A410="","",IFERROR(VLOOKUP(B410,TblArticles,2,FALSE),"GTIN inconnu"))</f>
        <v/>
      </c>
      <c r="D410" s="8">
        <f>IF(A410="","",IFERROR(VLOOKUP(B410,TblArticles,3,FALSE),""))</f>
        <v/>
      </c>
      <c r="E410" s="9">
        <f>IFERROR(DATE(2000+VALUE(MID(H410,FIND("15",H410,FIND("01",H410)+16)+2,2)),VALUE(MID(H410,FIND("15",H410,FIND("01",H410)+16)+4,2)),VALUE(MID(H410,FIND("15",H410,FIND("01",H410)+16)+6,2))),"")</f>
        <v/>
      </c>
      <c r="F410" s="8">
        <f>IFERROR(MID(H410,FIND("10",H410,FIND("15",H410,FIND("01",H410)+16)+8)+2,50),"")</f>
        <v/>
      </c>
      <c r="G410" s="8" t="n"/>
      <c r="H410" s="8">
        <f>SUBSTITUTE(SUBSTITUTE(SUBSTITUTE(SUBSTITUTE(A410,"(",""),")","")," ",""),CHAR(29),"")</f>
        <v/>
      </c>
    </row>
    <row r="411">
      <c r="A411" s="4" t="n"/>
      <c r="B411" s="5">
        <f>IFERROR(MID(H411,FIND("01",H411)+2,14),"")</f>
        <v/>
      </c>
      <c r="C411" s="4">
        <f>IF(A411="","",IFERROR(VLOOKUP(B411,TblArticles,2,FALSE),"GTIN inconnu"))</f>
        <v/>
      </c>
      <c r="D411" s="5">
        <f>IF(A411="","",IFERROR(VLOOKUP(B411,TblArticles,3,FALSE),""))</f>
        <v/>
      </c>
      <c r="E411" s="6">
        <f>IFERROR(DATE(2000+VALUE(MID(H411,FIND("15",H411,FIND("01",H411)+16)+2,2)),VALUE(MID(H411,FIND("15",H411,FIND("01",H411)+16)+4,2)),VALUE(MID(H411,FIND("15",H411,FIND("01",H411)+16)+6,2))),"")</f>
        <v/>
      </c>
      <c r="F411" s="5">
        <f>IFERROR(MID(H411,FIND("10",H411,FIND("15",H411,FIND("01",H411)+16)+8)+2,50),"")</f>
        <v/>
      </c>
      <c r="G411" s="5" t="n"/>
      <c r="H411" s="5">
        <f>SUBSTITUTE(SUBSTITUTE(SUBSTITUTE(SUBSTITUTE(A411,"(",""),")","")," ",""),CHAR(29),"")</f>
        <v/>
      </c>
    </row>
    <row r="412">
      <c r="A412" s="7" t="n"/>
      <c r="B412" s="8">
        <f>IFERROR(MID(H412,FIND("01",H412)+2,14),"")</f>
        <v/>
      </c>
      <c r="C412" s="7">
        <f>IF(A412="","",IFERROR(VLOOKUP(B412,TblArticles,2,FALSE),"GTIN inconnu"))</f>
        <v/>
      </c>
      <c r="D412" s="8">
        <f>IF(A412="","",IFERROR(VLOOKUP(B412,TblArticles,3,FALSE),""))</f>
        <v/>
      </c>
      <c r="E412" s="9">
        <f>IFERROR(DATE(2000+VALUE(MID(H412,FIND("15",H412,FIND("01",H412)+16)+2,2)),VALUE(MID(H412,FIND("15",H412,FIND("01",H412)+16)+4,2)),VALUE(MID(H412,FIND("15",H412,FIND("01",H412)+16)+6,2))),"")</f>
        <v/>
      </c>
      <c r="F412" s="8">
        <f>IFERROR(MID(H412,FIND("10",H412,FIND("15",H412,FIND("01",H412)+16)+8)+2,50),"")</f>
        <v/>
      </c>
      <c r="G412" s="8" t="n"/>
      <c r="H412" s="8">
        <f>SUBSTITUTE(SUBSTITUTE(SUBSTITUTE(SUBSTITUTE(A412,"(",""),")","")," ",""),CHAR(29),"")</f>
        <v/>
      </c>
    </row>
    <row r="413">
      <c r="A413" s="4" t="n"/>
      <c r="B413" s="5">
        <f>IFERROR(MID(H413,FIND("01",H413)+2,14),"")</f>
        <v/>
      </c>
      <c r="C413" s="4">
        <f>IF(A413="","",IFERROR(VLOOKUP(B413,TblArticles,2,FALSE),"GTIN inconnu"))</f>
        <v/>
      </c>
      <c r="D413" s="5">
        <f>IF(A413="","",IFERROR(VLOOKUP(B413,TblArticles,3,FALSE),""))</f>
        <v/>
      </c>
      <c r="E413" s="6">
        <f>IFERROR(DATE(2000+VALUE(MID(H413,FIND("15",H413,FIND("01",H413)+16)+2,2)),VALUE(MID(H413,FIND("15",H413,FIND("01",H413)+16)+4,2)),VALUE(MID(H413,FIND("15",H413,FIND("01",H413)+16)+6,2))),"")</f>
        <v/>
      </c>
      <c r="F413" s="5">
        <f>IFERROR(MID(H413,FIND("10",H413,FIND("15",H413,FIND("01",H413)+16)+8)+2,50),"")</f>
        <v/>
      </c>
      <c r="G413" s="5" t="n"/>
      <c r="H413" s="5">
        <f>SUBSTITUTE(SUBSTITUTE(SUBSTITUTE(SUBSTITUTE(A413,"(",""),")","")," ",""),CHAR(29),"")</f>
        <v/>
      </c>
    </row>
    <row r="414">
      <c r="A414" s="7" t="n"/>
      <c r="B414" s="8">
        <f>IFERROR(MID(H414,FIND("01",H414)+2,14),"")</f>
        <v/>
      </c>
      <c r="C414" s="7">
        <f>IF(A414="","",IFERROR(VLOOKUP(B414,TblArticles,2,FALSE),"GTIN inconnu"))</f>
        <v/>
      </c>
      <c r="D414" s="8">
        <f>IF(A414="","",IFERROR(VLOOKUP(B414,TblArticles,3,FALSE),""))</f>
        <v/>
      </c>
      <c r="E414" s="9">
        <f>IFERROR(DATE(2000+VALUE(MID(H414,FIND("15",H414,FIND("01",H414)+16)+2,2)),VALUE(MID(H414,FIND("15",H414,FIND("01",H414)+16)+4,2)),VALUE(MID(H414,FIND("15",H414,FIND("01",H414)+16)+6,2))),"")</f>
        <v/>
      </c>
      <c r="F414" s="8">
        <f>IFERROR(MID(H414,FIND("10",H414,FIND("15",H414,FIND("01",H414)+16)+8)+2,50),"")</f>
        <v/>
      </c>
      <c r="G414" s="8" t="n"/>
      <c r="H414" s="8">
        <f>SUBSTITUTE(SUBSTITUTE(SUBSTITUTE(SUBSTITUTE(A414,"(",""),")","")," ",""),CHAR(29),"")</f>
        <v/>
      </c>
    </row>
    <row r="415">
      <c r="A415" s="4" t="n"/>
      <c r="B415" s="5">
        <f>IFERROR(MID(H415,FIND("01",H415)+2,14),"")</f>
        <v/>
      </c>
      <c r="C415" s="4">
        <f>IF(A415="","",IFERROR(VLOOKUP(B415,TblArticles,2,FALSE),"GTIN inconnu"))</f>
        <v/>
      </c>
      <c r="D415" s="5">
        <f>IF(A415="","",IFERROR(VLOOKUP(B415,TblArticles,3,FALSE),""))</f>
        <v/>
      </c>
      <c r="E415" s="6">
        <f>IFERROR(DATE(2000+VALUE(MID(H415,FIND("15",H415,FIND("01",H415)+16)+2,2)),VALUE(MID(H415,FIND("15",H415,FIND("01",H415)+16)+4,2)),VALUE(MID(H415,FIND("15",H415,FIND("01",H415)+16)+6,2))),"")</f>
        <v/>
      </c>
      <c r="F415" s="5">
        <f>IFERROR(MID(H415,FIND("10",H415,FIND("15",H415,FIND("01",H415)+16)+8)+2,50),"")</f>
        <v/>
      </c>
      <c r="G415" s="5" t="n"/>
      <c r="H415" s="5">
        <f>SUBSTITUTE(SUBSTITUTE(SUBSTITUTE(SUBSTITUTE(A415,"(",""),")","")," ",""),CHAR(29),"")</f>
        <v/>
      </c>
    </row>
    <row r="416">
      <c r="A416" s="7" t="n"/>
      <c r="B416" s="8">
        <f>IFERROR(MID(H416,FIND("01",H416)+2,14),"")</f>
        <v/>
      </c>
      <c r="C416" s="7">
        <f>IF(A416="","",IFERROR(VLOOKUP(B416,TblArticles,2,FALSE),"GTIN inconnu"))</f>
        <v/>
      </c>
      <c r="D416" s="8">
        <f>IF(A416="","",IFERROR(VLOOKUP(B416,TblArticles,3,FALSE),""))</f>
        <v/>
      </c>
      <c r="E416" s="9">
        <f>IFERROR(DATE(2000+VALUE(MID(H416,FIND("15",H416,FIND("01",H416)+16)+2,2)),VALUE(MID(H416,FIND("15",H416,FIND("01",H416)+16)+4,2)),VALUE(MID(H416,FIND("15",H416,FIND("01",H416)+16)+6,2))),"")</f>
        <v/>
      </c>
      <c r="F416" s="8">
        <f>IFERROR(MID(H416,FIND("10",H416,FIND("15",H416,FIND("01",H416)+16)+8)+2,50),"")</f>
        <v/>
      </c>
      <c r="G416" s="8" t="n"/>
      <c r="H416" s="8">
        <f>SUBSTITUTE(SUBSTITUTE(SUBSTITUTE(SUBSTITUTE(A416,"(",""),")","")," ",""),CHAR(29),"")</f>
        <v/>
      </c>
    </row>
    <row r="417">
      <c r="A417" s="4" t="n"/>
      <c r="B417" s="5">
        <f>IFERROR(MID(H417,FIND("01",H417)+2,14),"")</f>
        <v/>
      </c>
      <c r="C417" s="4">
        <f>IF(A417="","",IFERROR(VLOOKUP(B417,TblArticles,2,FALSE),"GTIN inconnu"))</f>
        <v/>
      </c>
      <c r="D417" s="5">
        <f>IF(A417="","",IFERROR(VLOOKUP(B417,TblArticles,3,FALSE),""))</f>
        <v/>
      </c>
      <c r="E417" s="6">
        <f>IFERROR(DATE(2000+VALUE(MID(H417,FIND("15",H417,FIND("01",H417)+16)+2,2)),VALUE(MID(H417,FIND("15",H417,FIND("01",H417)+16)+4,2)),VALUE(MID(H417,FIND("15",H417,FIND("01",H417)+16)+6,2))),"")</f>
        <v/>
      </c>
      <c r="F417" s="5">
        <f>IFERROR(MID(H417,FIND("10",H417,FIND("15",H417,FIND("01",H417)+16)+8)+2,50),"")</f>
        <v/>
      </c>
      <c r="G417" s="5" t="n"/>
      <c r="H417" s="5">
        <f>SUBSTITUTE(SUBSTITUTE(SUBSTITUTE(SUBSTITUTE(A417,"(",""),")","")," ",""),CHAR(29),"")</f>
        <v/>
      </c>
    </row>
    <row r="418">
      <c r="A418" s="7" t="n"/>
      <c r="B418" s="8">
        <f>IFERROR(MID(H418,FIND("01",H418)+2,14),"")</f>
        <v/>
      </c>
      <c r="C418" s="7">
        <f>IF(A418="","",IFERROR(VLOOKUP(B418,TblArticles,2,FALSE),"GTIN inconnu"))</f>
        <v/>
      </c>
      <c r="D418" s="8">
        <f>IF(A418="","",IFERROR(VLOOKUP(B418,TblArticles,3,FALSE),""))</f>
        <v/>
      </c>
      <c r="E418" s="9">
        <f>IFERROR(DATE(2000+VALUE(MID(H418,FIND("15",H418,FIND("01",H418)+16)+2,2)),VALUE(MID(H418,FIND("15",H418,FIND("01",H418)+16)+4,2)),VALUE(MID(H418,FIND("15",H418,FIND("01",H418)+16)+6,2))),"")</f>
        <v/>
      </c>
      <c r="F418" s="8">
        <f>IFERROR(MID(H418,FIND("10",H418,FIND("15",H418,FIND("01",H418)+16)+8)+2,50),"")</f>
        <v/>
      </c>
      <c r="G418" s="8" t="n"/>
      <c r="H418" s="8">
        <f>SUBSTITUTE(SUBSTITUTE(SUBSTITUTE(SUBSTITUTE(A418,"(",""),")","")," ",""),CHAR(29),"")</f>
        <v/>
      </c>
    </row>
    <row r="419">
      <c r="A419" s="4" t="n"/>
      <c r="B419" s="5">
        <f>IFERROR(MID(H419,FIND("01",H419)+2,14),"")</f>
        <v/>
      </c>
      <c r="C419" s="4">
        <f>IF(A419="","",IFERROR(VLOOKUP(B419,TblArticles,2,FALSE),"GTIN inconnu"))</f>
        <v/>
      </c>
      <c r="D419" s="5">
        <f>IF(A419="","",IFERROR(VLOOKUP(B419,TblArticles,3,FALSE),""))</f>
        <v/>
      </c>
      <c r="E419" s="6">
        <f>IFERROR(DATE(2000+VALUE(MID(H419,FIND("15",H419,FIND("01",H419)+16)+2,2)),VALUE(MID(H419,FIND("15",H419,FIND("01",H419)+16)+4,2)),VALUE(MID(H419,FIND("15",H419,FIND("01",H419)+16)+6,2))),"")</f>
        <v/>
      </c>
      <c r="F419" s="5">
        <f>IFERROR(MID(H419,FIND("10",H419,FIND("15",H419,FIND("01",H419)+16)+8)+2,50),"")</f>
        <v/>
      </c>
      <c r="G419" s="5" t="n"/>
      <c r="H419" s="5">
        <f>SUBSTITUTE(SUBSTITUTE(SUBSTITUTE(SUBSTITUTE(A419,"(",""),")","")," ",""),CHAR(29),"")</f>
        <v/>
      </c>
    </row>
    <row r="420">
      <c r="A420" s="7" t="n"/>
      <c r="B420" s="8">
        <f>IFERROR(MID(H420,FIND("01",H420)+2,14),"")</f>
        <v/>
      </c>
      <c r="C420" s="7">
        <f>IF(A420="","",IFERROR(VLOOKUP(B420,TblArticles,2,FALSE),"GTIN inconnu"))</f>
        <v/>
      </c>
      <c r="D420" s="8">
        <f>IF(A420="","",IFERROR(VLOOKUP(B420,TblArticles,3,FALSE),""))</f>
        <v/>
      </c>
      <c r="E420" s="9">
        <f>IFERROR(DATE(2000+VALUE(MID(H420,FIND("15",H420,FIND("01",H420)+16)+2,2)),VALUE(MID(H420,FIND("15",H420,FIND("01",H420)+16)+4,2)),VALUE(MID(H420,FIND("15",H420,FIND("01",H420)+16)+6,2))),"")</f>
        <v/>
      </c>
      <c r="F420" s="8">
        <f>IFERROR(MID(H420,FIND("10",H420,FIND("15",H420,FIND("01",H420)+16)+8)+2,50),"")</f>
        <v/>
      </c>
      <c r="G420" s="8" t="n"/>
      <c r="H420" s="8">
        <f>SUBSTITUTE(SUBSTITUTE(SUBSTITUTE(SUBSTITUTE(A420,"(",""),")","")," ",""),CHAR(29),"")</f>
        <v/>
      </c>
    </row>
    <row r="421">
      <c r="A421" s="4" t="n"/>
      <c r="B421" s="5">
        <f>IFERROR(MID(H421,FIND("01",H421)+2,14),"")</f>
        <v/>
      </c>
      <c r="C421" s="4">
        <f>IF(A421="","",IFERROR(VLOOKUP(B421,TblArticles,2,FALSE),"GTIN inconnu"))</f>
        <v/>
      </c>
      <c r="D421" s="5">
        <f>IF(A421="","",IFERROR(VLOOKUP(B421,TblArticles,3,FALSE),""))</f>
        <v/>
      </c>
      <c r="E421" s="6">
        <f>IFERROR(DATE(2000+VALUE(MID(H421,FIND("15",H421,FIND("01",H421)+16)+2,2)),VALUE(MID(H421,FIND("15",H421,FIND("01",H421)+16)+4,2)),VALUE(MID(H421,FIND("15",H421,FIND("01",H421)+16)+6,2))),"")</f>
        <v/>
      </c>
      <c r="F421" s="5">
        <f>IFERROR(MID(H421,FIND("10",H421,FIND("15",H421,FIND("01",H421)+16)+8)+2,50),"")</f>
        <v/>
      </c>
      <c r="G421" s="5" t="n"/>
      <c r="H421" s="5">
        <f>SUBSTITUTE(SUBSTITUTE(SUBSTITUTE(SUBSTITUTE(A421,"(",""),")","")," ",""),CHAR(29),"")</f>
        <v/>
      </c>
    </row>
    <row r="422">
      <c r="A422" s="7" t="n"/>
      <c r="B422" s="8">
        <f>IFERROR(MID(H422,FIND("01",H422)+2,14),"")</f>
        <v/>
      </c>
      <c r="C422" s="7">
        <f>IF(A422="","",IFERROR(VLOOKUP(B422,TblArticles,2,FALSE),"GTIN inconnu"))</f>
        <v/>
      </c>
      <c r="D422" s="8">
        <f>IF(A422="","",IFERROR(VLOOKUP(B422,TblArticles,3,FALSE),""))</f>
        <v/>
      </c>
      <c r="E422" s="9">
        <f>IFERROR(DATE(2000+VALUE(MID(H422,FIND("15",H422,FIND("01",H422)+16)+2,2)),VALUE(MID(H422,FIND("15",H422,FIND("01",H422)+16)+4,2)),VALUE(MID(H422,FIND("15",H422,FIND("01",H422)+16)+6,2))),"")</f>
        <v/>
      </c>
      <c r="F422" s="8">
        <f>IFERROR(MID(H422,FIND("10",H422,FIND("15",H422,FIND("01",H422)+16)+8)+2,50),"")</f>
        <v/>
      </c>
      <c r="G422" s="8" t="n"/>
      <c r="H422" s="8">
        <f>SUBSTITUTE(SUBSTITUTE(SUBSTITUTE(SUBSTITUTE(A422,"(",""),")","")," ",""),CHAR(29),"")</f>
        <v/>
      </c>
    </row>
    <row r="423">
      <c r="A423" s="4" t="n"/>
      <c r="B423" s="5">
        <f>IFERROR(MID(H423,FIND("01",H423)+2,14),"")</f>
        <v/>
      </c>
      <c r="C423" s="4">
        <f>IF(A423="","",IFERROR(VLOOKUP(B423,TblArticles,2,FALSE),"GTIN inconnu"))</f>
        <v/>
      </c>
      <c r="D423" s="5">
        <f>IF(A423="","",IFERROR(VLOOKUP(B423,TblArticles,3,FALSE),""))</f>
        <v/>
      </c>
      <c r="E423" s="6">
        <f>IFERROR(DATE(2000+VALUE(MID(H423,FIND("15",H423,FIND("01",H423)+16)+2,2)),VALUE(MID(H423,FIND("15",H423,FIND("01",H423)+16)+4,2)),VALUE(MID(H423,FIND("15",H423,FIND("01",H423)+16)+6,2))),"")</f>
        <v/>
      </c>
      <c r="F423" s="5">
        <f>IFERROR(MID(H423,FIND("10",H423,FIND("15",H423,FIND("01",H423)+16)+8)+2,50),"")</f>
        <v/>
      </c>
      <c r="G423" s="5" t="n"/>
      <c r="H423" s="5">
        <f>SUBSTITUTE(SUBSTITUTE(SUBSTITUTE(SUBSTITUTE(A423,"(",""),")","")," ",""),CHAR(29),"")</f>
        <v/>
      </c>
    </row>
    <row r="424">
      <c r="A424" s="7" t="n"/>
      <c r="B424" s="8">
        <f>IFERROR(MID(H424,FIND("01",H424)+2,14),"")</f>
        <v/>
      </c>
      <c r="C424" s="7">
        <f>IF(A424="","",IFERROR(VLOOKUP(B424,TblArticles,2,FALSE),"GTIN inconnu"))</f>
        <v/>
      </c>
      <c r="D424" s="8">
        <f>IF(A424="","",IFERROR(VLOOKUP(B424,TblArticles,3,FALSE),""))</f>
        <v/>
      </c>
      <c r="E424" s="9">
        <f>IFERROR(DATE(2000+VALUE(MID(H424,FIND("15",H424,FIND("01",H424)+16)+2,2)),VALUE(MID(H424,FIND("15",H424,FIND("01",H424)+16)+4,2)),VALUE(MID(H424,FIND("15",H424,FIND("01",H424)+16)+6,2))),"")</f>
        <v/>
      </c>
      <c r="F424" s="8">
        <f>IFERROR(MID(H424,FIND("10",H424,FIND("15",H424,FIND("01",H424)+16)+8)+2,50),"")</f>
        <v/>
      </c>
      <c r="G424" s="8" t="n"/>
      <c r="H424" s="8">
        <f>SUBSTITUTE(SUBSTITUTE(SUBSTITUTE(SUBSTITUTE(A424,"(",""),")","")," ",""),CHAR(29),"")</f>
        <v/>
      </c>
    </row>
    <row r="425">
      <c r="A425" s="4" t="n"/>
      <c r="B425" s="5">
        <f>IFERROR(MID(H425,FIND("01",H425)+2,14),"")</f>
        <v/>
      </c>
      <c r="C425" s="4">
        <f>IF(A425="","",IFERROR(VLOOKUP(B425,TblArticles,2,FALSE),"GTIN inconnu"))</f>
        <v/>
      </c>
      <c r="D425" s="5">
        <f>IF(A425="","",IFERROR(VLOOKUP(B425,TblArticles,3,FALSE),""))</f>
        <v/>
      </c>
      <c r="E425" s="6">
        <f>IFERROR(DATE(2000+VALUE(MID(H425,FIND("15",H425,FIND("01",H425)+16)+2,2)),VALUE(MID(H425,FIND("15",H425,FIND("01",H425)+16)+4,2)),VALUE(MID(H425,FIND("15",H425,FIND("01",H425)+16)+6,2))),"")</f>
        <v/>
      </c>
      <c r="F425" s="5">
        <f>IFERROR(MID(H425,FIND("10",H425,FIND("15",H425,FIND("01",H425)+16)+8)+2,50),"")</f>
        <v/>
      </c>
      <c r="G425" s="5" t="n"/>
      <c r="H425" s="5">
        <f>SUBSTITUTE(SUBSTITUTE(SUBSTITUTE(SUBSTITUTE(A425,"(",""),")","")," ",""),CHAR(29),"")</f>
        <v/>
      </c>
    </row>
    <row r="426">
      <c r="A426" s="7" t="n"/>
      <c r="B426" s="8">
        <f>IFERROR(MID(H426,FIND("01",H426)+2,14),"")</f>
        <v/>
      </c>
      <c r="C426" s="7">
        <f>IF(A426="","",IFERROR(VLOOKUP(B426,TblArticles,2,FALSE),"GTIN inconnu"))</f>
        <v/>
      </c>
      <c r="D426" s="8">
        <f>IF(A426="","",IFERROR(VLOOKUP(B426,TblArticles,3,FALSE),""))</f>
        <v/>
      </c>
      <c r="E426" s="9">
        <f>IFERROR(DATE(2000+VALUE(MID(H426,FIND("15",H426,FIND("01",H426)+16)+2,2)),VALUE(MID(H426,FIND("15",H426,FIND("01",H426)+16)+4,2)),VALUE(MID(H426,FIND("15",H426,FIND("01",H426)+16)+6,2))),"")</f>
        <v/>
      </c>
      <c r="F426" s="8">
        <f>IFERROR(MID(H426,FIND("10",H426,FIND("15",H426,FIND("01",H426)+16)+8)+2,50),"")</f>
        <v/>
      </c>
      <c r="G426" s="8" t="n"/>
      <c r="H426" s="8">
        <f>SUBSTITUTE(SUBSTITUTE(SUBSTITUTE(SUBSTITUTE(A426,"(",""),")","")," ",""),CHAR(29),"")</f>
        <v/>
      </c>
    </row>
    <row r="427">
      <c r="A427" s="4" t="n"/>
      <c r="B427" s="5">
        <f>IFERROR(MID(H427,FIND("01",H427)+2,14),"")</f>
        <v/>
      </c>
      <c r="C427" s="4">
        <f>IF(A427="","",IFERROR(VLOOKUP(B427,TblArticles,2,FALSE),"GTIN inconnu"))</f>
        <v/>
      </c>
      <c r="D427" s="5">
        <f>IF(A427="","",IFERROR(VLOOKUP(B427,TblArticles,3,FALSE),""))</f>
        <v/>
      </c>
      <c r="E427" s="6">
        <f>IFERROR(DATE(2000+VALUE(MID(H427,FIND("15",H427,FIND("01",H427)+16)+2,2)),VALUE(MID(H427,FIND("15",H427,FIND("01",H427)+16)+4,2)),VALUE(MID(H427,FIND("15",H427,FIND("01",H427)+16)+6,2))),"")</f>
        <v/>
      </c>
      <c r="F427" s="5">
        <f>IFERROR(MID(H427,FIND("10",H427,FIND("15",H427,FIND("01",H427)+16)+8)+2,50),"")</f>
        <v/>
      </c>
      <c r="G427" s="5" t="n"/>
      <c r="H427" s="5">
        <f>SUBSTITUTE(SUBSTITUTE(SUBSTITUTE(SUBSTITUTE(A427,"(",""),")","")," ",""),CHAR(29),"")</f>
        <v/>
      </c>
    </row>
    <row r="428">
      <c r="A428" s="7" t="n"/>
      <c r="B428" s="8">
        <f>IFERROR(MID(H428,FIND("01",H428)+2,14),"")</f>
        <v/>
      </c>
      <c r="C428" s="7">
        <f>IF(A428="","",IFERROR(VLOOKUP(B428,TblArticles,2,FALSE),"GTIN inconnu"))</f>
        <v/>
      </c>
      <c r="D428" s="8">
        <f>IF(A428="","",IFERROR(VLOOKUP(B428,TblArticles,3,FALSE),""))</f>
        <v/>
      </c>
      <c r="E428" s="9">
        <f>IFERROR(DATE(2000+VALUE(MID(H428,FIND("15",H428,FIND("01",H428)+16)+2,2)),VALUE(MID(H428,FIND("15",H428,FIND("01",H428)+16)+4,2)),VALUE(MID(H428,FIND("15",H428,FIND("01",H428)+16)+6,2))),"")</f>
        <v/>
      </c>
      <c r="F428" s="8">
        <f>IFERROR(MID(H428,FIND("10",H428,FIND("15",H428,FIND("01",H428)+16)+8)+2,50),"")</f>
        <v/>
      </c>
      <c r="G428" s="8" t="n"/>
      <c r="H428" s="8">
        <f>SUBSTITUTE(SUBSTITUTE(SUBSTITUTE(SUBSTITUTE(A428,"(",""),")","")," ",""),CHAR(29),"")</f>
        <v/>
      </c>
    </row>
    <row r="429">
      <c r="A429" s="4" t="n"/>
      <c r="B429" s="5">
        <f>IFERROR(MID(H429,FIND("01",H429)+2,14),"")</f>
        <v/>
      </c>
      <c r="C429" s="4">
        <f>IF(A429="","",IFERROR(VLOOKUP(B429,TblArticles,2,FALSE),"GTIN inconnu"))</f>
        <v/>
      </c>
      <c r="D429" s="5">
        <f>IF(A429="","",IFERROR(VLOOKUP(B429,TblArticles,3,FALSE),""))</f>
        <v/>
      </c>
      <c r="E429" s="6">
        <f>IFERROR(DATE(2000+VALUE(MID(H429,FIND("15",H429,FIND("01",H429)+16)+2,2)),VALUE(MID(H429,FIND("15",H429,FIND("01",H429)+16)+4,2)),VALUE(MID(H429,FIND("15",H429,FIND("01",H429)+16)+6,2))),"")</f>
        <v/>
      </c>
      <c r="F429" s="5">
        <f>IFERROR(MID(H429,FIND("10",H429,FIND("15",H429,FIND("01",H429)+16)+8)+2,50),"")</f>
        <v/>
      </c>
      <c r="G429" s="5" t="n"/>
      <c r="H429" s="5">
        <f>SUBSTITUTE(SUBSTITUTE(SUBSTITUTE(SUBSTITUTE(A429,"(",""),")","")," ",""),CHAR(29),"")</f>
        <v/>
      </c>
    </row>
    <row r="430">
      <c r="A430" s="7" t="n"/>
      <c r="B430" s="8">
        <f>IFERROR(MID(H430,FIND("01",H430)+2,14),"")</f>
        <v/>
      </c>
      <c r="C430" s="7">
        <f>IF(A430="","",IFERROR(VLOOKUP(B430,TblArticles,2,FALSE),"GTIN inconnu"))</f>
        <v/>
      </c>
      <c r="D430" s="8">
        <f>IF(A430="","",IFERROR(VLOOKUP(B430,TblArticles,3,FALSE),""))</f>
        <v/>
      </c>
      <c r="E430" s="9">
        <f>IFERROR(DATE(2000+VALUE(MID(H430,FIND("15",H430,FIND("01",H430)+16)+2,2)),VALUE(MID(H430,FIND("15",H430,FIND("01",H430)+16)+4,2)),VALUE(MID(H430,FIND("15",H430,FIND("01",H430)+16)+6,2))),"")</f>
        <v/>
      </c>
      <c r="F430" s="8">
        <f>IFERROR(MID(H430,FIND("10",H430,FIND("15",H430,FIND("01",H430)+16)+8)+2,50),"")</f>
        <v/>
      </c>
      <c r="G430" s="8" t="n"/>
      <c r="H430" s="8">
        <f>SUBSTITUTE(SUBSTITUTE(SUBSTITUTE(SUBSTITUTE(A430,"(",""),")","")," ",""),CHAR(29),"")</f>
        <v/>
      </c>
    </row>
    <row r="431">
      <c r="A431" s="4" t="n"/>
      <c r="B431" s="5">
        <f>IFERROR(MID(H431,FIND("01",H431)+2,14),"")</f>
        <v/>
      </c>
      <c r="C431" s="4">
        <f>IF(A431="","",IFERROR(VLOOKUP(B431,TblArticles,2,FALSE),"GTIN inconnu"))</f>
        <v/>
      </c>
      <c r="D431" s="5">
        <f>IF(A431="","",IFERROR(VLOOKUP(B431,TblArticles,3,FALSE),""))</f>
        <v/>
      </c>
      <c r="E431" s="6">
        <f>IFERROR(DATE(2000+VALUE(MID(H431,FIND("15",H431,FIND("01",H431)+16)+2,2)),VALUE(MID(H431,FIND("15",H431,FIND("01",H431)+16)+4,2)),VALUE(MID(H431,FIND("15",H431,FIND("01",H431)+16)+6,2))),"")</f>
        <v/>
      </c>
      <c r="F431" s="5">
        <f>IFERROR(MID(H431,FIND("10",H431,FIND("15",H431,FIND("01",H431)+16)+8)+2,50),"")</f>
        <v/>
      </c>
      <c r="G431" s="5" t="n"/>
      <c r="H431" s="5">
        <f>SUBSTITUTE(SUBSTITUTE(SUBSTITUTE(SUBSTITUTE(A431,"(",""),")","")," ",""),CHAR(29),"")</f>
        <v/>
      </c>
    </row>
    <row r="432">
      <c r="A432" s="7" t="n"/>
      <c r="B432" s="8">
        <f>IFERROR(MID(H432,FIND("01",H432)+2,14),"")</f>
        <v/>
      </c>
      <c r="C432" s="7">
        <f>IF(A432="","",IFERROR(VLOOKUP(B432,TblArticles,2,FALSE),"GTIN inconnu"))</f>
        <v/>
      </c>
      <c r="D432" s="8">
        <f>IF(A432="","",IFERROR(VLOOKUP(B432,TblArticles,3,FALSE),""))</f>
        <v/>
      </c>
      <c r="E432" s="9">
        <f>IFERROR(DATE(2000+VALUE(MID(H432,FIND("15",H432,FIND("01",H432)+16)+2,2)),VALUE(MID(H432,FIND("15",H432,FIND("01",H432)+16)+4,2)),VALUE(MID(H432,FIND("15",H432,FIND("01",H432)+16)+6,2))),"")</f>
        <v/>
      </c>
      <c r="F432" s="8">
        <f>IFERROR(MID(H432,FIND("10",H432,FIND("15",H432,FIND("01",H432)+16)+8)+2,50),"")</f>
        <v/>
      </c>
      <c r="G432" s="8" t="n"/>
      <c r="H432" s="8">
        <f>SUBSTITUTE(SUBSTITUTE(SUBSTITUTE(SUBSTITUTE(A432,"(",""),")","")," ",""),CHAR(29),"")</f>
        <v/>
      </c>
    </row>
    <row r="433">
      <c r="A433" s="4" t="n"/>
      <c r="B433" s="5">
        <f>IFERROR(MID(H433,FIND("01",H433)+2,14),"")</f>
        <v/>
      </c>
      <c r="C433" s="4">
        <f>IF(A433="","",IFERROR(VLOOKUP(B433,TblArticles,2,FALSE),"GTIN inconnu"))</f>
        <v/>
      </c>
      <c r="D433" s="5">
        <f>IF(A433="","",IFERROR(VLOOKUP(B433,TblArticles,3,FALSE),""))</f>
        <v/>
      </c>
      <c r="E433" s="6">
        <f>IFERROR(DATE(2000+VALUE(MID(H433,FIND("15",H433,FIND("01",H433)+16)+2,2)),VALUE(MID(H433,FIND("15",H433,FIND("01",H433)+16)+4,2)),VALUE(MID(H433,FIND("15",H433,FIND("01",H433)+16)+6,2))),"")</f>
        <v/>
      </c>
      <c r="F433" s="5">
        <f>IFERROR(MID(H433,FIND("10",H433,FIND("15",H433,FIND("01",H433)+16)+8)+2,50),"")</f>
        <v/>
      </c>
      <c r="G433" s="5" t="n"/>
      <c r="H433" s="5">
        <f>SUBSTITUTE(SUBSTITUTE(SUBSTITUTE(SUBSTITUTE(A433,"(",""),")","")," ",""),CHAR(29),"")</f>
        <v/>
      </c>
    </row>
    <row r="434">
      <c r="A434" s="7" t="n"/>
      <c r="B434" s="8">
        <f>IFERROR(MID(H434,FIND("01",H434)+2,14),"")</f>
        <v/>
      </c>
      <c r="C434" s="7">
        <f>IF(A434="","",IFERROR(VLOOKUP(B434,TblArticles,2,FALSE),"GTIN inconnu"))</f>
        <v/>
      </c>
      <c r="D434" s="8">
        <f>IF(A434="","",IFERROR(VLOOKUP(B434,TblArticles,3,FALSE),""))</f>
        <v/>
      </c>
      <c r="E434" s="9">
        <f>IFERROR(DATE(2000+VALUE(MID(H434,FIND("15",H434,FIND("01",H434)+16)+2,2)),VALUE(MID(H434,FIND("15",H434,FIND("01",H434)+16)+4,2)),VALUE(MID(H434,FIND("15",H434,FIND("01",H434)+16)+6,2))),"")</f>
        <v/>
      </c>
      <c r="F434" s="8">
        <f>IFERROR(MID(H434,FIND("10",H434,FIND("15",H434,FIND("01",H434)+16)+8)+2,50),"")</f>
        <v/>
      </c>
      <c r="G434" s="8" t="n"/>
      <c r="H434" s="8">
        <f>SUBSTITUTE(SUBSTITUTE(SUBSTITUTE(SUBSTITUTE(A434,"(",""),")","")," ",""),CHAR(29),"")</f>
        <v/>
      </c>
    </row>
    <row r="435">
      <c r="A435" s="4" t="n"/>
      <c r="B435" s="5">
        <f>IFERROR(MID(H435,FIND("01",H435)+2,14),"")</f>
        <v/>
      </c>
      <c r="C435" s="4">
        <f>IF(A435="","",IFERROR(VLOOKUP(B435,TblArticles,2,FALSE),"GTIN inconnu"))</f>
        <v/>
      </c>
      <c r="D435" s="5">
        <f>IF(A435="","",IFERROR(VLOOKUP(B435,TblArticles,3,FALSE),""))</f>
        <v/>
      </c>
      <c r="E435" s="6">
        <f>IFERROR(DATE(2000+VALUE(MID(H435,FIND("15",H435,FIND("01",H435)+16)+2,2)),VALUE(MID(H435,FIND("15",H435,FIND("01",H435)+16)+4,2)),VALUE(MID(H435,FIND("15",H435,FIND("01",H435)+16)+6,2))),"")</f>
        <v/>
      </c>
      <c r="F435" s="5">
        <f>IFERROR(MID(H435,FIND("10",H435,FIND("15",H435,FIND("01",H435)+16)+8)+2,50),"")</f>
        <v/>
      </c>
      <c r="G435" s="5" t="n"/>
      <c r="H435" s="5">
        <f>SUBSTITUTE(SUBSTITUTE(SUBSTITUTE(SUBSTITUTE(A435,"(",""),")","")," ",""),CHAR(29),"")</f>
        <v/>
      </c>
    </row>
    <row r="436">
      <c r="A436" s="7" t="n"/>
      <c r="B436" s="8">
        <f>IFERROR(MID(H436,FIND("01",H436)+2,14),"")</f>
        <v/>
      </c>
      <c r="C436" s="7">
        <f>IF(A436="","",IFERROR(VLOOKUP(B436,TblArticles,2,FALSE),"GTIN inconnu"))</f>
        <v/>
      </c>
      <c r="D436" s="8">
        <f>IF(A436="","",IFERROR(VLOOKUP(B436,TblArticles,3,FALSE),""))</f>
        <v/>
      </c>
      <c r="E436" s="9">
        <f>IFERROR(DATE(2000+VALUE(MID(H436,FIND("15",H436,FIND("01",H436)+16)+2,2)),VALUE(MID(H436,FIND("15",H436,FIND("01",H436)+16)+4,2)),VALUE(MID(H436,FIND("15",H436,FIND("01",H436)+16)+6,2))),"")</f>
        <v/>
      </c>
      <c r="F436" s="8">
        <f>IFERROR(MID(H436,FIND("10",H436,FIND("15",H436,FIND("01",H436)+16)+8)+2,50),"")</f>
        <v/>
      </c>
      <c r="G436" s="8" t="n"/>
      <c r="H436" s="8">
        <f>SUBSTITUTE(SUBSTITUTE(SUBSTITUTE(SUBSTITUTE(A436,"(",""),")","")," ",""),CHAR(29),"")</f>
        <v/>
      </c>
    </row>
    <row r="437">
      <c r="A437" s="4" t="n"/>
      <c r="B437" s="5">
        <f>IFERROR(MID(H437,FIND("01",H437)+2,14),"")</f>
        <v/>
      </c>
      <c r="C437" s="4">
        <f>IF(A437="","",IFERROR(VLOOKUP(B437,TblArticles,2,FALSE),"GTIN inconnu"))</f>
        <v/>
      </c>
      <c r="D437" s="5">
        <f>IF(A437="","",IFERROR(VLOOKUP(B437,TblArticles,3,FALSE),""))</f>
        <v/>
      </c>
      <c r="E437" s="6">
        <f>IFERROR(DATE(2000+VALUE(MID(H437,FIND("15",H437,FIND("01",H437)+16)+2,2)),VALUE(MID(H437,FIND("15",H437,FIND("01",H437)+16)+4,2)),VALUE(MID(H437,FIND("15",H437,FIND("01",H437)+16)+6,2))),"")</f>
        <v/>
      </c>
      <c r="F437" s="5">
        <f>IFERROR(MID(H437,FIND("10",H437,FIND("15",H437,FIND("01",H437)+16)+8)+2,50),"")</f>
        <v/>
      </c>
      <c r="G437" s="5" t="n"/>
      <c r="H437" s="5">
        <f>SUBSTITUTE(SUBSTITUTE(SUBSTITUTE(SUBSTITUTE(A437,"(",""),")","")," ",""),CHAR(29),"")</f>
        <v/>
      </c>
    </row>
    <row r="438">
      <c r="A438" s="7" t="n"/>
      <c r="B438" s="8">
        <f>IFERROR(MID(H438,FIND("01",H438)+2,14),"")</f>
        <v/>
      </c>
      <c r="C438" s="7">
        <f>IF(A438="","",IFERROR(VLOOKUP(B438,TblArticles,2,FALSE),"GTIN inconnu"))</f>
        <v/>
      </c>
      <c r="D438" s="8">
        <f>IF(A438="","",IFERROR(VLOOKUP(B438,TblArticles,3,FALSE),""))</f>
        <v/>
      </c>
      <c r="E438" s="9">
        <f>IFERROR(DATE(2000+VALUE(MID(H438,FIND("15",H438,FIND("01",H438)+16)+2,2)),VALUE(MID(H438,FIND("15",H438,FIND("01",H438)+16)+4,2)),VALUE(MID(H438,FIND("15",H438,FIND("01",H438)+16)+6,2))),"")</f>
        <v/>
      </c>
      <c r="F438" s="8">
        <f>IFERROR(MID(H438,FIND("10",H438,FIND("15",H438,FIND("01",H438)+16)+8)+2,50),"")</f>
        <v/>
      </c>
      <c r="G438" s="8" t="n"/>
      <c r="H438" s="8">
        <f>SUBSTITUTE(SUBSTITUTE(SUBSTITUTE(SUBSTITUTE(A438,"(",""),")","")," ",""),CHAR(29),"")</f>
        <v/>
      </c>
    </row>
    <row r="439">
      <c r="A439" s="4" t="n"/>
      <c r="B439" s="5">
        <f>IFERROR(MID(H439,FIND("01",H439)+2,14),"")</f>
        <v/>
      </c>
      <c r="C439" s="4">
        <f>IF(A439="","",IFERROR(VLOOKUP(B439,TblArticles,2,FALSE),"GTIN inconnu"))</f>
        <v/>
      </c>
      <c r="D439" s="5">
        <f>IF(A439="","",IFERROR(VLOOKUP(B439,TblArticles,3,FALSE),""))</f>
        <v/>
      </c>
      <c r="E439" s="6">
        <f>IFERROR(DATE(2000+VALUE(MID(H439,FIND("15",H439,FIND("01",H439)+16)+2,2)),VALUE(MID(H439,FIND("15",H439,FIND("01",H439)+16)+4,2)),VALUE(MID(H439,FIND("15",H439,FIND("01",H439)+16)+6,2))),"")</f>
        <v/>
      </c>
      <c r="F439" s="5">
        <f>IFERROR(MID(H439,FIND("10",H439,FIND("15",H439,FIND("01",H439)+16)+8)+2,50),"")</f>
        <v/>
      </c>
      <c r="G439" s="5" t="n"/>
      <c r="H439" s="5">
        <f>SUBSTITUTE(SUBSTITUTE(SUBSTITUTE(SUBSTITUTE(A439,"(",""),")","")," ",""),CHAR(29),"")</f>
        <v/>
      </c>
    </row>
    <row r="440">
      <c r="A440" s="7" t="n"/>
      <c r="B440" s="8">
        <f>IFERROR(MID(H440,FIND("01",H440)+2,14),"")</f>
        <v/>
      </c>
      <c r="C440" s="7">
        <f>IF(A440="","",IFERROR(VLOOKUP(B440,TblArticles,2,FALSE),"GTIN inconnu"))</f>
        <v/>
      </c>
      <c r="D440" s="8">
        <f>IF(A440="","",IFERROR(VLOOKUP(B440,TblArticles,3,FALSE),""))</f>
        <v/>
      </c>
      <c r="E440" s="9">
        <f>IFERROR(DATE(2000+VALUE(MID(H440,FIND("15",H440,FIND("01",H440)+16)+2,2)),VALUE(MID(H440,FIND("15",H440,FIND("01",H440)+16)+4,2)),VALUE(MID(H440,FIND("15",H440,FIND("01",H440)+16)+6,2))),"")</f>
        <v/>
      </c>
      <c r="F440" s="8">
        <f>IFERROR(MID(H440,FIND("10",H440,FIND("15",H440,FIND("01",H440)+16)+8)+2,50),"")</f>
        <v/>
      </c>
      <c r="G440" s="8" t="n"/>
      <c r="H440" s="8">
        <f>SUBSTITUTE(SUBSTITUTE(SUBSTITUTE(SUBSTITUTE(A440,"(",""),")","")," ",""),CHAR(29),"")</f>
        <v/>
      </c>
    </row>
    <row r="441">
      <c r="A441" s="4" t="n"/>
      <c r="B441" s="5">
        <f>IFERROR(MID(H441,FIND("01",H441)+2,14),"")</f>
        <v/>
      </c>
      <c r="C441" s="4">
        <f>IF(A441="","",IFERROR(VLOOKUP(B441,TblArticles,2,FALSE),"GTIN inconnu"))</f>
        <v/>
      </c>
      <c r="D441" s="5">
        <f>IF(A441="","",IFERROR(VLOOKUP(B441,TblArticles,3,FALSE),""))</f>
        <v/>
      </c>
      <c r="E441" s="6">
        <f>IFERROR(DATE(2000+VALUE(MID(H441,FIND("15",H441,FIND("01",H441)+16)+2,2)),VALUE(MID(H441,FIND("15",H441,FIND("01",H441)+16)+4,2)),VALUE(MID(H441,FIND("15",H441,FIND("01",H441)+16)+6,2))),"")</f>
        <v/>
      </c>
      <c r="F441" s="5">
        <f>IFERROR(MID(H441,FIND("10",H441,FIND("15",H441,FIND("01",H441)+16)+8)+2,50),"")</f>
        <v/>
      </c>
      <c r="G441" s="5" t="n"/>
      <c r="H441" s="5">
        <f>SUBSTITUTE(SUBSTITUTE(SUBSTITUTE(SUBSTITUTE(A441,"(",""),")","")," ",""),CHAR(29),"")</f>
        <v/>
      </c>
    </row>
    <row r="442">
      <c r="A442" s="7" t="n"/>
      <c r="B442" s="8">
        <f>IFERROR(MID(H442,FIND("01",H442)+2,14),"")</f>
        <v/>
      </c>
      <c r="C442" s="7">
        <f>IF(A442="","",IFERROR(VLOOKUP(B442,TblArticles,2,FALSE),"GTIN inconnu"))</f>
        <v/>
      </c>
      <c r="D442" s="8">
        <f>IF(A442="","",IFERROR(VLOOKUP(B442,TblArticles,3,FALSE),""))</f>
        <v/>
      </c>
      <c r="E442" s="9">
        <f>IFERROR(DATE(2000+VALUE(MID(H442,FIND("15",H442,FIND("01",H442)+16)+2,2)),VALUE(MID(H442,FIND("15",H442,FIND("01",H442)+16)+4,2)),VALUE(MID(H442,FIND("15",H442,FIND("01",H442)+16)+6,2))),"")</f>
        <v/>
      </c>
      <c r="F442" s="8">
        <f>IFERROR(MID(H442,FIND("10",H442,FIND("15",H442,FIND("01",H442)+16)+8)+2,50),"")</f>
        <v/>
      </c>
      <c r="G442" s="8" t="n"/>
      <c r="H442" s="8">
        <f>SUBSTITUTE(SUBSTITUTE(SUBSTITUTE(SUBSTITUTE(A442,"(",""),")","")," ",""),CHAR(29),"")</f>
        <v/>
      </c>
    </row>
    <row r="443">
      <c r="A443" s="4" t="n"/>
      <c r="B443" s="5">
        <f>IFERROR(MID(H443,FIND("01",H443)+2,14),"")</f>
        <v/>
      </c>
      <c r="C443" s="4">
        <f>IF(A443="","",IFERROR(VLOOKUP(B443,TblArticles,2,FALSE),"GTIN inconnu"))</f>
        <v/>
      </c>
      <c r="D443" s="5">
        <f>IF(A443="","",IFERROR(VLOOKUP(B443,TblArticles,3,FALSE),""))</f>
        <v/>
      </c>
      <c r="E443" s="6">
        <f>IFERROR(DATE(2000+VALUE(MID(H443,FIND("15",H443,FIND("01",H443)+16)+2,2)),VALUE(MID(H443,FIND("15",H443,FIND("01",H443)+16)+4,2)),VALUE(MID(H443,FIND("15",H443,FIND("01",H443)+16)+6,2))),"")</f>
        <v/>
      </c>
      <c r="F443" s="5">
        <f>IFERROR(MID(H443,FIND("10",H443,FIND("15",H443,FIND("01",H443)+16)+8)+2,50),"")</f>
        <v/>
      </c>
      <c r="G443" s="5" t="n"/>
      <c r="H443" s="5">
        <f>SUBSTITUTE(SUBSTITUTE(SUBSTITUTE(SUBSTITUTE(A443,"(",""),")","")," ",""),CHAR(29),"")</f>
        <v/>
      </c>
    </row>
    <row r="444">
      <c r="A444" s="7" t="n"/>
      <c r="B444" s="8">
        <f>IFERROR(MID(H444,FIND("01",H444)+2,14),"")</f>
        <v/>
      </c>
      <c r="C444" s="7">
        <f>IF(A444="","",IFERROR(VLOOKUP(B444,TblArticles,2,FALSE),"GTIN inconnu"))</f>
        <v/>
      </c>
      <c r="D444" s="8">
        <f>IF(A444="","",IFERROR(VLOOKUP(B444,TblArticles,3,FALSE),""))</f>
        <v/>
      </c>
      <c r="E444" s="9">
        <f>IFERROR(DATE(2000+VALUE(MID(H444,FIND("15",H444,FIND("01",H444)+16)+2,2)),VALUE(MID(H444,FIND("15",H444,FIND("01",H444)+16)+4,2)),VALUE(MID(H444,FIND("15",H444,FIND("01",H444)+16)+6,2))),"")</f>
        <v/>
      </c>
      <c r="F444" s="8">
        <f>IFERROR(MID(H444,FIND("10",H444,FIND("15",H444,FIND("01",H444)+16)+8)+2,50),"")</f>
        <v/>
      </c>
      <c r="G444" s="8" t="n"/>
      <c r="H444" s="8">
        <f>SUBSTITUTE(SUBSTITUTE(SUBSTITUTE(SUBSTITUTE(A444,"(",""),")","")," ",""),CHAR(29),"")</f>
        <v/>
      </c>
    </row>
    <row r="445">
      <c r="A445" s="4" t="n"/>
      <c r="B445" s="5">
        <f>IFERROR(MID(H445,FIND("01",H445)+2,14),"")</f>
        <v/>
      </c>
      <c r="C445" s="4">
        <f>IF(A445="","",IFERROR(VLOOKUP(B445,TblArticles,2,FALSE),"GTIN inconnu"))</f>
        <v/>
      </c>
      <c r="D445" s="5">
        <f>IF(A445="","",IFERROR(VLOOKUP(B445,TblArticles,3,FALSE),""))</f>
        <v/>
      </c>
      <c r="E445" s="6">
        <f>IFERROR(DATE(2000+VALUE(MID(H445,FIND("15",H445,FIND("01",H445)+16)+2,2)),VALUE(MID(H445,FIND("15",H445,FIND("01",H445)+16)+4,2)),VALUE(MID(H445,FIND("15",H445,FIND("01",H445)+16)+6,2))),"")</f>
        <v/>
      </c>
      <c r="F445" s="5">
        <f>IFERROR(MID(H445,FIND("10",H445,FIND("15",H445,FIND("01",H445)+16)+8)+2,50),"")</f>
        <v/>
      </c>
      <c r="G445" s="5" t="n"/>
      <c r="H445" s="5">
        <f>SUBSTITUTE(SUBSTITUTE(SUBSTITUTE(SUBSTITUTE(A445,"(",""),")","")," ",""),CHAR(29),"")</f>
        <v/>
      </c>
    </row>
    <row r="446">
      <c r="A446" s="7" t="n"/>
      <c r="B446" s="8">
        <f>IFERROR(MID(H446,FIND("01",H446)+2,14),"")</f>
        <v/>
      </c>
      <c r="C446" s="7">
        <f>IF(A446="","",IFERROR(VLOOKUP(B446,TblArticles,2,FALSE),"GTIN inconnu"))</f>
        <v/>
      </c>
      <c r="D446" s="8">
        <f>IF(A446="","",IFERROR(VLOOKUP(B446,TblArticles,3,FALSE),""))</f>
        <v/>
      </c>
      <c r="E446" s="9">
        <f>IFERROR(DATE(2000+VALUE(MID(H446,FIND("15",H446,FIND("01",H446)+16)+2,2)),VALUE(MID(H446,FIND("15",H446,FIND("01",H446)+16)+4,2)),VALUE(MID(H446,FIND("15",H446,FIND("01",H446)+16)+6,2))),"")</f>
        <v/>
      </c>
      <c r="F446" s="8">
        <f>IFERROR(MID(H446,FIND("10",H446,FIND("15",H446,FIND("01",H446)+16)+8)+2,50),"")</f>
        <v/>
      </c>
      <c r="G446" s="8" t="n"/>
      <c r="H446" s="8">
        <f>SUBSTITUTE(SUBSTITUTE(SUBSTITUTE(SUBSTITUTE(A446,"(",""),")","")," ",""),CHAR(29),"")</f>
        <v/>
      </c>
    </row>
    <row r="447">
      <c r="A447" s="4" t="n"/>
      <c r="B447" s="5">
        <f>IFERROR(MID(H447,FIND("01",H447)+2,14),"")</f>
        <v/>
      </c>
      <c r="C447" s="4">
        <f>IF(A447="","",IFERROR(VLOOKUP(B447,TblArticles,2,FALSE),"GTIN inconnu"))</f>
        <v/>
      </c>
      <c r="D447" s="5">
        <f>IF(A447="","",IFERROR(VLOOKUP(B447,TblArticles,3,FALSE),""))</f>
        <v/>
      </c>
      <c r="E447" s="6">
        <f>IFERROR(DATE(2000+VALUE(MID(H447,FIND("15",H447,FIND("01",H447)+16)+2,2)),VALUE(MID(H447,FIND("15",H447,FIND("01",H447)+16)+4,2)),VALUE(MID(H447,FIND("15",H447,FIND("01",H447)+16)+6,2))),"")</f>
        <v/>
      </c>
      <c r="F447" s="5">
        <f>IFERROR(MID(H447,FIND("10",H447,FIND("15",H447,FIND("01",H447)+16)+8)+2,50),"")</f>
        <v/>
      </c>
      <c r="G447" s="5" t="n"/>
      <c r="H447" s="5">
        <f>SUBSTITUTE(SUBSTITUTE(SUBSTITUTE(SUBSTITUTE(A447,"(",""),")","")," ",""),CHAR(29),"")</f>
        <v/>
      </c>
    </row>
    <row r="448">
      <c r="A448" s="7" t="n"/>
      <c r="B448" s="8">
        <f>IFERROR(MID(H448,FIND("01",H448)+2,14),"")</f>
        <v/>
      </c>
      <c r="C448" s="7">
        <f>IF(A448="","",IFERROR(VLOOKUP(B448,TblArticles,2,FALSE),"GTIN inconnu"))</f>
        <v/>
      </c>
      <c r="D448" s="8">
        <f>IF(A448="","",IFERROR(VLOOKUP(B448,TblArticles,3,FALSE),""))</f>
        <v/>
      </c>
      <c r="E448" s="9">
        <f>IFERROR(DATE(2000+VALUE(MID(H448,FIND("15",H448,FIND("01",H448)+16)+2,2)),VALUE(MID(H448,FIND("15",H448,FIND("01",H448)+16)+4,2)),VALUE(MID(H448,FIND("15",H448,FIND("01",H448)+16)+6,2))),"")</f>
        <v/>
      </c>
      <c r="F448" s="8">
        <f>IFERROR(MID(H448,FIND("10",H448,FIND("15",H448,FIND("01",H448)+16)+8)+2,50),"")</f>
        <v/>
      </c>
      <c r="G448" s="8" t="n"/>
      <c r="H448" s="8">
        <f>SUBSTITUTE(SUBSTITUTE(SUBSTITUTE(SUBSTITUTE(A448,"(",""),")","")," ",""),CHAR(29),"")</f>
        <v/>
      </c>
    </row>
    <row r="449">
      <c r="A449" s="4" t="n"/>
      <c r="B449" s="5">
        <f>IFERROR(MID(H449,FIND("01",H449)+2,14),"")</f>
        <v/>
      </c>
      <c r="C449" s="4">
        <f>IF(A449="","",IFERROR(VLOOKUP(B449,TblArticles,2,FALSE),"GTIN inconnu"))</f>
        <v/>
      </c>
      <c r="D449" s="5">
        <f>IF(A449="","",IFERROR(VLOOKUP(B449,TblArticles,3,FALSE),""))</f>
        <v/>
      </c>
      <c r="E449" s="6">
        <f>IFERROR(DATE(2000+VALUE(MID(H449,FIND("15",H449,FIND("01",H449)+16)+2,2)),VALUE(MID(H449,FIND("15",H449,FIND("01",H449)+16)+4,2)),VALUE(MID(H449,FIND("15",H449,FIND("01",H449)+16)+6,2))),"")</f>
        <v/>
      </c>
      <c r="F449" s="5">
        <f>IFERROR(MID(H449,FIND("10",H449,FIND("15",H449,FIND("01",H449)+16)+8)+2,50),"")</f>
        <v/>
      </c>
      <c r="G449" s="5" t="n"/>
      <c r="H449" s="5">
        <f>SUBSTITUTE(SUBSTITUTE(SUBSTITUTE(SUBSTITUTE(A449,"(",""),")","")," ",""),CHAR(29),"")</f>
        <v/>
      </c>
    </row>
    <row r="450">
      <c r="A450" s="7" t="n"/>
      <c r="B450" s="8">
        <f>IFERROR(MID(H450,FIND("01",H450)+2,14),"")</f>
        <v/>
      </c>
      <c r="C450" s="7">
        <f>IF(A450="","",IFERROR(VLOOKUP(B450,TblArticles,2,FALSE),"GTIN inconnu"))</f>
        <v/>
      </c>
      <c r="D450" s="8">
        <f>IF(A450="","",IFERROR(VLOOKUP(B450,TblArticles,3,FALSE),""))</f>
        <v/>
      </c>
      <c r="E450" s="9">
        <f>IFERROR(DATE(2000+VALUE(MID(H450,FIND("15",H450,FIND("01",H450)+16)+2,2)),VALUE(MID(H450,FIND("15",H450,FIND("01",H450)+16)+4,2)),VALUE(MID(H450,FIND("15",H450,FIND("01",H450)+16)+6,2))),"")</f>
        <v/>
      </c>
      <c r="F450" s="8">
        <f>IFERROR(MID(H450,FIND("10",H450,FIND("15",H450,FIND("01",H450)+16)+8)+2,50),"")</f>
        <v/>
      </c>
      <c r="G450" s="8" t="n"/>
      <c r="H450" s="8">
        <f>SUBSTITUTE(SUBSTITUTE(SUBSTITUTE(SUBSTITUTE(A450,"(",""),")","")," ",""),CHAR(29),"")</f>
        <v/>
      </c>
    </row>
    <row r="451">
      <c r="A451" s="4" t="n"/>
      <c r="B451" s="5">
        <f>IFERROR(MID(H451,FIND("01",H451)+2,14),"")</f>
        <v/>
      </c>
      <c r="C451" s="4">
        <f>IF(A451="","",IFERROR(VLOOKUP(B451,TblArticles,2,FALSE),"GTIN inconnu"))</f>
        <v/>
      </c>
      <c r="D451" s="5">
        <f>IF(A451="","",IFERROR(VLOOKUP(B451,TblArticles,3,FALSE),""))</f>
        <v/>
      </c>
      <c r="E451" s="6">
        <f>IFERROR(DATE(2000+VALUE(MID(H451,FIND("15",H451,FIND("01",H451)+16)+2,2)),VALUE(MID(H451,FIND("15",H451,FIND("01",H451)+16)+4,2)),VALUE(MID(H451,FIND("15",H451,FIND("01",H451)+16)+6,2))),"")</f>
        <v/>
      </c>
      <c r="F451" s="5">
        <f>IFERROR(MID(H451,FIND("10",H451,FIND("15",H451,FIND("01",H451)+16)+8)+2,50),"")</f>
        <v/>
      </c>
      <c r="G451" s="5" t="n"/>
      <c r="H451" s="5">
        <f>SUBSTITUTE(SUBSTITUTE(SUBSTITUTE(SUBSTITUTE(A451,"(",""),")","")," ",""),CHAR(29),"")</f>
        <v/>
      </c>
    </row>
    <row r="452">
      <c r="A452" s="7" t="n"/>
      <c r="B452" s="8">
        <f>IFERROR(MID(H452,FIND("01",H452)+2,14),"")</f>
        <v/>
      </c>
      <c r="C452" s="7">
        <f>IF(A452="","",IFERROR(VLOOKUP(B452,TblArticles,2,FALSE),"GTIN inconnu"))</f>
        <v/>
      </c>
      <c r="D452" s="8">
        <f>IF(A452="","",IFERROR(VLOOKUP(B452,TblArticles,3,FALSE),""))</f>
        <v/>
      </c>
      <c r="E452" s="9">
        <f>IFERROR(DATE(2000+VALUE(MID(H452,FIND("15",H452,FIND("01",H452)+16)+2,2)),VALUE(MID(H452,FIND("15",H452,FIND("01",H452)+16)+4,2)),VALUE(MID(H452,FIND("15",H452,FIND("01",H452)+16)+6,2))),"")</f>
        <v/>
      </c>
      <c r="F452" s="8">
        <f>IFERROR(MID(H452,FIND("10",H452,FIND("15",H452,FIND("01",H452)+16)+8)+2,50),"")</f>
        <v/>
      </c>
      <c r="G452" s="8" t="n"/>
      <c r="H452" s="8">
        <f>SUBSTITUTE(SUBSTITUTE(SUBSTITUTE(SUBSTITUTE(A452,"(",""),")","")," ",""),CHAR(29),"")</f>
        <v/>
      </c>
    </row>
    <row r="453">
      <c r="A453" s="4" t="n"/>
      <c r="B453" s="5">
        <f>IFERROR(MID(H453,FIND("01",H453)+2,14),"")</f>
        <v/>
      </c>
      <c r="C453" s="4">
        <f>IF(A453="","",IFERROR(VLOOKUP(B453,TblArticles,2,FALSE),"GTIN inconnu"))</f>
        <v/>
      </c>
      <c r="D453" s="5">
        <f>IF(A453="","",IFERROR(VLOOKUP(B453,TblArticles,3,FALSE),""))</f>
        <v/>
      </c>
      <c r="E453" s="6">
        <f>IFERROR(DATE(2000+VALUE(MID(H453,FIND("15",H453,FIND("01",H453)+16)+2,2)),VALUE(MID(H453,FIND("15",H453,FIND("01",H453)+16)+4,2)),VALUE(MID(H453,FIND("15",H453,FIND("01",H453)+16)+6,2))),"")</f>
        <v/>
      </c>
      <c r="F453" s="5">
        <f>IFERROR(MID(H453,FIND("10",H453,FIND("15",H453,FIND("01",H453)+16)+8)+2,50),"")</f>
        <v/>
      </c>
      <c r="G453" s="5" t="n"/>
      <c r="H453" s="5">
        <f>SUBSTITUTE(SUBSTITUTE(SUBSTITUTE(SUBSTITUTE(A453,"(",""),")","")," ",""),CHAR(29),"")</f>
        <v/>
      </c>
    </row>
    <row r="454">
      <c r="A454" s="7" t="n"/>
      <c r="B454" s="8">
        <f>IFERROR(MID(H454,FIND("01",H454)+2,14),"")</f>
        <v/>
      </c>
      <c r="C454" s="7">
        <f>IF(A454="","",IFERROR(VLOOKUP(B454,TblArticles,2,FALSE),"GTIN inconnu"))</f>
        <v/>
      </c>
      <c r="D454" s="8">
        <f>IF(A454="","",IFERROR(VLOOKUP(B454,TblArticles,3,FALSE),""))</f>
        <v/>
      </c>
      <c r="E454" s="9">
        <f>IFERROR(DATE(2000+VALUE(MID(H454,FIND("15",H454,FIND("01",H454)+16)+2,2)),VALUE(MID(H454,FIND("15",H454,FIND("01",H454)+16)+4,2)),VALUE(MID(H454,FIND("15",H454,FIND("01",H454)+16)+6,2))),"")</f>
        <v/>
      </c>
      <c r="F454" s="8">
        <f>IFERROR(MID(H454,FIND("10",H454,FIND("15",H454,FIND("01",H454)+16)+8)+2,50),"")</f>
        <v/>
      </c>
      <c r="G454" s="8" t="n"/>
      <c r="H454" s="8">
        <f>SUBSTITUTE(SUBSTITUTE(SUBSTITUTE(SUBSTITUTE(A454,"(",""),")","")," ",""),CHAR(29),"")</f>
        <v/>
      </c>
    </row>
    <row r="455">
      <c r="A455" s="4" t="n"/>
      <c r="B455" s="5">
        <f>IFERROR(MID(H455,FIND("01",H455)+2,14),"")</f>
        <v/>
      </c>
      <c r="C455" s="4">
        <f>IF(A455="","",IFERROR(VLOOKUP(B455,TblArticles,2,FALSE),"GTIN inconnu"))</f>
        <v/>
      </c>
      <c r="D455" s="5">
        <f>IF(A455="","",IFERROR(VLOOKUP(B455,TblArticles,3,FALSE),""))</f>
        <v/>
      </c>
      <c r="E455" s="6">
        <f>IFERROR(DATE(2000+VALUE(MID(H455,FIND("15",H455,FIND("01",H455)+16)+2,2)),VALUE(MID(H455,FIND("15",H455,FIND("01",H455)+16)+4,2)),VALUE(MID(H455,FIND("15",H455,FIND("01",H455)+16)+6,2))),"")</f>
        <v/>
      </c>
      <c r="F455" s="5">
        <f>IFERROR(MID(H455,FIND("10",H455,FIND("15",H455,FIND("01",H455)+16)+8)+2,50),"")</f>
        <v/>
      </c>
      <c r="G455" s="5" t="n"/>
      <c r="H455" s="5">
        <f>SUBSTITUTE(SUBSTITUTE(SUBSTITUTE(SUBSTITUTE(A455,"(",""),")","")," ",""),CHAR(29),"")</f>
        <v/>
      </c>
    </row>
    <row r="456">
      <c r="A456" s="7" t="n"/>
      <c r="B456" s="8">
        <f>IFERROR(MID(H456,FIND("01",H456)+2,14),"")</f>
        <v/>
      </c>
      <c r="C456" s="7">
        <f>IF(A456="","",IFERROR(VLOOKUP(B456,TblArticles,2,FALSE),"GTIN inconnu"))</f>
        <v/>
      </c>
      <c r="D456" s="8">
        <f>IF(A456="","",IFERROR(VLOOKUP(B456,TblArticles,3,FALSE),""))</f>
        <v/>
      </c>
      <c r="E456" s="9">
        <f>IFERROR(DATE(2000+VALUE(MID(H456,FIND("15",H456,FIND("01",H456)+16)+2,2)),VALUE(MID(H456,FIND("15",H456,FIND("01",H456)+16)+4,2)),VALUE(MID(H456,FIND("15",H456,FIND("01",H456)+16)+6,2))),"")</f>
        <v/>
      </c>
      <c r="F456" s="8">
        <f>IFERROR(MID(H456,FIND("10",H456,FIND("15",H456,FIND("01",H456)+16)+8)+2,50),"")</f>
        <v/>
      </c>
      <c r="G456" s="8" t="n"/>
      <c r="H456" s="8">
        <f>SUBSTITUTE(SUBSTITUTE(SUBSTITUTE(SUBSTITUTE(A456,"(",""),")","")," ",""),CHAR(29),"")</f>
        <v/>
      </c>
    </row>
    <row r="457">
      <c r="A457" s="4" t="n"/>
      <c r="B457" s="5">
        <f>IFERROR(MID(H457,FIND("01",H457)+2,14),"")</f>
        <v/>
      </c>
      <c r="C457" s="4">
        <f>IF(A457="","",IFERROR(VLOOKUP(B457,TblArticles,2,FALSE),"GTIN inconnu"))</f>
        <v/>
      </c>
      <c r="D457" s="5">
        <f>IF(A457="","",IFERROR(VLOOKUP(B457,TblArticles,3,FALSE),""))</f>
        <v/>
      </c>
      <c r="E457" s="6">
        <f>IFERROR(DATE(2000+VALUE(MID(H457,FIND("15",H457,FIND("01",H457)+16)+2,2)),VALUE(MID(H457,FIND("15",H457,FIND("01",H457)+16)+4,2)),VALUE(MID(H457,FIND("15",H457,FIND("01",H457)+16)+6,2))),"")</f>
        <v/>
      </c>
      <c r="F457" s="5">
        <f>IFERROR(MID(H457,FIND("10",H457,FIND("15",H457,FIND("01",H457)+16)+8)+2,50),"")</f>
        <v/>
      </c>
      <c r="G457" s="5" t="n"/>
      <c r="H457" s="5">
        <f>SUBSTITUTE(SUBSTITUTE(SUBSTITUTE(SUBSTITUTE(A457,"(",""),")","")," ",""),CHAR(29),"")</f>
        <v/>
      </c>
    </row>
    <row r="458">
      <c r="A458" s="7" t="n"/>
      <c r="B458" s="8">
        <f>IFERROR(MID(H458,FIND("01",H458)+2,14),"")</f>
        <v/>
      </c>
      <c r="C458" s="7">
        <f>IF(A458="","",IFERROR(VLOOKUP(B458,TblArticles,2,FALSE),"GTIN inconnu"))</f>
        <v/>
      </c>
      <c r="D458" s="8">
        <f>IF(A458="","",IFERROR(VLOOKUP(B458,TblArticles,3,FALSE),""))</f>
        <v/>
      </c>
      <c r="E458" s="9">
        <f>IFERROR(DATE(2000+VALUE(MID(H458,FIND("15",H458,FIND("01",H458)+16)+2,2)),VALUE(MID(H458,FIND("15",H458,FIND("01",H458)+16)+4,2)),VALUE(MID(H458,FIND("15",H458,FIND("01",H458)+16)+6,2))),"")</f>
        <v/>
      </c>
      <c r="F458" s="8">
        <f>IFERROR(MID(H458,FIND("10",H458,FIND("15",H458,FIND("01",H458)+16)+8)+2,50),"")</f>
        <v/>
      </c>
      <c r="G458" s="8" t="n"/>
      <c r="H458" s="8">
        <f>SUBSTITUTE(SUBSTITUTE(SUBSTITUTE(SUBSTITUTE(A458,"(",""),")","")," ",""),CHAR(29),"")</f>
        <v/>
      </c>
    </row>
    <row r="459">
      <c r="A459" s="4" t="n"/>
      <c r="B459" s="5">
        <f>IFERROR(MID(H459,FIND("01",H459)+2,14),"")</f>
        <v/>
      </c>
      <c r="C459" s="4">
        <f>IF(A459="","",IFERROR(VLOOKUP(B459,TblArticles,2,FALSE),"GTIN inconnu"))</f>
        <v/>
      </c>
      <c r="D459" s="5">
        <f>IF(A459="","",IFERROR(VLOOKUP(B459,TblArticles,3,FALSE),""))</f>
        <v/>
      </c>
      <c r="E459" s="6">
        <f>IFERROR(DATE(2000+VALUE(MID(H459,FIND("15",H459,FIND("01",H459)+16)+2,2)),VALUE(MID(H459,FIND("15",H459,FIND("01",H459)+16)+4,2)),VALUE(MID(H459,FIND("15",H459,FIND("01",H459)+16)+6,2))),"")</f>
        <v/>
      </c>
      <c r="F459" s="5">
        <f>IFERROR(MID(H459,FIND("10",H459,FIND("15",H459,FIND("01",H459)+16)+8)+2,50),"")</f>
        <v/>
      </c>
      <c r="G459" s="5" t="n"/>
      <c r="H459" s="5">
        <f>SUBSTITUTE(SUBSTITUTE(SUBSTITUTE(SUBSTITUTE(A459,"(",""),")","")," ",""),CHAR(29),"")</f>
        <v/>
      </c>
    </row>
    <row r="460">
      <c r="A460" s="7" t="n"/>
      <c r="B460" s="8">
        <f>IFERROR(MID(H460,FIND("01",H460)+2,14),"")</f>
        <v/>
      </c>
      <c r="C460" s="7">
        <f>IF(A460="","",IFERROR(VLOOKUP(B460,TblArticles,2,FALSE),"GTIN inconnu"))</f>
        <v/>
      </c>
      <c r="D460" s="8">
        <f>IF(A460="","",IFERROR(VLOOKUP(B460,TblArticles,3,FALSE),""))</f>
        <v/>
      </c>
      <c r="E460" s="9">
        <f>IFERROR(DATE(2000+VALUE(MID(H460,FIND("15",H460,FIND("01",H460)+16)+2,2)),VALUE(MID(H460,FIND("15",H460,FIND("01",H460)+16)+4,2)),VALUE(MID(H460,FIND("15",H460,FIND("01",H460)+16)+6,2))),"")</f>
        <v/>
      </c>
      <c r="F460" s="8">
        <f>IFERROR(MID(H460,FIND("10",H460,FIND("15",H460,FIND("01",H460)+16)+8)+2,50),"")</f>
        <v/>
      </c>
      <c r="G460" s="8" t="n"/>
      <c r="H460" s="8">
        <f>SUBSTITUTE(SUBSTITUTE(SUBSTITUTE(SUBSTITUTE(A460,"(",""),")","")," ",""),CHAR(29),"")</f>
        <v/>
      </c>
    </row>
    <row r="461">
      <c r="A461" s="4" t="n"/>
      <c r="B461" s="5">
        <f>IFERROR(MID(H461,FIND("01",H461)+2,14),"")</f>
        <v/>
      </c>
      <c r="C461" s="4">
        <f>IF(A461="","",IFERROR(VLOOKUP(B461,TblArticles,2,FALSE),"GTIN inconnu"))</f>
        <v/>
      </c>
      <c r="D461" s="5">
        <f>IF(A461="","",IFERROR(VLOOKUP(B461,TblArticles,3,FALSE),""))</f>
        <v/>
      </c>
      <c r="E461" s="6">
        <f>IFERROR(DATE(2000+VALUE(MID(H461,FIND("15",H461,FIND("01",H461)+16)+2,2)),VALUE(MID(H461,FIND("15",H461,FIND("01",H461)+16)+4,2)),VALUE(MID(H461,FIND("15",H461,FIND("01",H461)+16)+6,2))),"")</f>
        <v/>
      </c>
      <c r="F461" s="5">
        <f>IFERROR(MID(H461,FIND("10",H461,FIND("15",H461,FIND("01",H461)+16)+8)+2,50),"")</f>
        <v/>
      </c>
      <c r="G461" s="5" t="n"/>
      <c r="H461" s="5">
        <f>SUBSTITUTE(SUBSTITUTE(SUBSTITUTE(SUBSTITUTE(A461,"(",""),")","")," ",""),CHAR(29),"")</f>
        <v/>
      </c>
    </row>
    <row r="462">
      <c r="A462" s="7" t="n"/>
      <c r="B462" s="8">
        <f>IFERROR(MID(H462,FIND("01",H462)+2,14),"")</f>
        <v/>
      </c>
      <c r="C462" s="7">
        <f>IF(A462="","",IFERROR(VLOOKUP(B462,TblArticles,2,FALSE),"GTIN inconnu"))</f>
        <v/>
      </c>
      <c r="D462" s="8">
        <f>IF(A462="","",IFERROR(VLOOKUP(B462,TblArticles,3,FALSE),""))</f>
        <v/>
      </c>
      <c r="E462" s="9">
        <f>IFERROR(DATE(2000+VALUE(MID(H462,FIND("15",H462,FIND("01",H462)+16)+2,2)),VALUE(MID(H462,FIND("15",H462,FIND("01",H462)+16)+4,2)),VALUE(MID(H462,FIND("15",H462,FIND("01",H462)+16)+6,2))),"")</f>
        <v/>
      </c>
      <c r="F462" s="8">
        <f>IFERROR(MID(H462,FIND("10",H462,FIND("15",H462,FIND("01",H462)+16)+8)+2,50),"")</f>
        <v/>
      </c>
      <c r="G462" s="8" t="n"/>
      <c r="H462" s="8">
        <f>SUBSTITUTE(SUBSTITUTE(SUBSTITUTE(SUBSTITUTE(A462,"(",""),")","")," ",""),CHAR(29),"")</f>
        <v/>
      </c>
    </row>
    <row r="463">
      <c r="A463" s="4" t="n"/>
      <c r="B463" s="5">
        <f>IFERROR(MID(H463,FIND("01",H463)+2,14),"")</f>
        <v/>
      </c>
      <c r="C463" s="4">
        <f>IF(A463="","",IFERROR(VLOOKUP(B463,TblArticles,2,FALSE),"GTIN inconnu"))</f>
        <v/>
      </c>
      <c r="D463" s="5">
        <f>IF(A463="","",IFERROR(VLOOKUP(B463,TblArticles,3,FALSE),""))</f>
        <v/>
      </c>
      <c r="E463" s="6">
        <f>IFERROR(DATE(2000+VALUE(MID(H463,FIND("15",H463,FIND("01",H463)+16)+2,2)),VALUE(MID(H463,FIND("15",H463,FIND("01",H463)+16)+4,2)),VALUE(MID(H463,FIND("15",H463,FIND("01",H463)+16)+6,2))),"")</f>
        <v/>
      </c>
      <c r="F463" s="5">
        <f>IFERROR(MID(H463,FIND("10",H463,FIND("15",H463,FIND("01",H463)+16)+8)+2,50),"")</f>
        <v/>
      </c>
      <c r="G463" s="5" t="n"/>
      <c r="H463" s="5">
        <f>SUBSTITUTE(SUBSTITUTE(SUBSTITUTE(SUBSTITUTE(A463,"(",""),")","")," ",""),CHAR(29),"")</f>
        <v/>
      </c>
    </row>
    <row r="464">
      <c r="A464" s="7" t="n"/>
      <c r="B464" s="8">
        <f>IFERROR(MID(H464,FIND("01",H464)+2,14),"")</f>
        <v/>
      </c>
      <c r="C464" s="7">
        <f>IF(A464="","",IFERROR(VLOOKUP(B464,TblArticles,2,FALSE),"GTIN inconnu"))</f>
        <v/>
      </c>
      <c r="D464" s="8">
        <f>IF(A464="","",IFERROR(VLOOKUP(B464,TblArticles,3,FALSE),""))</f>
        <v/>
      </c>
      <c r="E464" s="9">
        <f>IFERROR(DATE(2000+VALUE(MID(H464,FIND("15",H464,FIND("01",H464)+16)+2,2)),VALUE(MID(H464,FIND("15",H464,FIND("01",H464)+16)+4,2)),VALUE(MID(H464,FIND("15",H464,FIND("01",H464)+16)+6,2))),"")</f>
        <v/>
      </c>
      <c r="F464" s="8">
        <f>IFERROR(MID(H464,FIND("10",H464,FIND("15",H464,FIND("01",H464)+16)+8)+2,50),"")</f>
        <v/>
      </c>
      <c r="G464" s="8" t="n"/>
      <c r="H464" s="8">
        <f>SUBSTITUTE(SUBSTITUTE(SUBSTITUTE(SUBSTITUTE(A464,"(",""),")","")," ",""),CHAR(29),"")</f>
        <v/>
      </c>
    </row>
    <row r="465">
      <c r="A465" s="4" t="n"/>
      <c r="B465" s="5">
        <f>IFERROR(MID(H465,FIND("01",H465)+2,14),"")</f>
        <v/>
      </c>
      <c r="C465" s="4">
        <f>IF(A465="","",IFERROR(VLOOKUP(B465,TblArticles,2,FALSE),"GTIN inconnu"))</f>
        <v/>
      </c>
      <c r="D465" s="5">
        <f>IF(A465="","",IFERROR(VLOOKUP(B465,TblArticles,3,FALSE),""))</f>
        <v/>
      </c>
      <c r="E465" s="6">
        <f>IFERROR(DATE(2000+VALUE(MID(H465,FIND("15",H465,FIND("01",H465)+16)+2,2)),VALUE(MID(H465,FIND("15",H465,FIND("01",H465)+16)+4,2)),VALUE(MID(H465,FIND("15",H465,FIND("01",H465)+16)+6,2))),"")</f>
        <v/>
      </c>
      <c r="F465" s="5">
        <f>IFERROR(MID(H465,FIND("10",H465,FIND("15",H465,FIND("01",H465)+16)+8)+2,50),"")</f>
        <v/>
      </c>
      <c r="G465" s="5" t="n"/>
      <c r="H465" s="5">
        <f>SUBSTITUTE(SUBSTITUTE(SUBSTITUTE(SUBSTITUTE(A465,"(",""),")","")," ",""),CHAR(29),"")</f>
        <v/>
      </c>
    </row>
    <row r="466">
      <c r="A466" s="7" t="n"/>
      <c r="B466" s="8">
        <f>IFERROR(MID(H466,FIND("01",H466)+2,14),"")</f>
        <v/>
      </c>
      <c r="C466" s="7">
        <f>IF(A466="","",IFERROR(VLOOKUP(B466,TblArticles,2,FALSE),"GTIN inconnu"))</f>
        <v/>
      </c>
      <c r="D466" s="8">
        <f>IF(A466="","",IFERROR(VLOOKUP(B466,TblArticles,3,FALSE),""))</f>
        <v/>
      </c>
      <c r="E466" s="9">
        <f>IFERROR(DATE(2000+VALUE(MID(H466,FIND("15",H466,FIND("01",H466)+16)+2,2)),VALUE(MID(H466,FIND("15",H466,FIND("01",H466)+16)+4,2)),VALUE(MID(H466,FIND("15",H466,FIND("01",H466)+16)+6,2))),"")</f>
        <v/>
      </c>
      <c r="F466" s="8">
        <f>IFERROR(MID(H466,FIND("10",H466,FIND("15",H466,FIND("01",H466)+16)+8)+2,50),"")</f>
        <v/>
      </c>
      <c r="G466" s="8" t="n"/>
      <c r="H466" s="8">
        <f>SUBSTITUTE(SUBSTITUTE(SUBSTITUTE(SUBSTITUTE(A466,"(",""),")","")," ",""),CHAR(29),"")</f>
        <v/>
      </c>
    </row>
    <row r="467">
      <c r="A467" s="4" t="n"/>
      <c r="B467" s="5">
        <f>IFERROR(MID(H467,FIND("01",H467)+2,14),"")</f>
        <v/>
      </c>
      <c r="C467" s="4">
        <f>IF(A467="","",IFERROR(VLOOKUP(B467,TblArticles,2,FALSE),"GTIN inconnu"))</f>
        <v/>
      </c>
      <c r="D467" s="5">
        <f>IF(A467="","",IFERROR(VLOOKUP(B467,TblArticles,3,FALSE),""))</f>
        <v/>
      </c>
      <c r="E467" s="6">
        <f>IFERROR(DATE(2000+VALUE(MID(H467,FIND("15",H467,FIND("01",H467)+16)+2,2)),VALUE(MID(H467,FIND("15",H467,FIND("01",H467)+16)+4,2)),VALUE(MID(H467,FIND("15",H467,FIND("01",H467)+16)+6,2))),"")</f>
        <v/>
      </c>
      <c r="F467" s="5">
        <f>IFERROR(MID(H467,FIND("10",H467,FIND("15",H467,FIND("01",H467)+16)+8)+2,50),"")</f>
        <v/>
      </c>
      <c r="G467" s="5" t="n"/>
      <c r="H467" s="5">
        <f>SUBSTITUTE(SUBSTITUTE(SUBSTITUTE(SUBSTITUTE(A467,"(",""),")","")," ",""),CHAR(29),"")</f>
        <v/>
      </c>
    </row>
    <row r="468">
      <c r="A468" s="7" t="n"/>
      <c r="B468" s="8">
        <f>IFERROR(MID(H468,FIND("01",H468)+2,14),"")</f>
        <v/>
      </c>
      <c r="C468" s="7">
        <f>IF(A468="","",IFERROR(VLOOKUP(B468,TblArticles,2,FALSE),"GTIN inconnu"))</f>
        <v/>
      </c>
      <c r="D468" s="8">
        <f>IF(A468="","",IFERROR(VLOOKUP(B468,TblArticles,3,FALSE),""))</f>
        <v/>
      </c>
      <c r="E468" s="9">
        <f>IFERROR(DATE(2000+VALUE(MID(H468,FIND("15",H468,FIND("01",H468)+16)+2,2)),VALUE(MID(H468,FIND("15",H468,FIND("01",H468)+16)+4,2)),VALUE(MID(H468,FIND("15",H468,FIND("01",H468)+16)+6,2))),"")</f>
        <v/>
      </c>
      <c r="F468" s="8">
        <f>IFERROR(MID(H468,FIND("10",H468,FIND("15",H468,FIND("01",H468)+16)+8)+2,50),"")</f>
        <v/>
      </c>
      <c r="G468" s="8" t="n"/>
      <c r="H468" s="8">
        <f>SUBSTITUTE(SUBSTITUTE(SUBSTITUTE(SUBSTITUTE(A468,"(",""),")","")," ",""),CHAR(29),"")</f>
        <v/>
      </c>
    </row>
    <row r="469">
      <c r="A469" s="4" t="n"/>
      <c r="B469" s="5">
        <f>IFERROR(MID(H469,FIND("01",H469)+2,14),"")</f>
        <v/>
      </c>
      <c r="C469" s="4">
        <f>IF(A469="","",IFERROR(VLOOKUP(B469,TblArticles,2,FALSE),"GTIN inconnu"))</f>
        <v/>
      </c>
      <c r="D469" s="5">
        <f>IF(A469="","",IFERROR(VLOOKUP(B469,TblArticles,3,FALSE),""))</f>
        <v/>
      </c>
      <c r="E469" s="6">
        <f>IFERROR(DATE(2000+VALUE(MID(H469,FIND("15",H469,FIND("01",H469)+16)+2,2)),VALUE(MID(H469,FIND("15",H469,FIND("01",H469)+16)+4,2)),VALUE(MID(H469,FIND("15",H469,FIND("01",H469)+16)+6,2))),"")</f>
        <v/>
      </c>
      <c r="F469" s="5">
        <f>IFERROR(MID(H469,FIND("10",H469,FIND("15",H469,FIND("01",H469)+16)+8)+2,50),"")</f>
        <v/>
      </c>
      <c r="G469" s="5" t="n"/>
      <c r="H469" s="5">
        <f>SUBSTITUTE(SUBSTITUTE(SUBSTITUTE(SUBSTITUTE(A469,"(",""),")","")," ",""),CHAR(29),"")</f>
        <v/>
      </c>
    </row>
    <row r="470">
      <c r="A470" s="7" t="n"/>
      <c r="B470" s="8">
        <f>IFERROR(MID(H470,FIND("01",H470)+2,14),"")</f>
        <v/>
      </c>
      <c r="C470" s="7">
        <f>IF(A470="","",IFERROR(VLOOKUP(B470,TblArticles,2,FALSE),"GTIN inconnu"))</f>
        <v/>
      </c>
      <c r="D470" s="8">
        <f>IF(A470="","",IFERROR(VLOOKUP(B470,TblArticles,3,FALSE),""))</f>
        <v/>
      </c>
      <c r="E470" s="9">
        <f>IFERROR(DATE(2000+VALUE(MID(H470,FIND("15",H470,FIND("01",H470)+16)+2,2)),VALUE(MID(H470,FIND("15",H470,FIND("01",H470)+16)+4,2)),VALUE(MID(H470,FIND("15",H470,FIND("01",H470)+16)+6,2))),"")</f>
        <v/>
      </c>
      <c r="F470" s="8">
        <f>IFERROR(MID(H470,FIND("10",H470,FIND("15",H470,FIND("01",H470)+16)+8)+2,50),"")</f>
        <v/>
      </c>
      <c r="G470" s="8" t="n"/>
      <c r="H470" s="8">
        <f>SUBSTITUTE(SUBSTITUTE(SUBSTITUTE(SUBSTITUTE(A470,"(",""),")","")," ",""),CHAR(29),"")</f>
        <v/>
      </c>
    </row>
    <row r="471">
      <c r="A471" s="4" t="n"/>
      <c r="B471" s="5">
        <f>IFERROR(MID(H471,FIND("01",H471)+2,14),"")</f>
        <v/>
      </c>
      <c r="C471" s="4">
        <f>IF(A471="","",IFERROR(VLOOKUP(B471,TblArticles,2,FALSE),"GTIN inconnu"))</f>
        <v/>
      </c>
      <c r="D471" s="5">
        <f>IF(A471="","",IFERROR(VLOOKUP(B471,TblArticles,3,FALSE),""))</f>
        <v/>
      </c>
      <c r="E471" s="6">
        <f>IFERROR(DATE(2000+VALUE(MID(H471,FIND("15",H471,FIND("01",H471)+16)+2,2)),VALUE(MID(H471,FIND("15",H471,FIND("01",H471)+16)+4,2)),VALUE(MID(H471,FIND("15",H471,FIND("01",H471)+16)+6,2))),"")</f>
        <v/>
      </c>
      <c r="F471" s="5">
        <f>IFERROR(MID(H471,FIND("10",H471,FIND("15",H471,FIND("01",H471)+16)+8)+2,50),"")</f>
        <v/>
      </c>
      <c r="G471" s="5" t="n"/>
      <c r="H471" s="5">
        <f>SUBSTITUTE(SUBSTITUTE(SUBSTITUTE(SUBSTITUTE(A471,"(",""),")","")," ",""),CHAR(29),"")</f>
        <v/>
      </c>
    </row>
    <row r="472">
      <c r="A472" s="7" t="n"/>
      <c r="B472" s="8">
        <f>IFERROR(MID(H472,FIND("01",H472)+2,14),"")</f>
        <v/>
      </c>
      <c r="C472" s="7">
        <f>IF(A472="","",IFERROR(VLOOKUP(B472,TblArticles,2,FALSE),"GTIN inconnu"))</f>
        <v/>
      </c>
      <c r="D472" s="8">
        <f>IF(A472="","",IFERROR(VLOOKUP(B472,TblArticles,3,FALSE),""))</f>
        <v/>
      </c>
      <c r="E472" s="9">
        <f>IFERROR(DATE(2000+VALUE(MID(H472,FIND("15",H472,FIND("01",H472)+16)+2,2)),VALUE(MID(H472,FIND("15",H472,FIND("01",H472)+16)+4,2)),VALUE(MID(H472,FIND("15",H472,FIND("01",H472)+16)+6,2))),"")</f>
        <v/>
      </c>
      <c r="F472" s="8">
        <f>IFERROR(MID(H472,FIND("10",H472,FIND("15",H472,FIND("01",H472)+16)+8)+2,50),"")</f>
        <v/>
      </c>
      <c r="G472" s="8" t="n"/>
      <c r="H472" s="8">
        <f>SUBSTITUTE(SUBSTITUTE(SUBSTITUTE(SUBSTITUTE(A472,"(",""),")","")," ",""),CHAR(29),"")</f>
        <v/>
      </c>
    </row>
    <row r="473">
      <c r="A473" s="4" t="n"/>
      <c r="B473" s="5">
        <f>IFERROR(MID(H473,FIND("01",H473)+2,14),"")</f>
        <v/>
      </c>
      <c r="C473" s="4">
        <f>IF(A473="","",IFERROR(VLOOKUP(B473,TblArticles,2,FALSE),"GTIN inconnu"))</f>
        <v/>
      </c>
      <c r="D473" s="5">
        <f>IF(A473="","",IFERROR(VLOOKUP(B473,TblArticles,3,FALSE),""))</f>
        <v/>
      </c>
      <c r="E473" s="6">
        <f>IFERROR(DATE(2000+VALUE(MID(H473,FIND("15",H473,FIND("01",H473)+16)+2,2)),VALUE(MID(H473,FIND("15",H473,FIND("01",H473)+16)+4,2)),VALUE(MID(H473,FIND("15",H473,FIND("01",H473)+16)+6,2))),"")</f>
        <v/>
      </c>
      <c r="F473" s="5">
        <f>IFERROR(MID(H473,FIND("10",H473,FIND("15",H473,FIND("01",H473)+16)+8)+2,50),"")</f>
        <v/>
      </c>
      <c r="G473" s="5" t="n"/>
      <c r="H473" s="5">
        <f>SUBSTITUTE(SUBSTITUTE(SUBSTITUTE(SUBSTITUTE(A473,"(",""),")","")," ",""),CHAR(29),"")</f>
        <v/>
      </c>
    </row>
    <row r="474">
      <c r="A474" s="7" t="n"/>
      <c r="B474" s="8">
        <f>IFERROR(MID(H474,FIND("01",H474)+2,14),"")</f>
        <v/>
      </c>
      <c r="C474" s="7">
        <f>IF(A474="","",IFERROR(VLOOKUP(B474,TblArticles,2,FALSE),"GTIN inconnu"))</f>
        <v/>
      </c>
      <c r="D474" s="8">
        <f>IF(A474="","",IFERROR(VLOOKUP(B474,TblArticles,3,FALSE),""))</f>
        <v/>
      </c>
      <c r="E474" s="9">
        <f>IFERROR(DATE(2000+VALUE(MID(H474,FIND("15",H474,FIND("01",H474)+16)+2,2)),VALUE(MID(H474,FIND("15",H474,FIND("01",H474)+16)+4,2)),VALUE(MID(H474,FIND("15",H474,FIND("01",H474)+16)+6,2))),"")</f>
        <v/>
      </c>
      <c r="F474" s="8">
        <f>IFERROR(MID(H474,FIND("10",H474,FIND("15",H474,FIND("01",H474)+16)+8)+2,50),"")</f>
        <v/>
      </c>
      <c r="G474" s="8" t="n"/>
      <c r="H474" s="8">
        <f>SUBSTITUTE(SUBSTITUTE(SUBSTITUTE(SUBSTITUTE(A474,"(",""),")","")," ",""),CHAR(29),"")</f>
        <v/>
      </c>
    </row>
    <row r="475">
      <c r="A475" s="4" t="n"/>
      <c r="B475" s="5">
        <f>IFERROR(MID(H475,FIND("01",H475)+2,14),"")</f>
        <v/>
      </c>
      <c r="C475" s="4">
        <f>IF(A475="","",IFERROR(VLOOKUP(B475,TblArticles,2,FALSE),"GTIN inconnu"))</f>
        <v/>
      </c>
      <c r="D475" s="5">
        <f>IF(A475="","",IFERROR(VLOOKUP(B475,TblArticles,3,FALSE),""))</f>
        <v/>
      </c>
      <c r="E475" s="6">
        <f>IFERROR(DATE(2000+VALUE(MID(H475,FIND("15",H475,FIND("01",H475)+16)+2,2)),VALUE(MID(H475,FIND("15",H475,FIND("01",H475)+16)+4,2)),VALUE(MID(H475,FIND("15",H475,FIND("01",H475)+16)+6,2))),"")</f>
        <v/>
      </c>
      <c r="F475" s="5">
        <f>IFERROR(MID(H475,FIND("10",H475,FIND("15",H475,FIND("01",H475)+16)+8)+2,50),"")</f>
        <v/>
      </c>
      <c r="G475" s="5" t="n"/>
      <c r="H475" s="5">
        <f>SUBSTITUTE(SUBSTITUTE(SUBSTITUTE(SUBSTITUTE(A475,"(",""),")","")," ",""),CHAR(29),"")</f>
        <v/>
      </c>
    </row>
    <row r="476">
      <c r="A476" s="7" t="n"/>
      <c r="B476" s="8">
        <f>IFERROR(MID(H476,FIND("01",H476)+2,14),"")</f>
        <v/>
      </c>
      <c r="C476" s="7">
        <f>IF(A476="","",IFERROR(VLOOKUP(B476,TblArticles,2,FALSE),"GTIN inconnu"))</f>
        <v/>
      </c>
      <c r="D476" s="8">
        <f>IF(A476="","",IFERROR(VLOOKUP(B476,TblArticles,3,FALSE),""))</f>
        <v/>
      </c>
      <c r="E476" s="9">
        <f>IFERROR(DATE(2000+VALUE(MID(H476,FIND("15",H476,FIND("01",H476)+16)+2,2)),VALUE(MID(H476,FIND("15",H476,FIND("01",H476)+16)+4,2)),VALUE(MID(H476,FIND("15",H476,FIND("01",H476)+16)+6,2))),"")</f>
        <v/>
      </c>
      <c r="F476" s="8">
        <f>IFERROR(MID(H476,FIND("10",H476,FIND("15",H476,FIND("01",H476)+16)+8)+2,50),"")</f>
        <v/>
      </c>
      <c r="G476" s="8" t="n"/>
      <c r="H476" s="8">
        <f>SUBSTITUTE(SUBSTITUTE(SUBSTITUTE(SUBSTITUTE(A476,"(",""),")","")," ",""),CHAR(29),"")</f>
        <v/>
      </c>
    </row>
    <row r="477">
      <c r="A477" s="4" t="n"/>
      <c r="B477" s="5">
        <f>IFERROR(MID(H477,FIND("01",H477)+2,14),"")</f>
        <v/>
      </c>
      <c r="C477" s="4">
        <f>IF(A477="","",IFERROR(VLOOKUP(B477,TblArticles,2,FALSE),"GTIN inconnu"))</f>
        <v/>
      </c>
      <c r="D477" s="5">
        <f>IF(A477="","",IFERROR(VLOOKUP(B477,TblArticles,3,FALSE),""))</f>
        <v/>
      </c>
      <c r="E477" s="6">
        <f>IFERROR(DATE(2000+VALUE(MID(H477,FIND("15",H477,FIND("01",H477)+16)+2,2)),VALUE(MID(H477,FIND("15",H477,FIND("01",H477)+16)+4,2)),VALUE(MID(H477,FIND("15",H477,FIND("01",H477)+16)+6,2))),"")</f>
        <v/>
      </c>
      <c r="F477" s="5">
        <f>IFERROR(MID(H477,FIND("10",H477,FIND("15",H477,FIND("01",H477)+16)+8)+2,50),"")</f>
        <v/>
      </c>
      <c r="G477" s="5" t="n"/>
      <c r="H477" s="5">
        <f>SUBSTITUTE(SUBSTITUTE(SUBSTITUTE(SUBSTITUTE(A477,"(",""),")","")," ",""),CHAR(29),"")</f>
        <v/>
      </c>
    </row>
    <row r="478">
      <c r="A478" s="7" t="n"/>
      <c r="B478" s="8">
        <f>IFERROR(MID(H478,FIND("01",H478)+2,14),"")</f>
        <v/>
      </c>
      <c r="C478" s="7">
        <f>IF(A478="","",IFERROR(VLOOKUP(B478,TblArticles,2,FALSE),"GTIN inconnu"))</f>
        <v/>
      </c>
      <c r="D478" s="8">
        <f>IF(A478="","",IFERROR(VLOOKUP(B478,TblArticles,3,FALSE),""))</f>
        <v/>
      </c>
      <c r="E478" s="9">
        <f>IFERROR(DATE(2000+VALUE(MID(H478,FIND("15",H478,FIND("01",H478)+16)+2,2)),VALUE(MID(H478,FIND("15",H478,FIND("01",H478)+16)+4,2)),VALUE(MID(H478,FIND("15",H478,FIND("01",H478)+16)+6,2))),"")</f>
        <v/>
      </c>
      <c r="F478" s="8">
        <f>IFERROR(MID(H478,FIND("10",H478,FIND("15",H478,FIND("01",H478)+16)+8)+2,50),"")</f>
        <v/>
      </c>
      <c r="G478" s="8" t="n"/>
      <c r="H478" s="8">
        <f>SUBSTITUTE(SUBSTITUTE(SUBSTITUTE(SUBSTITUTE(A478,"(",""),")","")," ",""),CHAR(29),"")</f>
        <v/>
      </c>
    </row>
    <row r="479">
      <c r="A479" s="4" t="n"/>
      <c r="B479" s="5">
        <f>IFERROR(MID(H479,FIND("01",H479)+2,14),"")</f>
        <v/>
      </c>
      <c r="C479" s="4">
        <f>IF(A479="","",IFERROR(VLOOKUP(B479,TblArticles,2,FALSE),"GTIN inconnu"))</f>
        <v/>
      </c>
      <c r="D479" s="5">
        <f>IF(A479="","",IFERROR(VLOOKUP(B479,TblArticles,3,FALSE),""))</f>
        <v/>
      </c>
      <c r="E479" s="6">
        <f>IFERROR(DATE(2000+VALUE(MID(H479,FIND("15",H479,FIND("01",H479)+16)+2,2)),VALUE(MID(H479,FIND("15",H479,FIND("01",H479)+16)+4,2)),VALUE(MID(H479,FIND("15",H479,FIND("01",H479)+16)+6,2))),"")</f>
        <v/>
      </c>
      <c r="F479" s="5">
        <f>IFERROR(MID(H479,FIND("10",H479,FIND("15",H479,FIND("01",H479)+16)+8)+2,50),"")</f>
        <v/>
      </c>
      <c r="G479" s="5" t="n"/>
      <c r="H479" s="5">
        <f>SUBSTITUTE(SUBSTITUTE(SUBSTITUTE(SUBSTITUTE(A479,"(",""),")","")," ",""),CHAR(29),"")</f>
        <v/>
      </c>
    </row>
    <row r="480">
      <c r="A480" s="7" t="n"/>
      <c r="B480" s="8">
        <f>IFERROR(MID(H480,FIND("01",H480)+2,14),"")</f>
        <v/>
      </c>
      <c r="C480" s="7">
        <f>IF(A480="","",IFERROR(VLOOKUP(B480,TblArticles,2,FALSE),"GTIN inconnu"))</f>
        <v/>
      </c>
      <c r="D480" s="8">
        <f>IF(A480="","",IFERROR(VLOOKUP(B480,TblArticles,3,FALSE),""))</f>
        <v/>
      </c>
      <c r="E480" s="9">
        <f>IFERROR(DATE(2000+VALUE(MID(H480,FIND("15",H480,FIND("01",H480)+16)+2,2)),VALUE(MID(H480,FIND("15",H480,FIND("01",H480)+16)+4,2)),VALUE(MID(H480,FIND("15",H480,FIND("01",H480)+16)+6,2))),"")</f>
        <v/>
      </c>
      <c r="F480" s="8">
        <f>IFERROR(MID(H480,FIND("10",H480,FIND("15",H480,FIND("01",H480)+16)+8)+2,50),"")</f>
        <v/>
      </c>
      <c r="G480" s="8" t="n"/>
      <c r="H480" s="8">
        <f>SUBSTITUTE(SUBSTITUTE(SUBSTITUTE(SUBSTITUTE(A480,"(",""),")","")," ",""),CHAR(29),"")</f>
        <v/>
      </c>
    </row>
    <row r="481">
      <c r="A481" s="4" t="n"/>
      <c r="B481" s="5">
        <f>IFERROR(MID(H481,FIND("01",H481)+2,14),"")</f>
        <v/>
      </c>
      <c r="C481" s="4">
        <f>IF(A481="","",IFERROR(VLOOKUP(B481,TblArticles,2,FALSE),"GTIN inconnu"))</f>
        <v/>
      </c>
      <c r="D481" s="5">
        <f>IF(A481="","",IFERROR(VLOOKUP(B481,TblArticles,3,FALSE),""))</f>
        <v/>
      </c>
      <c r="E481" s="6">
        <f>IFERROR(DATE(2000+VALUE(MID(H481,FIND("15",H481,FIND("01",H481)+16)+2,2)),VALUE(MID(H481,FIND("15",H481,FIND("01",H481)+16)+4,2)),VALUE(MID(H481,FIND("15",H481,FIND("01",H481)+16)+6,2))),"")</f>
        <v/>
      </c>
      <c r="F481" s="5">
        <f>IFERROR(MID(H481,FIND("10",H481,FIND("15",H481,FIND("01",H481)+16)+8)+2,50),"")</f>
        <v/>
      </c>
      <c r="G481" s="5" t="n"/>
      <c r="H481" s="5">
        <f>SUBSTITUTE(SUBSTITUTE(SUBSTITUTE(SUBSTITUTE(A481,"(",""),")","")," ",""),CHAR(29),"")</f>
        <v/>
      </c>
    </row>
    <row r="482">
      <c r="A482" s="7" t="n"/>
      <c r="B482" s="8">
        <f>IFERROR(MID(H482,FIND("01",H482)+2,14),"")</f>
        <v/>
      </c>
      <c r="C482" s="7">
        <f>IF(A482="","",IFERROR(VLOOKUP(B482,TblArticles,2,FALSE),"GTIN inconnu"))</f>
        <v/>
      </c>
      <c r="D482" s="8">
        <f>IF(A482="","",IFERROR(VLOOKUP(B482,TblArticles,3,FALSE),""))</f>
        <v/>
      </c>
      <c r="E482" s="9">
        <f>IFERROR(DATE(2000+VALUE(MID(H482,FIND("15",H482,FIND("01",H482)+16)+2,2)),VALUE(MID(H482,FIND("15",H482,FIND("01",H482)+16)+4,2)),VALUE(MID(H482,FIND("15",H482,FIND("01",H482)+16)+6,2))),"")</f>
        <v/>
      </c>
      <c r="F482" s="8">
        <f>IFERROR(MID(H482,FIND("10",H482,FIND("15",H482,FIND("01",H482)+16)+8)+2,50),"")</f>
        <v/>
      </c>
      <c r="G482" s="8" t="n"/>
      <c r="H482" s="8">
        <f>SUBSTITUTE(SUBSTITUTE(SUBSTITUTE(SUBSTITUTE(A482,"(",""),")","")," ",""),CHAR(29),"")</f>
        <v/>
      </c>
    </row>
    <row r="483">
      <c r="A483" s="4" t="n"/>
      <c r="B483" s="5">
        <f>IFERROR(MID(H483,FIND("01",H483)+2,14),"")</f>
        <v/>
      </c>
      <c r="C483" s="4">
        <f>IF(A483="","",IFERROR(VLOOKUP(B483,TblArticles,2,FALSE),"GTIN inconnu"))</f>
        <v/>
      </c>
      <c r="D483" s="5">
        <f>IF(A483="","",IFERROR(VLOOKUP(B483,TblArticles,3,FALSE),""))</f>
        <v/>
      </c>
      <c r="E483" s="6">
        <f>IFERROR(DATE(2000+VALUE(MID(H483,FIND("15",H483,FIND("01",H483)+16)+2,2)),VALUE(MID(H483,FIND("15",H483,FIND("01",H483)+16)+4,2)),VALUE(MID(H483,FIND("15",H483,FIND("01",H483)+16)+6,2))),"")</f>
        <v/>
      </c>
      <c r="F483" s="5">
        <f>IFERROR(MID(H483,FIND("10",H483,FIND("15",H483,FIND("01",H483)+16)+8)+2,50),"")</f>
        <v/>
      </c>
      <c r="G483" s="5" t="n"/>
      <c r="H483" s="5">
        <f>SUBSTITUTE(SUBSTITUTE(SUBSTITUTE(SUBSTITUTE(A483,"(",""),")","")," ",""),CHAR(29),"")</f>
        <v/>
      </c>
    </row>
    <row r="484">
      <c r="A484" s="7" t="n"/>
      <c r="B484" s="8">
        <f>IFERROR(MID(H484,FIND("01",H484)+2,14),"")</f>
        <v/>
      </c>
      <c r="C484" s="7">
        <f>IF(A484="","",IFERROR(VLOOKUP(B484,TblArticles,2,FALSE),"GTIN inconnu"))</f>
        <v/>
      </c>
      <c r="D484" s="8">
        <f>IF(A484="","",IFERROR(VLOOKUP(B484,TblArticles,3,FALSE),""))</f>
        <v/>
      </c>
      <c r="E484" s="9">
        <f>IFERROR(DATE(2000+VALUE(MID(H484,FIND("15",H484,FIND("01",H484)+16)+2,2)),VALUE(MID(H484,FIND("15",H484,FIND("01",H484)+16)+4,2)),VALUE(MID(H484,FIND("15",H484,FIND("01",H484)+16)+6,2))),"")</f>
        <v/>
      </c>
      <c r="F484" s="8">
        <f>IFERROR(MID(H484,FIND("10",H484,FIND("15",H484,FIND("01",H484)+16)+8)+2,50),"")</f>
        <v/>
      </c>
      <c r="G484" s="8" t="n"/>
      <c r="H484" s="8">
        <f>SUBSTITUTE(SUBSTITUTE(SUBSTITUTE(SUBSTITUTE(A484,"(",""),")","")," ",""),CHAR(29),"")</f>
        <v/>
      </c>
    </row>
    <row r="485">
      <c r="A485" s="4" t="n"/>
      <c r="B485" s="5">
        <f>IFERROR(MID(H485,FIND("01",H485)+2,14),"")</f>
        <v/>
      </c>
      <c r="C485" s="4">
        <f>IF(A485="","",IFERROR(VLOOKUP(B485,TblArticles,2,FALSE),"GTIN inconnu"))</f>
        <v/>
      </c>
      <c r="D485" s="5">
        <f>IF(A485="","",IFERROR(VLOOKUP(B485,TblArticles,3,FALSE),""))</f>
        <v/>
      </c>
      <c r="E485" s="6">
        <f>IFERROR(DATE(2000+VALUE(MID(H485,FIND("15",H485,FIND("01",H485)+16)+2,2)),VALUE(MID(H485,FIND("15",H485,FIND("01",H485)+16)+4,2)),VALUE(MID(H485,FIND("15",H485,FIND("01",H485)+16)+6,2))),"")</f>
        <v/>
      </c>
      <c r="F485" s="5">
        <f>IFERROR(MID(H485,FIND("10",H485,FIND("15",H485,FIND("01",H485)+16)+8)+2,50),"")</f>
        <v/>
      </c>
      <c r="G485" s="5" t="n"/>
      <c r="H485" s="5">
        <f>SUBSTITUTE(SUBSTITUTE(SUBSTITUTE(SUBSTITUTE(A485,"(",""),")","")," ",""),CHAR(29),"")</f>
        <v/>
      </c>
    </row>
    <row r="486">
      <c r="A486" s="7" t="n"/>
      <c r="B486" s="8">
        <f>IFERROR(MID(H486,FIND("01",H486)+2,14),"")</f>
        <v/>
      </c>
      <c r="C486" s="7">
        <f>IF(A486="","",IFERROR(VLOOKUP(B486,TblArticles,2,FALSE),"GTIN inconnu"))</f>
        <v/>
      </c>
      <c r="D486" s="8">
        <f>IF(A486="","",IFERROR(VLOOKUP(B486,TblArticles,3,FALSE),""))</f>
        <v/>
      </c>
      <c r="E486" s="9">
        <f>IFERROR(DATE(2000+VALUE(MID(H486,FIND("15",H486,FIND("01",H486)+16)+2,2)),VALUE(MID(H486,FIND("15",H486,FIND("01",H486)+16)+4,2)),VALUE(MID(H486,FIND("15",H486,FIND("01",H486)+16)+6,2))),"")</f>
        <v/>
      </c>
      <c r="F486" s="8">
        <f>IFERROR(MID(H486,FIND("10",H486,FIND("15",H486,FIND("01",H486)+16)+8)+2,50),"")</f>
        <v/>
      </c>
      <c r="G486" s="8" t="n"/>
      <c r="H486" s="8">
        <f>SUBSTITUTE(SUBSTITUTE(SUBSTITUTE(SUBSTITUTE(A486,"(",""),")","")," ",""),CHAR(29),"")</f>
        <v/>
      </c>
    </row>
    <row r="487">
      <c r="A487" s="4" t="n"/>
      <c r="B487" s="5">
        <f>IFERROR(MID(H487,FIND("01",H487)+2,14),"")</f>
        <v/>
      </c>
      <c r="C487" s="4">
        <f>IF(A487="","",IFERROR(VLOOKUP(B487,TblArticles,2,FALSE),"GTIN inconnu"))</f>
        <v/>
      </c>
      <c r="D487" s="5">
        <f>IF(A487="","",IFERROR(VLOOKUP(B487,TblArticles,3,FALSE),""))</f>
        <v/>
      </c>
      <c r="E487" s="6">
        <f>IFERROR(DATE(2000+VALUE(MID(H487,FIND("15",H487,FIND("01",H487)+16)+2,2)),VALUE(MID(H487,FIND("15",H487,FIND("01",H487)+16)+4,2)),VALUE(MID(H487,FIND("15",H487,FIND("01",H487)+16)+6,2))),"")</f>
        <v/>
      </c>
      <c r="F487" s="5">
        <f>IFERROR(MID(H487,FIND("10",H487,FIND("15",H487,FIND("01",H487)+16)+8)+2,50),"")</f>
        <v/>
      </c>
      <c r="G487" s="5" t="n"/>
      <c r="H487" s="5">
        <f>SUBSTITUTE(SUBSTITUTE(SUBSTITUTE(SUBSTITUTE(A487,"(",""),")","")," ",""),CHAR(29),"")</f>
        <v/>
      </c>
    </row>
    <row r="488">
      <c r="A488" s="7" t="n"/>
      <c r="B488" s="8">
        <f>IFERROR(MID(H488,FIND("01",H488)+2,14),"")</f>
        <v/>
      </c>
      <c r="C488" s="7">
        <f>IF(A488="","",IFERROR(VLOOKUP(B488,TblArticles,2,FALSE),"GTIN inconnu"))</f>
        <v/>
      </c>
      <c r="D488" s="8">
        <f>IF(A488="","",IFERROR(VLOOKUP(B488,TblArticles,3,FALSE),""))</f>
        <v/>
      </c>
      <c r="E488" s="9">
        <f>IFERROR(DATE(2000+VALUE(MID(H488,FIND("15",H488,FIND("01",H488)+16)+2,2)),VALUE(MID(H488,FIND("15",H488,FIND("01",H488)+16)+4,2)),VALUE(MID(H488,FIND("15",H488,FIND("01",H488)+16)+6,2))),"")</f>
        <v/>
      </c>
      <c r="F488" s="8">
        <f>IFERROR(MID(H488,FIND("10",H488,FIND("15",H488,FIND("01",H488)+16)+8)+2,50),"")</f>
        <v/>
      </c>
      <c r="G488" s="8" t="n"/>
      <c r="H488" s="8">
        <f>SUBSTITUTE(SUBSTITUTE(SUBSTITUTE(SUBSTITUTE(A488,"(",""),")","")," ",""),CHAR(29),"")</f>
        <v/>
      </c>
    </row>
    <row r="489">
      <c r="A489" s="4" t="n"/>
      <c r="B489" s="5">
        <f>IFERROR(MID(H489,FIND("01",H489)+2,14),"")</f>
        <v/>
      </c>
      <c r="C489" s="4">
        <f>IF(A489="","",IFERROR(VLOOKUP(B489,TblArticles,2,FALSE),"GTIN inconnu"))</f>
        <v/>
      </c>
      <c r="D489" s="5">
        <f>IF(A489="","",IFERROR(VLOOKUP(B489,TblArticles,3,FALSE),""))</f>
        <v/>
      </c>
      <c r="E489" s="6">
        <f>IFERROR(DATE(2000+VALUE(MID(H489,FIND("15",H489,FIND("01",H489)+16)+2,2)),VALUE(MID(H489,FIND("15",H489,FIND("01",H489)+16)+4,2)),VALUE(MID(H489,FIND("15",H489,FIND("01",H489)+16)+6,2))),"")</f>
        <v/>
      </c>
      <c r="F489" s="5">
        <f>IFERROR(MID(H489,FIND("10",H489,FIND("15",H489,FIND("01",H489)+16)+8)+2,50),"")</f>
        <v/>
      </c>
      <c r="G489" s="5" t="n"/>
      <c r="H489" s="5">
        <f>SUBSTITUTE(SUBSTITUTE(SUBSTITUTE(SUBSTITUTE(A489,"(",""),")","")," ",""),CHAR(29),"")</f>
        <v/>
      </c>
    </row>
    <row r="490">
      <c r="A490" s="7" t="n"/>
      <c r="B490" s="8">
        <f>IFERROR(MID(H490,FIND("01",H490)+2,14),"")</f>
        <v/>
      </c>
      <c r="C490" s="7">
        <f>IF(A490="","",IFERROR(VLOOKUP(B490,TblArticles,2,FALSE),"GTIN inconnu"))</f>
        <v/>
      </c>
      <c r="D490" s="8">
        <f>IF(A490="","",IFERROR(VLOOKUP(B490,TblArticles,3,FALSE),""))</f>
        <v/>
      </c>
      <c r="E490" s="9">
        <f>IFERROR(DATE(2000+VALUE(MID(H490,FIND("15",H490,FIND("01",H490)+16)+2,2)),VALUE(MID(H490,FIND("15",H490,FIND("01",H490)+16)+4,2)),VALUE(MID(H490,FIND("15",H490,FIND("01",H490)+16)+6,2))),"")</f>
        <v/>
      </c>
      <c r="F490" s="8">
        <f>IFERROR(MID(H490,FIND("10",H490,FIND("15",H490,FIND("01",H490)+16)+8)+2,50),"")</f>
        <v/>
      </c>
      <c r="G490" s="8" t="n"/>
      <c r="H490" s="8">
        <f>SUBSTITUTE(SUBSTITUTE(SUBSTITUTE(SUBSTITUTE(A490,"(",""),")","")," ",""),CHAR(29),"")</f>
        <v/>
      </c>
    </row>
    <row r="491">
      <c r="A491" s="4" t="n"/>
      <c r="B491" s="5">
        <f>IFERROR(MID(H491,FIND("01",H491)+2,14),"")</f>
        <v/>
      </c>
      <c r="C491" s="4">
        <f>IF(A491="","",IFERROR(VLOOKUP(B491,TblArticles,2,FALSE),"GTIN inconnu"))</f>
        <v/>
      </c>
      <c r="D491" s="5">
        <f>IF(A491="","",IFERROR(VLOOKUP(B491,TblArticles,3,FALSE),""))</f>
        <v/>
      </c>
      <c r="E491" s="6">
        <f>IFERROR(DATE(2000+VALUE(MID(H491,FIND("15",H491,FIND("01",H491)+16)+2,2)),VALUE(MID(H491,FIND("15",H491,FIND("01",H491)+16)+4,2)),VALUE(MID(H491,FIND("15",H491,FIND("01",H491)+16)+6,2))),"")</f>
        <v/>
      </c>
      <c r="F491" s="5">
        <f>IFERROR(MID(H491,FIND("10",H491,FIND("15",H491,FIND("01",H491)+16)+8)+2,50),"")</f>
        <v/>
      </c>
      <c r="G491" s="5" t="n"/>
      <c r="H491" s="5">
        <f>SUBSTITUTE(SUBSTITUTE(SUBSTITUTE(SUBSTITUTE(A491,"(",""),")","")," ",""),CHAR(29),"")</f>
        <v/>
      </c>
    </row>
    <row r="492">
      <c r="A492" s="7" t="n"/>
      <c r="B492" s="8">
        <f>IFERROR(MID(H492,FIND("01",H492)+2,14),"")</f>
        <v/>
      </c>
      <c r="C492" s="7">
        <f>IF(A492="","",IFERROR(VLOOKUP(B492,TblArticles,2,FALSE),"GTIN inconnu"))</f>
        <v/>
      </c>
      <c r="D492" s="8">
        <f>IF(A492="","",IFERROR(VLOOKUP(B492,TblArticles,3,FALSE),""))</f>
        <v/>
      </c>
      <c r="E492" s="9">
        <f>IFERROR(DATE(2000+VALUE(MID(H492,FIND("15",H492,FIND("01",H492)+16)+2,2)),VALUE(MID(H492,FIND("15",H492,FIND("01",H492)+16)+4,2)),VALUE(MID(H492,FIND("15",H492,FIND("01",H492)+16)+6,2))),"")</f>
        <v/>
      </c>
      <c r="F492" s="8">
        <f>IFERROR(MID(H492,FIND("10",H492,FIND("15",H492,FIND("01",H492)+16)+8)+2,50),"")</f>
        <v/>
      </c>
      <c r="G492" s="8" t="n"/>
      <c r="H492" s="8">
        <f>SUBSTITUTE(SUBSTITUTE(SUBSTITUTE(SUBSTITUTE(A492,"(",""),")","")," ",""),CHAR(29),"")</f>
        <v/>
      </c>
    </row>
    <row r="493">
      <c r="A493" s="4" t="n"/>
      <c r="B493" s="5">
        <f>IFERROR(MID(H493,FIND("01",H493)+2,14),"")</f>
        <v/>
      </c>
      <c r="C493" s="4">
        <f>IF(A493="","",IFERROR(VLOOKUP(B493,TblArticles,2,FALSE),"GTIN inconnu"))</f>
        <v/>
      </c>
      <c r="D493" s="5">
        <f>IF(A493="","",IFERROR(VLOOKUP(B493,TblArticles,3,FALSE),""))</f>
        <v/>
      </c>
      <c r="E493" s="6">
        <f>IFERROR(DATE(2000+VALUE(MID(H493,FIND("15",H493,FIND("01",H493)+16)+2,2)),VALUE(MID(H493,FIND("15",H493,FIND("01",H493)+16)+4,2)),VALUE(MID(H493,FIND("15",H493,FIND("01",H493)+16)+6,2))),"")</f>
        <v/>
      </c>
      <c r="F493" s="5">
        <f>IFERROR(MID(H493,FIND("10",H493,FIND("15",H493,FIND("01",H493)+16)+8)+2,50),"")</f>
        <v/>
      </c>
      <c r="G493" s="5" t="n"/>
      <c r="H493" s="5">
        <f>SUBSTITUTE(SUBSTITUTE(SUBSTITUTE(SUBSTITUTE(A493,"(",""),")","")," ",""),CHAR(29),"")</f>
        <v/>
      </c>
    </row>
    <row r="494">
      <c r="A494" s="7" t="n"/>
      <c r="B494" s="8">
        <f>IFERROR(MID(H494,FIND("01",H494)+2,14),"")</f>
        <v/>
      </c>
      <c r="C494" s="7">
        <f>IF(A494="","",IFERROR(VLOOKUP(B494,TblArticles,2,FALSE),"GTIN inconnu"))</f>
        <v/>
      </c>
      <c r="D494" s="8">
        <f>IF(A494="","",IFERROR(VLOOKUP(B494,TblArticles,3,FALSE),""))</f>
        <v/>
      </c>
      <c r="E494" s="9">
        <f>IFERROR(DATE(2000+VALUE(MID(H494,FIND("15",H494,FIND("01",H494)+16)+2,2)),VALUE(MID(H494,FIND("15",H494,FIND("01",H494)+16)+4,2)),VALUE(MID(H494,FIND("15",H494,FIND("01",H494)+16)+6,2))),"")</f>
        <v/>
      </c>
      <c r="F494" s="8">
        <f>IFERROR(MID(H494,FIND("10",H494,FIND("15",H494,FIND("01",H494)+16)+8)+2,50),"")</f>
        <v/>
      </c>
      <c r="G494" s="8" t="n"/>
      <c r="H494" s="8">
        <f>SUBSTITUTE(SUBSTITUTE(SUBSTITUTE(SUBSTITUTE(A494,"(",""),")","")," ",""),CHAR(29),"")</f>
        <v/>
      </c>
    </row>
    <row r="495">
      <c r="A495" s="4" t="n"/>
      <c r="B495" s="5">
        <f>IFERROR(MID(H495,FIND("01",H495)+2,14),"")</f>
        <v/>
      </c>
      <c r="C495" s="4">
        <f>IF(A495="","",IFERROR(VLOOKUP(B495,TblArticles,2,FALSE),"GTIN inconnu"))</f>
        <v/>
      </c>
      <c r="D495" s="5">
        <f>IF(A495="","",IFERROR(VLOOKUP(B495,TblArticles,3,FALSE),""))</f>
        <v/>
      </c>
      <c r="E495" s="6">
        <f>IFERROR(DATE(2000+VALUE(MID(H495,FIND("15",H495,FIND("01",H495)+16)+2,2)),VALUE(MID(H495,FIND("15",H495,FIND("01",H495)+16)+4,2)),VALUE(MID(H495,FIND("15",H495,FIND("01",H495)+16)+6,2))),"")</f>
        <v/>
      </c>
      <c r="F495" s="5">
        <f>IFERROR(MID(H495,FIND("10",H495,FIND("15",H495,FIND("01",H495)+16)+8)+2,50),"")</f>
        <v/>
      </c>
      <c r="G495" s="5" t="n"/>
      <c r="H495" s="5">
        <f>SUBSTITUTE(SUBSTITUTE(SUBSTITUTE(SUBSTITUTE(A495,"(",""),")","")," ",""),CHAR(29),"")</f>
        <v/>
      </c>
    </row>
    <row r="496">
      <c r="A496" s="7" t="n"/>
      <c r="B496" s="8">
        <f>IFERROR(MID(H496,FIND("01",H496)+2,14),"")</f>
        <v/>
      </c>
      <c r="C496" s="7">
        <f>IF(A496="","",IFERROR(VLOOKUP(B496,TblArticles,2,FALSE),"GTIN inconnu"))</f>
        <v/>
      </c>
      <c r="D496" s="8">
        <f>IF(A496="","",IFERROR(VLOOKUP(B496,TblArticles,3,FALSE),""))</f>
        <v/>
      </c>
      <c r="E496" s="9">
        <f>IFERROR(DATE(2000+VALUE(MID(H496,FIND("15",H496,FIND("01",H496)+16)+2,2)),VALUE(MID(H496,FIND("15",H496,FIND("01",H496)+16)+4,2)),VALUE(MID(H496,FIND("15",H496,FIND("01",H496)+16)+6,2))),"")</f>
        <v/>
      </c>
      <c r="F496" s="8">
        <f>IFERROR(MID(H496,FIND("10",H496,FIND("15",H496,FIND("01",H496)+16)+8)+2,50),"")</f>
        <v/>
      </c>
      <c r="G496" s="8" t="n"/>
      <c r="H496" s="8">
        <f>SUBSTITUTE(SUBSTITUTE(SUBSTITUTE(SUBSTITUTE(A496,"(",""),")","")," ",""),CHAR(29),"")</f>
        <v/>
      </c>
    </row>
    <row r="497">
      <c r="A497" s="4" t="n"/>
      <c r="B497" s="5">
        <f>IFERROR(MID(H497,FIND("01",H497)+2,14),"")</f>
        <v/>
      </c>
      <c r="C497" s="4">
        <f>IF(A497="","",IFERROR(VLOOKUP(B497,TblArticles,2,FALSE),"GTIN inconnu"))</f>
        <v/>
      </c>
      <c r="D497" s="5">
        <f>IF(A497="","",IFERROR(VLOOKUP(B497,TblArticles,3,FALSE),""))</f>
        <v/>
      </c>
      <c r="E497" s="6">
        <f>IFERROR(DATE(2000+VALUE(MID(H497,FIND("15",H497,FIND("01",H497)+16)+2,2)),VALUE(MID(H497,FIND("15",H497,FIND("01",H497)+16)+4,2)),VALUE(MID(H497,FIND("15",H497,FIND("01",H497)+16)+6,2))),"")</f>
        <v/>
      </c>
      <c r="F497" s="5">
        <f>IFERROR(MID(H497,FIND("10",H497,FIND("15",H497,FIND("01",H497)+16)+8)+2,50),"")</f>
        <v/>
      </c>
      <c r="G497" s="5" t="n"/>
      <c r="H497" s="5">
        <f>SUBSTITUTE(SUBSTITUTE(SUBSTITUTE(SUBSTITUTE(A497,"(",""),")","")," ",""),CHAR(29),"")</f>
        <v/>
      </c>
    </row>
    <row r="498">
      <c r="A498" s="7" t="n"/>
      <c r="B498" s="8">
        <f>IFERROR(MID(H498,FIND("01",H498)+2,14),"")</f>
        <v/>
      </c>
      <c r="C498" s="7">
        <f>IF(A498="","",IFERROR(VLOOKUP(B498,TblArticles,2,FALSE),"GTIN inconnu"))</f>
        <v/>
      </c>
      <c r="D498" s="8">
        <f>IF(A498="","",IFERROR(VLOOKUP(B498,TblArticles,3,FALSE),""))</f>
        <v/>
      </c>
      <c r="E498" s="9">
        <f>IFERROR(DATE(2000+VALUE(MID(H498,FIND("15",H498,FIND("01",H498)+16)+2,2)),VALUE(MID(H498,FIND("15",H498,FIND("01",H498)+16)+4,2)),VALUE(MID(H498,FIND("15",H498,FIND("01",H498)+16)+6,2))),"")</f>
        <v/>
      </c>
      <c r="F498" s="8">
        <f>IFERROR(MID(H498,FIND("10",H498,FIND("15",H498,FIND("01",H498)+16)+8)+2,50),"")</f>
        <v/>
      </c>
      <c r="G498" s="8" t="n"/>
      <c r="H498" s="8">
        <f>SUBSTITUTE(SUBSTITUTE(SUBSTITUTE(SUBSTITUTE(A498,"(",""),")","")," ",""),CHAR(29),"")</f>
        <v/>
      </c>
    </row>
    <row r="499">
      <c r="A499" s="4" t="n"/>
      <c r="B499" s="5">
        <f>IFERROR(MID(H499,FIND("01",H499)+2,14),"")</f>
        <v/>
      </c>
      <c r="C499" s="4">
        <f>IF(A499="","",IFERROR(VLOOKUP(B499,TblArticles,2,FALSE),"GTIN inconnu"))</f>
        <v/>
      </c>
      <c r="D499" s="5">
        <f>IF(A499="","",IFERROR(VLOOKUP(B499,TblArticles,3,FALSE),""))</f>
        <v/>
      </c>
      <c r="E499" s="6">
        <f>IFERROR(DATE(2000+VALUE(MID(H499,FIND("15",H499,FIND("01",H499)+16)+2,2)),VALUE(MID(H499,FIND("15",H499,FIND("01",H499)+16)+4,2)),VALUE(MID(H499,FIND("15",H499,FIND("01",H499)+16)+6,2))),"")</f>
        <v/>
      </c>
      <c r="F499" s="5">
        <f>IFERROR(MID(H499,FIND("10",H499,FIND("15",H499,FIND("01",H499)+16)+8)+2,50),"")</f>
        <v/>
      </c>
      <c r="G499" s="5" t="n"/>
      <c r="H499" s="5">
        <f>SUBSTITUTE(SUBSTITUTE(SUBSTITUTE(SUBSTITUTE(A499,"(",""),")","")," ",""),CHAR(29),"")</f>
        <v/>
      </c>
    </row>
    <row r="500">
      <c r="A500" s="7" t="n"/>
      <c r="B500" s="8">
        <f>IFERROR(MID(H500,FIND("01",H500)+2,14),"")</f>
        <v/>
      </c>
      <c r="C500" s="7">
        <f>IF(A500="","",IFERROR(VLOOKUP(B500,TblArticles,2,FALSE),"GTIN inconnu"))</f>
        <v/>
      </c>
      <c r="D500" s="8">
        <f>IF(A500="","",IFERROR(VLOOKUP(B500,TblArticles,3,FALSE),""))</f>
        <v/>
      </c>
      <c r="E500" s="9">
        <f>IFERROR(DATE(2000+VALUE(MID(H500,FIND("15",H500,FIND("01",H500)+16)+2,2)),VALUE(MID(H500,FIND("15",H500,FIND("01",H500)+16)+4,2)),VALUE(MID(H500,FIND("15",H500,FIND("01",H500)+16)+6,2))),"")</f>
        <v/>
      </c>
      <c r="F500" s="8">
        <f>IFERROR(MID(H500,FIND("10",H500,FIND("15",H500,FIND("01",H500)+16)+8)+2,50),"")</f>
        <v/>
      </c>
      <c r="G500" s="8" t="n"/>
      <c r="H500" s="8">
        <f>SUBSTITUTE(SUBSTITUTE(SUBSTITUTE(SUBSTITUTE(A500,"(",""),")","")," ",""),CHAR(29),"")</f>
        <v/>
      </c>
    </row>
    <row r="501">
      <c r="A501" s="4" t="n"/>
      <c r="B501" s="5">
        <f>IFERROR(MID(H501,FIND("01",H501)+2,14),"")</f>
        <v/>
      </c>
      <c r="C501" s="4">
        <f>IF(A501="","",IFERROR(VLOOKUP(B501,TblArticles,2,FALSE),"GTIN inconnu"))</f>
        <v/>
      </c>
      <c r="D501" s="5">
        <f>IF(A501="","",IFERROR(VLOOKUP(B501,TblArticles,3,FALSE),""))</f>
        <v/>
      </c>
      <c r="E501" s="6">
        <f>IFERROR(DATE(2000+VALUE(MID(H501,FIND("15",H501,FIND("01",H501)+16)+2,2)),VALUE(MID(H501,FIND("15",H501,FIND("01",H501)+16)+4,2)),VALUE(MID(H501,FIND("15",H501,FIND("01",H501)+16)+6,2))),"")</f>
        <v/>
      </c>
      <c r="F501" s="5">
        <f>IFERROR(MID(H501,FIND("10",H501,FIND("15",H501,FIND("01",H501)+16)+8)+2,50),"")</f>
        <v/>
      </c>
      <c r="G501" s="5" t="n"/>
      <c r="H501" s="5">
        <f>SUBSTITUTE(SUBSTITUTE(SUBSTITUTE(SUBSTITUTE(A501,"(",""),")","")," ",""),CHAR(29),"")</f>
        <v/>
      </c>
    </row>
    <row r="502">
      <c r="A502" s="7" t="n"/>
      <c r="B502" s="8">
        <f>IFERROR(MID(H502,FIND("01",H502)+2,14),"")</f>
        <v/>
      </c>
      <c r="C502" s="7">
        <f>IF(A502="","",IFERROR(VLOOKUP(B502,TblArticles,2,FALSE),"GTIN inconnu"))</f>
        <v/>
      </c>
      <c r="D502" s="8">
        <f>IF(A502="","",IFERROR(VLOOKUP(B502,TblArticles,3,FALSE),""))</f>
        <v/>
      </c>
      <c r="E502" s="9">
        <f>IFERROR(DATE(2000+VALUE(MID(H502,FIND("15",H502,FIND("01",H502)+16)+2,2)),VALUE(MID(H502,FIND("15",H502,FIND("01",H502)+16)+4,2)),VALUE(MID(H502,FIND("15",H502,FIND("01",H502)+16)+6,2))),"")</f>
        <v/>
      </c>
      <c r="F502" s="8">
        <f>IFERROR(MID(H502,FIND("10",H502,FIND("15",H502,FIND("01",H502)+16)+8)+2,50),"")</f>
        <v/>
      </c>
      <c r="G502" s="8" t="n"/>
      <c r="H502" s="8">
        <f>SUBSTITUTE(SUBSTITUTE(SUBSTITUTE(SUBSTITUTE(A502,"(",""),")","")," ",""),CHAR(29),"")</f>
        <v/>
      </c>
    </row>
    <row r="503">
      <c r="A503" s="4" t="n"/>
      <c r="B503" s="5">
        <f>IFERROR(MID(H503,FIND("01",H503)+2,14),"")</f>
        <v/>
      </c>
      <c r="C503" s="4">
        <f>IF(A503="","",IFERROR(VLOOKUP(B503,TblArticles,2,FALSE),"GTIN inconnu"))</f>
        <v/>
      </c>
      <c r="D503" s="5">
        <f>IF(A503="","",IFERROR(VLOOKUP(B503,TblArticles,3,FALSE),""))</f>
        <v/>
      </c>
      <c r="E503" s="6">
        <f>IFERROR(DATE(2000+VALUE(MID(H503,FIND("15",H503,FIND("01",H503)+16)+2,2)),VALUE(MID(H503,FIND("15",H503,FIND("01",H503)+16)+4,2)),VALUE(MID(H503,FIND("15",H503,FIND("01",H503)+16)+6,2))),"")</f>
        <v/>
      </c>
      <c r="F503" s="5">
        <f>IFERROR(MID(H503,FIND("10",H503,FIND("15",H503,FIND("01",H503)+16)+8)+2,50),"")</f>
        <v/>
      </c>
      <c r="G503" s="5" t="n"/>
      <c r="H503" s="5">
        <f>SUBSTITUTE(SUBSTITUTE(SUBSTITUTE(SUBSTITUTE(A503,"(",""),")","")," ",""),CHAR(29),"")</f>
        <v/>
      </c>
    </row>
    <row r="504">
      <c r="A504" s="7" t="n"/>
      <c r="B504" s="8">
        <f>IFERROR(MID(H504,FIND("01",H504)+2,14),"")</f>
        <v/>
      </c>
      <c r="C504" s="7">
        <f>IF(A504="","",IFERROR(VLOOKUP(B504,TblArticles,2,FALSE),"GTIN inconnu"))</f>
        <v/>
      </c>
      <c r="D504" s="8">
        <f>IF(A504="","",IFERROR(VLOOKUP(B504,TblArticles,3,FALSE),""))</f>
        <v/>
      </c>
      <c r="E504" s="9">
        <f>IFERROR(DATE(2000+VALUE(MID(H504,FIND("15",H504,FIND("01",H504)+16)+2,2)),VALUE(MID(H504,FIND("15",H504,FIND("01",H504)+16)+4,2)),VALUE(MID(H504,FIND("15",H504,FIND("01",H504)+16)+6,2))),"")</f>
        <v/>
      </c>
      <c r="F504" s="8">
        <f>IFERROR(MID(H504,FIND("10",H504,FIND("15",H504,FIND("01",H504)+16)+8)+2,50),"")</f>
        <v/>
      </c>
      <c r="G504" s="8" t="n"/>
      <c r="H504" s="8">
        <f>SUBSTITUTE(SUBSTITUTE(SUBSTITUTE(SUBSTITUTE(A504,"(",""),")","")," ",""),CHAR(29),"")</f>
        <v/>
      </c>
    </row>
    <row r="505">
      <c r="A505" s="4" t="n"/>
      <c r="B505" s="5">
        <f>IFERROR(MID(H505,FIND("01",H505)+2,14),"")</f>
        <v/>
      </c>
      <c r="C505" s="4">
        <f>IF(A505="","",IFERROR(VLOOKUP(B505,TblArticles,2,FALSE),"GTIN inconnu"))</f>
        <v/>
      </c>
      <c r="D505" s="5">
        <f>IF(A505="","",IFERROR(VLOOKUP(B505,TblArticles,3,FALSE),""))</f>
        <v/>
      </c>
      <c r="E505" s="6">
        <f>IFERROR(DATE(2000+VALUE(MID(H505,FIND("15",H505,FIND("01",H505)+16)+2,2)),VALUE(MID(H505,FIND("15",H505,FIND("01",H505)+16)+4,2)),VALUE(MID(H505,FIND("15",H505,FIND("01",H505)+16)+6,2))),"")</f>
        <v/>
      </c>
      <c r="F505" s="5">
        <f>IFERROR(MID(H505,FIND("10",H505,FIND("15",H505,FIND("01",H505)+16)+8)+2,50),"")</f>
        <v/>
      </c>
      <c r="G505" s="5" t="n"/>
      <c r="H505" s="5">
        <f>SUBSTITUTE(SUBSTITUTE(SUBSTITUTE(SUBSTITUTE(A505,"(",""),")","")," ",""),CHAR(29),"")</f>
        <v/>
      </c>
    </row>
    <row r="506">
      <c r="A506" s="7" t="n"/>
      <c r="B506" s="8">
        <f>IFERROR(MID(H506,FIND("01",H506)+2,14),"")</f>
        <v/>
      </c>
      <c r="C506" s="7">
        <f>IF(A506="","",IFERROR(VLOOKUP(B506,TblArticles,2,FALSE),"GTIN inconnu"))</f>
        <v/>
      </c>
      <c r="D506" s="8">
        <f>IF(A506="","",IFERROR(VLOOKUP(B506,TblArticles,3,FALSE),""))</f>
        <v/>
      </c>
      <c r="E506" s="9">
        <f>IFERROR(DATE(2000+VALUE(MID(H506,FIND("15",H506,FIND("01",H506)+16)+2,2)),VALUE(MID(H506,FIND("15",H506,FIND("01",H506)+16)+4,2)),VALUE(MID(H506,FIND("15",H506,FIND("01",H506)+16)+6,2))),"")</f>
        <v/>
      </c>
      <c r="F506" s="8">
        <f>IFERROR(MID(H506,FIND("10",H506,FIND("15",H506,FIND("01",H506)+16)+8)+2,50),"")</f>
        <v/>
      </c>
      <c r="G506" s="8" t="n"/>
      <c r="H506" s="8">
        <f>SUBSTITUTE(SUBSTITUTE(SUBSTITUTE(SUBSTITUTE(A506,"(",""),")","")," ",""),CHAR(29),"")</f>
        <v/>
      </c>
    </row>
    <row r="507">
      <c r="A507" s="4" t="n"/>
      <c r="B507" s="5">
        <f>IFERROR(MID(H507,FIND("01",H507)+2,14),"")</f>
        <v/>
      </c>
      <c r="C507" s="4">
        <f>IF(A507="","",IFERROR(VLOOKUP(B507,TblArticles,2,FALSE),"GTIN inconnu"))</f>
        <v/>
      </c>
      <c r="D507" s="5">
        <f>IF(A507="","",IFERROR(VLOOKUP(B507,TblArticles,3,FALSE),""))</f>
        <v/>
      </c>
      <c r="E507" s="6">
        <f>IFERROR(DATE(2000+VALUE(MID(H507,FIND("15",H507,FIND("01",H507)+16)+2,2)),VALUE(MID(H507,FIND("15",H507,FIND("01",H507)+16)+4,2)),VALUE(MID(H507,FIND("15",H507,FIND("01",H507)+16)+6,2))),"")</f>
        <v/>
      </c>
      <c r="F507" s="5">
        <f>IFERROR(MID(H507,FIND("10",H507,FIND("15",H507,FIND("01",H507)+16)+8)+2,50),"")</f>
        <v/>
      </c>
      <c r="G507" s="5" t="n"/>
      <c r="H507" s="5">
        <f>SUBSTITUTE(SUBSTITUTE(SUBSTITUTE(SUBSTITUTE(A507,"(",""),")","")," ",""),CHAR(29),"")</f>
        <v/>
      </c>
    </row>
    <row r="508">
      <c r="A508" s="7" t="n"/>
      <c r="B508" s="8">
        <f>IFERROR(MID(H508,FIND("01",H508)+2,14),"")</f>
        <v/>
      </c>
      <c r="C508" s="7">
        <f>IF(A508="","",IFERROR(VLOOKUP(B508,TblArticles,2,FALSE),"GTIN inconnu"))</f>
        <v/>
      </c>
      <c r="D508" s="8">
        <f>IF(A508="","",IFERROR(VLOOKUP(B508,TblArticles,3,FALSE),""))</f>
        <v/>
      </c>
      <c r="E508" s="9">
        <f>IFERROR(DATE(2000+VALUE(MID(H508,FIND("15",H508,FIND("01",H508)+16)+2,2)),VALUE(MID(H508,FIND("15",H508,FIND("01",H508)+16)+4,2)),VALUE(MID(H508,FIND("15",H508,FIND("01",H508)+16)+6,2))),"")</f>
        <v/>
      </c>
      <c r="F508" s="8">
        <f>IFERROR(MID(H508,FIND("10",H508,FIND("15",H508,FIND("01",H508)+16)+8)+2,50),"")</f>
        <v/>
      </c>
      <c r="G508" s="8" t="n"/>
      <c r="H508" s="8">
        <f>SUBSTITUTE(SUBSTITUTE(SUBSTITUTE(SUBSTITUTE(A508,"(",""),")","")," ",""),CHAR(29),"")</f>
        <v/>
      </c>
    </row>
    <row r="509">
      <c r="A509" s="4" t="n"/>
      <c r="B509" s="5">
        <f>IFERROR(MID(H509,FIND("01",H509)+2,14),"")</f>
        <v/>
      </c>
      <c r="C509" s="4">
        <f>IF(A509="","",IFERROR(VLOOKUP(B509,TblArticles,2,FALSE),"GTIN inconnu"))</f>
        <v/>
      </c>
      <c r="D509" s="5">
        <f>IF(A509="","",IFERROR(VLOOKUP(B509,TblArticles,3,FALSE),""))</f>
        <v/>
      </c>
      <c r="E509" s="6">
        <f>IFERROR(DATE(2000+VALUE(MID(H509,FIND("15",H509,FIND("01",H509)+16)+2,2)),VALUE(MID(H509,FIND("15",H509,FIND("01",H509)+16)+4,2)),VALUE(MID(H509,FIND("15",H509,FIND("01",H509)+16)+6,2))),"")</f>
        <v/>
      </c>
      <c r="F509" s="5">
        <f>IFERROR(MID(H509,FIND("10",H509,FIND("15",H509,FIND("01",H509)+16)+8)+2,50),"")</f>
        <v/>
      </c>
      <c r="G509" s="5" t="n"/>
      <c r="H509" s="5">
        <f>SUBSTITUTE(SUBSTITUTE(SUBSTITUTE(SUBSTITUTE(A509,"(",""),")","")," ",""),CHAR(29),"")</f>
        <v/>
      </c>
    </row>
    <row r="510">
      <c r="A510" s="7" t="n"/>
      <c r="B510" s="8">
        <f>IFERROR(MID(H510,FIND("01",H510)+2,14),"")</f>
        <v/>
      </c>
      <c r="C510" s="7">
        <f>IF(A510="","",IFERROR(VLOOKUP(B510,TblArticles,2,FALSE),"GTIN inconnu"))</f>
        <v/>
      </c>
      <c r="D510" s="8">
        <f>IF(A510="","",IFERROR(VLOOKUP(B510,TblArticles,3,FALSE),""))</f>
        <v/>
      </c>
      <c r="E510" s="9">
        <f>IFERROR(DATE(2000+VALUE(MID(H510,FIND("15",H510,FIND("01",H510)+16)+2,2)),VALUE(MID(H510,FIND("15",H510,FIND("01",H510)+16)+4,2)),VALUE(MID(H510,FIND("15",H510,FIND("01",H510)+16)+6,2))),"")</f>
        <v/>
      </c>
      <c r="F510" s="8">
        <f>IFERROR(MID(H510,FIND("10",H510,FIND("15",H510,FIND("01",H510)+16)+8)+2,50),"")</f>
        <v/>
      </c>
      <c r="G510" s="8" t="n"/>
      <c r="H510" s="8">
        <f>SUBSTITUTE(SUBSTITUTE(SUBSTITUTE(SUBSTITUTE(A510,"(",""),")","")," ",""),CHAR(29),"")</f>
        <v/>
      </c>
    </row>
    <row r="511">
      <c r="A511" s="4" t="n"/>
      <c r="B511" s="5">
        <f>IFERROR(MID(H511,FIND("01",H511)+2,14),"")</f>
        <v/>
      </c>
      <c r="C511" s="4">
        <f>IF(A511="","",IFERROR(VLOOKUP(B511,TblArticles,2,FALSE),"GTIN inconnu"))</f>
        <v/>
      </c>
      <c r="D511" s="5">
        <f>IF(A511="","",IFERROR(VLOOKUP(B511,TblArticles,3,FALSE),""))</f>
        <v/>
      </c>
      <c r="E511" s="6">
        <f>IFERROR(DATE(2000+VALUE(MID(H511,FIND("15",H511,FIND("01",H511)+16)+2,2)),VALUE(MID(H511,FIND("15",H511,FIND("01",H511)+16)+4,2)),VALUE(MID(H511,FIND("15",H511,FIND("01",H511)+16)+6,2))),"")</f>
        <v/>
      </c>
      <c r="F511" s="5">
        <f>IFERROR(MID(H511,FIND("10",H511,FIND("15",H511,FIND("01",H511)+16)+8)+2,50),"")</f>
        <v/>
      </c>
      <c r="G511" s="5" t="n"/>
      <c r="H511" s="5">
        <f>SUBSTITUTE(SUBSTITUTE(SUBSTITUTE(SUBSTITUTE(A511,"(",""),")","")," ",""),CHAR(29),"")</f>
        <v/>
      </c>
    </row>
    <row r="512">
      <c r="A512" s="7" t="n"/>
      <c r="B512" s="8">
        <f>IFERROR(MID(H512,FIND("01",H512)+2,14),"")</f>
        <v/>
      </c>
      <c r="C512" s="7">
        <f>IF(A512="","",IFERROR(VLOOKUP(B512,TblArticles,2,FALSE),"GTIN inconnu"))</f>
        <v/>
      </c>
      <c r="D512" s="8">
        <f>IF(A512="","",IFERROR(VLOOKUP(B512,TblArticles,3,FALSE),""))</f>
        <v/>
      </c>
      <c r="E512" s="9">
        <f>IFERROR(DATE(2000+VALUE(MID(H512,FIND("15",H512,FIND("01",H512)+16)+2,2)),VALUE(MID(H512,FIND("15",H512,FIND("01",H512)+16)+4,2)),VALUE(MID(H512,FIND("15",H512,FIND("01",H512)+16)+6,2))),"")</f>
        <v/>
      </c>
      <c r="F512" s="8">
        <f>IFERROR(MID(H512,FIND("10",H512,FIND("15",H512,FIND("01",H512)+16)+8)+2,50),"")</f>
        <v/>
      </c>
      <c r="G512" s="8" t="n"/>
      <c r="H512" s="8">
        <f>SUBSTITUTE(SUBSTITUTE(SUBSTITUTE(SUBSTITUTE(A512,"(",""),")","")," ",""),CHAR(29),"")</f>
        <v/>
      </c>
    </row>
    <row r="513">
      <c r="A513" s="4" t="n"/>
      <c r="B513" s="5">
        <f>IFERROR(MID(H513,FIND("01",H513)+2,14),"")</f>
        <v/>
      </c>
      <c r="C513" s="4">
        <f>IF(A513="","",IFERROR(VLOOKUP(B513,TblArticles,2,FALSE),"GTIN inconnu"))</f>
        <v/>
      </c>
      <c r="D513" s="5">
        <f>IF(A513="","",IFERROR(VLOOKUP(B513,TblArticles,3,FALSE),""))</f>
        <v/>
      </c>
      <c r="E513" s="6">
        <f>IFERROR(DATE(2000+VALUE(MID(H513,FIND("15",H513,FIND("01",H513)+16)+2,2)),VALUE(MID(H513,FIND("15",H513,FIND("01",H513)+16)+4,2)),VALUE(MID(H513,FIND("15",H513,FIND("01",H513)+16)+6,2))),"")</f>
        <v/>
      </c>
      <c r="F513" s="5">
        <f>IFERROR(MID(H513,FIND("10",H513,FIND("15",H513,FIND("01",H513)+16)+8)+2,50),"")</f>
        <v/>
      </c>
      <c r="G513" s="5" t="n"/>
      <c r="H513" s="5">
        <f>SUBSTITUTE(SUBSTITUTE(SUBSTITUTE(SUBSTITUTE(A513,"(",""),")","")," ",""),CHAR(29),"")</f>
        <v/>
      </c>
    </row>
    <row r="514">
      <c r="A514" s="7" t="n"/>
      <c r="B514" s="8">
        <f>IFERROR(MID(H514,FIND("01",H514)+2,14),"")</f>
        <v/>
      </c>
      <c r="C514" s="7">
        <f>IF(A514="","",IFERROR(VLOOKUP(B514,TblArticles,2,FALSE),"GTIN inconnu"))</f>
        <v/>
      </c>
      <c r="D514" s="8">
        <f>IF(A514="","",IFERROR(VLOOKUP(B514,TblArticles,3,FALSE),""))</f>
        <v/>
      </c>
      <c r="E514" s="9">
        <f>IFERROR(DATE(2000+VALUE(MID(H514,FIND("15",H514,FIND("01",H514)+16)+2,2)),VALUE(MID(H514,FIND("15",H514,FIND("01",H514)+16)+4,2)),VALUE(MID(H514,FIND("15",H514,FIND("01",H514)+16)+6,2))),"")</f>
        <v/>
      </c>
      <c r="F514" s="8">
        <f>IFERROR(MID(H514,FIND("10",H514,FIND("15",H514,FIND("01",H514)+16)+8)+2,50),"")</f>
        <v/>
      </c>
      <c r="G514" s="8" t="n"/>
      <c r="H514" s="8">
        <f>SUBSTITUTE(SUBSTITUTE(SUBSTITUTE(SUBSTITUTE(A514,"(",""),")","")," ",""),CHAR(29),"")</f>
        <v/>
      </c>
    </row>
    <row r="515">
      <c r="A515" s="4" t="n"/>
      <c r="B515" s="5">
        <f>IFERROR(MID(H515,FIND("01",H515)+2,14),"")</f>
        <v/>
      </c>
      <c r="C515" s="4">
        <f>IF(A515="","",IFERROR(VLOOKUP(B515,TblArticles,2,FALSE),"GTIN inconnu"))</f>
        <v/>
      </c>
      <c r="D515" s="5">
        <f>IF(A515="","",IFERROR(VLOOKUP(B515,TblArticles,3,FALSE),""))</f>
        <v/>
      </c>
      <c r="E515" s="6">
        <f>IFERROR(DATE(2000+VALUE(MID(H515,FIND("15",H515,FIND("01",H515)+16)+2,2)),VALUE(MID(H515,FIND("15",H515,FIND("01",H515)+16)+4,2)),VALUE(MID(H515,FIND("15",H515,FIND("01",H515)+16)+6,2))),"")</f>
        <v/>
      </c>
      <c r="F515" s="5">
        <f>IFERROR(MID(H515,FIND("10",H515,FIND("15",H515,FIND("01",H515)+16)+8)+2,50),"")</f>
        <v/>
      </c>
      <c r="G515" s="5" t="n"/>
      <c r="H515" s="5">
        <f>SUBSTITUTE(SUBSTITUTE(SUBSTITUTE(SUBSTITUTE(A515,"(",""),")","")," ",""),CHAR(29),"")</f>
        <v/>
      </c>
    </row>
    <row r="516">
      <c r="A516" s="7" t="n"/>
      <c r="B516" s="8">
        <f>IFERROR(MID(H516,FIND("01",H516)+2,14),"")</f>
        <v/>
      </c>
      <c r="C516" s="7">
        <f>IF(A516="","",IFERROR(VLOOKUP(B516,TblArticles,2,FALSE),"GTIN inconnu"))</f>
        <v/>
      </c>
      <c r="D516" s="8">
        <f>IF(A516="","",IFERROR(VLOOKUP(B516,TblArticles,3,FALSE),""))</f>
        <v/>
      </c>
      <c r="E516" s="9">
        <f>IFERROR(DATE(2000+VALUE(MID(H516,FIND("15",H516,FIND("01",H516)+16)+2,2)),VALUE(MID(H516,FIND("15",H516,FIND("01",H516)+16)+4,2)),VALUE(MID(H516,FIND("15",H516,FIND("01",H516)+16)+6,2))),"")</f>
        <v/>
      </c>
      <c r="F516" s="8">
        <f>IFERROR(MID(H516,FIND("10",H516,FIND("15",H516,FIND("01",H516)+16)+8)+2,50),"")</f>
        <v/>
      </c>
      <c r="G516" s="8" t="n"/>
      <c r="H516" s="8">
        <f>SUBSTITUTE(SUBSTITUTE(SUBSTITUTE(SUBSTITUTE(A516,"(",""),")","")," ",""),CHAR(29),"")</f>
        <v/>
      </c>
    </row>
    <row r="517">
      <c r="A517" s="4" t="n"/>
      <c r="B517" s="5">
        <f>IFERROR(MID(H517,FIND("01",H517)+2,14),"")</f>
        <v/>
      </c>
      <c r="C517" s="4">
        <f>IF(A517="","",IFERROR(VLOOKUP(B517,TblArticles,2,FALSE),"GTIN inconnu"))</f>
        <v/>
      </c>
      <c r="D517" s="5">
        <f>IF(A517="","",IFERROR(VLOOKUP(B517,TblArticles,3,FALSE),""))</f>
        <v/>
      </c>
      <c r="E517" s="6">
        <f>IFERROR(DATE(2000+VALUE(MID(H517,FIND("15",H517,FIND("01",H517)+16)+2,2)),VALUE(MID(H517,FIND("15",H517,FIND("01",H517)+16)+4,2)),VALUE(MID(H517,FIND("15",H517,FIND("01",H517)+16)+6,2))),"")</f>
        <v/>
      </c>
      <c r="F517" s="5">
        <f>IFERROR(MID(H517,FIND("10",H517,FIND("15",H517,FIND("01",H517)+16)+8)+2,50),"")</f>
        <v/>
      </c>
      <c r="G517" s="5" t="n"/>
      <c r="H517" s="5">
        <f>SUBSTITUTE(SUBSTITUTE(SUBSTITUTE(SUBSTITUTE(A517,"(",""),")","")," ",""),CHAR(29),"")</f>
        <v/>
      </c>
    </row>
    <row r="518">
      <c r="A518" s="7" t="n"/>
      <c r="B518" s="8">
        <f>IFERROR(MID(H518,FIND("01",H518)+2,14),"")</f>
        <v/>
      </c>
      <c r="C518" s="7">
        <f>IF(A518="","",IFERROR(VLOOKUP(B518,TblArticles,2,FALSE),"GTIN inconnu"))</f>
        <v/>
      </c>
      <c r="D518" s="8">
        <f>IF(A518="","",IFERROR(VLOOKUP(B518,TblArticles,3,FALSE),""))</f>
        <v/>
      </c>
      <c r="E518" s="9">
        <f>IFERROR(DATE(2000+VALUE(MID(H518,FIND("15",H518,FIND("01",H518)+16)+2,2)),VALUE(MID(H518,FIND("15",H518,FIND("01",H518)+16)+4,2)),VALUE(MID(H518,FIND("15",H518,FIND("01",H518)+16)+6,2))),"")</f>
        <v/>
      </c>
      <c r="F518" s="8">
        <f>IFERROR(MID(H518,FIND("10",H518,FIND("15",H518,FIND("01",H518)+16)+8)+2,50),"")</f>
        <v/>
      </c>
      <c r="G518" s="8" t="n"/>
      <c r="H518" s="8">
        <f>SUBSTITUTE(SUBSTITUTE(SUBSTITUTE(SUBSTITUTE(A518,"(",""),")","")," ",""),CHAR(29),"")</f>
        <v/>
      </c>
    </row>
    <row r="519">
      <c r="A519" s="4" t="n"/>
      <c r="B519" s="5">
        <f>IFERROR(MID(H519,FIND("01",H519)+2,14),"")</f>
        <v/>
      </c>
      <c r="C519" s="4">
        <f>IF(A519="","",IFERROR(VLOOKUP(B519,TblArticles,2,FALSE),"GTIN inconnu"))</f>
        <v/>
      </c>
      <c r="D519" s="5">
        <f>IF(A519="","",IFERROR(VLOOKUP(B519,TblArticles,3,FALSE),""))</f>
        <v/>
      </c>
      <c r="E519" s="6">
        <f>IFERROR(DATE(2000+VALUE(MID(H519,FIND("15",H519,FIND("01",H519)+16)+2,2)),VALUE(MID(H519,FIND("15",H519,FIND("01",H519)+16)+4,2)),VALUE(MID(H519,FIND("15",H519,FIND("01",H519)+16)+6,2))),"")</f>
        <v/>
      </c>
      <c r="F519" s="5">
        <f>IFERROR(MID(H519,FIND("10",H519,FIND("15",H519,FIND("01",H519)+16)+8)+2,50),"")</f>
        <v/>
      </c>
      <c r="G519" s="5" t="n"/>
      <c r="H519" s="5">
        <f>SUBSTITUTE(SUBSTITUTE(SUBSTITUTE(SUBSTITUTE(A519,"(",""),")","")," ",""),CHAR(29),"")</f>
        <v/>
      </c>
    </row>
    <row r="520">
      <c r="A520" s="7" t="n"/>
      <c r="B520" s="8">
        <f>IFERROR(MID(H520,FIND("01",H520)+2,14),"")</f>
        <v/>
      </c>
      <c r="C520" s="7">
        <f>IF(A520="","",IFERROR(VLOOKUP(B520,TblArticles,2,FALSE),"GTIN inconnu"))</f>
        <v/>
      </c>
      <c r="D520" s="8">
        <f>IF(A520="","",IFERROR(VLOOKUP(B520,TblArticles,3,FALSE),""))</f>
        <v/>
      </c>
      <c r="E520" s="9">
        <f>IFERROR(DATE(2000+VALUE(MID(H520,FIND("15",H520,FIND("01",H520)+16)+2,2)),VALUE(MID(H520,FIND("15",H520,FIND("01",H520)+16)+4,2)),VALUE(MID(H520,FIND("15",H520,FIND("01",H520)+16)+6,2))),"")</f>
        <v/>
      </c>
      <c r="F520" s="8">
        <f>IFERROR(MID(H520,FIND("10",H520,FIND("15",H520,FIND("01",H520)+16)+8)+2,50),"")</f>
        <v/>
      </c>
      <c r="G520" s="8" t="n"/>
      <c r="H520" s="8">
        <f>SUBSTITUTE(SUBSTITUTE(SUBSTITUTE(SUBSTITUTE(A520,"(",""),")","")," ",""),CHAR(29),"")</f>
        <v/>
      </c>
    </row>
    <row r="521">
      <c r="A521" s="4" t="n"/>
      <c r="B521" s="5">
        <f>IFERROR(MID(H521,FIND("01",H521)+2,14),"")</f>
        <v/>
      </c>
      <c r="C521" s="4">
        <f>IF(A521="","",IFERROR(VLOOKUP(B521,TblArticles,2,FALSE),"GTIN inconnu"))</f>
        <v/>
      </c>
      <c r="D521" s="5">
        <f>IF(A521="","",IFERROR(VLOOKUP(B521,TblArticles,3,FALSE),""))</f>
        <v/>
      </c>
      <c r="E521" s="6">
        <f>IFERROR(DATE(2000+VALUE(MID(H521,FIND("15",H521,FIND("01",H521)+16)+2,2)),VALUE(MID(H521,FIND("15",H521,FIND("01",H521)+16)+4,2)),VALUE(MID(H521,FIND("15",H521,FIND("01",H521)+16)+6,2))),"")</f>
        <v/>
      </c>
      <c r="F521" s="5">
        <f>IFERROR(MID(H521,FIND("10",H521,FIND("15",H521,FIND("01",H521)+16)+8)+2,50),"")</f>
        <v/>
      </c>
      <c r="G521" s="5" t="n"/>
      <c r="H521" s="5">
        <f>SUBSTITUTE(SUBSTITUTE(SUBSTITUTE(SUBSTITUTE(A521,"(",""),")","")," ",""),CHAR(29),"")</f>
        <v/>
      </c>
    </row>
    <row r="522">
      <c r="A522" s="7" t="n"/>
      <c r="B522" s="8">
        <f>IFERROR(MID(H522,FIND("01",H522)+2,14),"")</f>
        <v/>
      </c>
      <c r="C522" s="7">
        <f>IF(A522="","",IFERROR(VLOOKUP(B522,TblArticles,2,FALSE),"GTIN inconnu"))</f>
        <v/>
      </c>
      <c r="D522" s="8">
        <f>IF(A522="","",IFERROR(VLOOKUP(B522,TblArticles,3,FALSE),""))</f>
        <v/>
      </c>
      <c r="E522" s="9">
        <f>IFERROR(DATE(2000+VALUE(MID(H522,FIND("15",H522,FIND("01",H522)+16)+2,2)),VALUE(MID(H522,FIND("15",H522,FIND("01",H522)+16)+4,2)),VALUE(MID(H522,FIND("15",H522,FIND("01",H522)+16)+6,2))),"")</f>
        <v/>
      </c>
      <c r="F522" s="8">
        <f>IFERROR(MID(H522,FIND("10",H522,FIND("15",H522,FIND("01",H522)+16)+8)+2,50),"")</f>
        <v/>
      </c>
      <c r="G522" s="8" t="n"/>
      <c r="H522" s="8">
        <f>SUBSTITUTE(SUBSTITUTE(SUBSTITUTE(SUBSTITUTE(A522,"(",""),")","")," ",""),CHAR(29),"")</f>
        <v/>
      </c>
    </row>
    <row r="523">
      <c r="A523" s="4" t="n"/>
      <c r="B523" s="5">
        <f>IFERROR(MID(H523,FIND("01",H523)+2,14),"")</f>
        <v/>
      </c>
      <c r="C523" s="4">
        <f>IF(A523="","",IFERROR(VLOOKUP(B523,TblArticles,2,FALSE),"GTIN inconnu"))</f>
        <v/>
      </c>
      <c r="D523" s="5">
        <f>IF(A523="","",IFERROR(VLOOKUP(B523,TblArticles,3,FALSE),""))</f>
        <v/>
      </c>
      <c r="E523" s="6">
        <f>IFERROR(DATE(2000+VALUE(MID(H523,FIND("15",H523,FIND("01",H523)+16)+2,2)),VALUE(MID(H523,FIND("15",H523,FIND("01",H523)+16)+4,2)),VALUE(MID(H523,FIND("15",H523,FIND("01",H523)+16)+6,2))),"")</f>
        <v/>
      </c>
      <c r="F523" s="5">
        <f>IFERROR(MID(H523,FIND("10",H523,FIND("15",H523,FIND("01",H523)+16)+8)+2,50),"")</f>
        <v/>
      </c>
      <c r="G523" s="5" t="n"/>
      <c r="H523" s="5">
        <f>SUBSTITUTE(SUBSTITUTE(SUBSTITUTE(SUBSTITUTE(A523,"(",""),")","")," ",""),CHAR(29),"")</f>
        <v/>
      </c>
    </row>
    <row r="524">
      <c r="A524" s="7" t="n"/>
      <c r="B524" s="8">
        <f>IFERROR(MID(H524,FIND("01",H524)+2,14),"")</f>
        <v/>
      </c>
      <c r="C524" s="7">
        <f>IF(A524="","",IFERROR(VLOOKUP(B524,TblArticles,2,FALSE),"GTIN inconnu"))</f>
        <v/>
      </c>
      <c r="D524" s="8">
        <f>IF(A524="","",IFERROR(VLOOKUP(B524,TblArticles,3,FALSE),""))</f>
        <v/>
      </c>
      <c r="E524" s="9">
        <f>IFERROR(DATE(2000+VALUE(MID(H524,FIND("15",H524,FIND("01",H524)+16)+2,2)),VALUE(MID(H524,FIND("15",H524,FIND("01",H524)+16)+4,2)),VALUE(MID(H524,FIND("15",H524,FIND("01",H524)+16)+6,2))),"")</f>
        <v/>
      </c>
      <c r="F524" s="8">
        <f>IFERROR(MID(H524,FIND("10",H524,FIND("15",H524,FIND("01",H524)+16)+8)+2,50),"")</f>
        <v/>
      </c>
      <c r="G524" s="8" t="n"/>
      <c r="H524" s="8">
        <f>SUBSTITUTE(SUBSTITUTE(SUBSTITUTE(SUBSTITUTE(A524,"(",""),")","")," ",""),CHAR(29),"")</f>
        <v/>
      </c>
    </row>
    <row r="525">
      <c r="A525" s="4" t="n"/>
      <c r="B525" s="5">
        <f>IFERROR(MID(H525,FIND("01",H525)+2,14),"")</f>
        <v/>
      </c>
      <c r="C525" s="4">
        <f>IF(A525="","",IFERROR(VLOOKUP(B525,TblArticles,2,FALSE),"GTIN inconnu"))</f>
        <v/>
      </c>
      <c r="D525" s="5">
        <f>IF(A525="","",IFERROR(VLOOKUP(B525,TblArticles,3,FALSE),""))</f>
        <v/>
      </c>
      <c r="E525" s="6">
        <f>IFERROR(DATE(2000+VALUE(MID(H525,FIND("15",H525,FIND("01",H525)+16)+2,2)),VALUE(MID(H525,FIND("15",H525,FIND("01",H525)+16)+4,2)),VALUE(MID(H525,FIND("15",H525,FIND("01",H525)+16)+6,2))),"")</f>
        <v/>
      </c>
      <c r="F525" s="5">
        <f>IFERROR(MID(H525,FIND("10",H525,FIND("15",H525,FIND("01",H525)+16)+8)+2,50),"")</f>
        <v/>
      </c>
      <c r="G525" s="5" t="n"/>
      <c r="H525" s="5">
        <f>SUBSTITUTE(SUBSTITUTE(SUBSTITUTE(SUBSTITUTE(A525,"(",""),")","")," ",""),CHAR(29),"")</f>
        <v/>
      </c>
    </row>
    <row r="526">
      <c r="A526" s="7" t="n"/>
      <c r="B526" s="8">
        <f>IFERROR(MID(H526,FIND("01",H526)+2,14),"")</f>
        <v/>
      </c>
      <c r="C526" s="7">
        <f>IF(A526="","",IFERROR(VLOOKUP(B526,TblArticles,2,FALSE),"GTIN inconnu"))</f>
        <v/>
      </c>
      <c r="D526" s="8">
        <f>IF(A526="","",IFERROR(VLOOKUP(B526,TblArticles,3,FALSE),""))</f>
        <v/>
      </c>
      <c r="E526" s="9">
        <f>IFERROR(DATE(2000+VALUE(MID(H526,FIND("15",H526,FIND("01",H526)+16)+2,2)),VALUE(MID(H526,FIND("15",H526,FIND("01",H526)+16)+4,2)),VALUE(MID(H526,FIND("15",H526,FIND("01",H526)+16)+6,2))),"")</f>
        <v/>
      </c>
      <c r="F526" s="8">
        <f>IFERROR(MID(H526,FIND("10",H526,FIND("15",H526,FIND("01",H526)+16)+8)+2,50),"")</f>
        <v/>
      </c>
      <c r="G526" s="8" t="n"/>
      <c r="H526" s="8">
        <f>SUBSTITUTE(SUBSTITUTE(SUBSTITUTE(SUBSTITUTE(A526,"(",""),")","")," ",""),CHAR(29),"")</f>
        <v/>
      </c>
    </row>
    <row r="527">
      <c r="A527" s="4" t="n"/>
      <c r="B527" s="5">
        <f>IFERROR(MID(H527,FIND("01",H527)+2,14),"")</f>
        <v/>
      </c>
      <c r="C527" s="4">
        <f>IF(A527="","",IFERROR(VLOOKUP(B527,TblArticles,2,FALSE),"GTIN inconnu"))</f>
        <v/>
      </c>
      <c r="D527" s="5">
        <f>IF(A527="","",IFERROR(VLOOKUP(B527,TblArticles,3,FALSE),""))</f>
        <v/>
      </c>
      <c r="E527" s="6">
        <f>IFERROR(DATE(2000+VALUE(MID(H527,FIND("15",H527,FIND("01",H527)+16)+2,2)),VALUE(MID(H527,FIND("15",H527,FIND("01",H527)+16)+4,2)),VALUE(MID(H527,FIND("15",H527,FIND("01",H527)+16)+6,2))),"")</f>
        <v/>
      </c>
      <c r="F527" s="5">
        <f>IFERROR(MID(H527,FIND("10",H527,FIND("15",H527,FIND("01",H527)+16)+8)+2,50),"")</f>
        <v/>
      </c>
      <c r="G527" s="5" t="n"/>
      <c r="H527" s="5">
        <f>SUBSTITUTE(SUBSTITUTE(SUBSTITUTE(SUBSTITUTE(A527,"(",""),")","")," ",""),CHAR(29),"")</f>
        <v/>
      </c>
    </row>
    <row r="528">
      <c r="A528" s="7" t="n"/>
      <c r="B528" s="8">
        <f>IFERROR(MID(H528,FIND("01",H528)+2,14),"")</f>
        <v/>
      </c>
      <c r="C528" s="7">
        <f>IF(A528="","",IFERROR(VLOOKUP(B528,TblArticles,2,FALSE),"GTIN inconnu"))</f>
        <v/>
      </c>
      <c r="D528" s="8">
        <f>IF(A528="","",IFERROR(VLOOKUP(B528,TblArticles,3,FALSE),""))</f>
        <v/>
      </c>
      <c r="E528" s="9">
        <f>IFERROR(DATE(2000+VALUE(MID(H528,FIND("15",H528,FIND("01",H528)+16)+2,2)),VALUE(MID(H528,FIND("15",H528,FIND("01",H528)+16)+4,2)),VALUE(MID(H528,FIND("15",H528,FIND("01",H528)+16)+6,2))),"")</f>
        <v/>
      </c>
      <c r="F528" s="8">
        <f>IFERROR(MID(H528,FIND("10",H528,FIND("15",H528,FIND("01",H528)+16)+8)+2,50),"")</f>
        <v/>
      </c>
      <c r="G528" s="8" t="n"/>
      <c r="H528" s="8">
        <f>SUBSTITUTE(SUBSTITUTE(SUBSTITUTE(SUBSTITUTE(A528,"(",""),")","")," ",""),CHAR(29),"")</f>
        <v/>
      </c>
    </row>
    <row r="529">
      <c r="A529" s="4" t="n"/>
      <c r="B529" s="5">
        <f>IFERROR(MID(H529,FIND("01",H529)+2,14),"")</f>
        <v/>
      </c>
      <c r="C529" s="4">
        <f>IF(A529="","",IFERROR(VLOOKUP(B529,TblArticles,2,FALSE),"GTIN inconnu"))</f>
        <v/>
      </c>
      <c r="D529" s="5">
        <f>IF(A529="","",IFERROR(VLOOKUP(B529,TblArticles,3,FALSE),""))</f>
        <v/>
      </c>
      <c r="E529" s="6">
        <f>IFERROR(DATE(2000+VALUE(MID(H529,FIND("15",H529,FIND("01",H529)+16)+2,2)),VALUE(MID(H529,FIND("15",H529,FIND("01",H529)+16)+4,2)),VALUE(MID(H529,FIND("15",H529,FIND("01",H529)+16)+6,2))),"")</f>
        <v/>
      </c>
      <c r="F529" s="5">
        <f>IFERROR(MID(H529,FIND("10",H529,FIND("15",H529,FIND("01",H529)+16)+8)+2,50),"")</f>
        <v/>
      </c>
      <c r="G529" s="5" t="n"/>
      <c r="H529" s="5">
        <f>SUBSTITUTE(SUBSTITUTE(SUBSTITUTE(SUBSTITUTE(A529,"(",""),")","")," ",""),CHAR(29),"")</f>
        <v/>
      </c>
    </row>
    <row r="530">
      <c r="A530" s="7" t="n"/>
      <c r="B530" s="8">
        <f>IFERROR(MID(H530,FIND("01",H530)+2,14),"")</f>
        <v/>
      </c>
      <c r="C530" s="7">
        <f>IF(A530="","",IFERROR(VLOOKUP(B530,TblArticles,2,FALSE),"GTIN inconnu"))</f>
        <v/>
      </c>
      <c r="D530" s="8">
        <f>IF(A530="","",IFERROR(VLOOKUP(B530,TblArticles,3,FALSE),""))</f>
        <v/>
      </c>
      <c r="E530" s="9">
        <f>IFERROR(DATE(2000+VALUE(MID(H530,FIND("15",H530,FIND("01",H530)+16)+2,2)),VALUE(MID(H530,FIND("15",H530,FIND("01",H530)+16)+4,2)),VALUE(MID(H530,FIND("15",H530,FIND("01",H530)+16)+6,2))),"")</f>
        <v/>
      </c>
      <c r="F530" s="8">
        <f>IFERROR(MID(H530,FIND("10",H530,FIND("15",H530,FIND("01",H530)+16)+8)+2,50),"")</f>
        <v/>
      </c>
      <c r="G530" s="8" t="n"/>
      <c r="H530" s="8">
        <f>SUBSTITUTE(SUBSTITUTE(SUBSTITUTE(SUBSTITUTE(A530,"(",""),")","")," ",""),CHAR(29),"")</f>
        <v/>
      </c>
    </row>
    <row r="531">
      <c r="A531" s="4" t="n"/>
      <c r="B531" s="5">
        <f>IFERROR(MID(H531,FIND("01",H531)+2,14),"")</f>
        <v/>
      </c>
      <c r="C531" s="4">
        <f>IF(A531="","",IFERROR(VLOOKUP(B531,TblArticles,2,FALSE),"GTIN inconnu"))</f>
        <v/>
      </c>
      <c r="D531" s="5">
        <f>IF(A531="","",IFERROR(VLOOKUP(B531,TblArticles,3,FALSE),""))</f>
        <v/>
      </c>
      <c r="E531" s="6">
        <f>IFERROR(DATE(2000+VALUE(MID(H531,FIND("15",H531,FIND("01",H531)+16)+2,2)),VALUE(MID(H531,FIND("15",H531,FIND("01",H531)+16)+4,2)),VALUE(MID(H531,FIND("15",H531,FIND("01",H531)+16)+6,2))),"")</f>
        <v/>
      </c>
      <c r="F531" s="5">
        <f>IFERROR(MID(H531,FIND("10",H531,FIND("15",H531,FIND("01",H531)+16)+8)+2,50),"")</f>
        <v/>
      </c>
      <c r="G531" s="5" t="n"/>
      <c r="H531" s="5">
        <f>SUBSTITUTE(SUBSTITUTE(SUBSTITUTE(SUBSTITUTE(A531,"(",""),")","")," ",""),CHAR(29),"")</f>
        <v/>
      </c>
    </row>
    <row r="532">
      <c r="A532" s="7" t="n"/>
      <c r="B532" s="8">
        <f>IFERROR(MID(H532,FIND("01",H532)+2,14),"")</f>
        <v/>
      </c>
      <c r="C532" s="7">
        <f>IF(A532="","",IFERROR(VLOOKUP(B532,TblArticles,2,FALSE),"GTIN inconnu"))</f>
        <v/>
      </c>
      <c r="D532" s="8">
        <f>IF(A532="","",IFERROR(VLOOKUP(B532,TblArticles,3,FALSE),""))</f>
        <v/>
      </c>
      <c r="E532" s="9">
        <f>IFERROR(DATE(2000+VALUE(MID(H532,FIND("15",H532,FIND("01",H532)+16)+2,2)),VALUE(MID(H532,FIND("15",H532,FIND("01",H532)+16)+4,2)),VALUE(MID(H532,FIND("15",H532,FIND("01",H532)+16)+6,2))),"")</f>
        <v/>
      </c>
      <c r="F532" s="8">
        <f>IFERROR(MID(H532,FIND("10",H532,FIND("15",H532,FIND("01",H532)+16)+8)+2,50),"")</f>
        <v/>
      </c>
      <c r="G532" s="8" t="n"/>
      <c r="H532" s="8">
        <f>SUBSTITUTE(SUBSTITUTE(SUBSTITUTE(SUBSTITUTE(A532,"(",""),")","")," ",""),CHAR(29),"")</f>
        <v/>
      </c>
    </row>
    <row r="533">
      <c r="A533" s="4" t="n"/>
      <c r="B533" s="5">
        <f>IFERROR(MID(H533,FIND("01",H533)+2,14),"")</f>
        <v/>
      </c>
      <c r="C533" s="4">
        <f>IF(A533="","",IFERROR(VLOOKUP(B533,TblArticles,2,FALSE),"GTIN inconnu"))</f>
        <v/>
      </c>
      <c r="D533" s="5">
        <f>IF(A533="","",IFERROR(VLOOKUP(B533,TblArticles,3,FALSE),""))</f>
        <v/>
      </c>
      <c r="E533" s="6">
        <f>IFERROR(DATE(2000+VALUE(MID(H533,FIND("15",H533,FIND("01",H533)+16)+2,2)),VALUE(MID(H533,FIND("15",H533,FIND("01",H533)+16)+4,2)),VALUE(MID(H533,FIND("15",H533,FIND("01",H533)+16)+6,2))),"")</f>
        <v/>
      </c>
      <c r="F533" s="5">
        <f>IFERROR(MID(H533,FIND("10",H533,FIND("15",H533,FIND("01",H533)+16)+8)+2,50),"")</f>
        <v/>
      </c>
      <c r="G533" s="5" t="n"/>
      <c r="H533" s="5">
        <f>SUBSTITUTE(SUBSTITUTE(SUBSTITUTE(SUBSTITUTE(A533,"(",""),")","")," ",""),CHAR(29),"")</f>
        <v/>
      </c>
    </row>
    <row r="534">
      <c r="A534" s="7" t="n"/>
      <c r="B534" s="8">
        <f>IFERROR(MID(H534,FIND("01",H534)+2,14),"")</f>
        <v/>
      </c>
      <c r="C534" s="7">
        <f>IF(A534="","",IFERROR(VLOOKUP(B534,TblArticles,2,FALSE),"GTIN inconnu"))</f>
        <v/>
      </c>
      <c r="D534" s="8">
        <f>IF(A534="","",IFERROR(VLOOKUP(B534,TblArticles,3,FALSE),""))</f>
        <v/>
      </c>
      <c r="E534" s="9">
        <f>IFERROR(DATE(2000+VALUE(MID(H534,FIND("15",H534,FIND("01",H534)+16)+2,2)),VALUE(MID(H534,FIND("15",H534,FIND("01",H534)+16)+4,2)),VALUE(MID(H534,FIND("15",H534,FIND("01",H534)+16)+6,2))),"")</f>
        <v/>
      </c>
      <c r="F534" s="8">
        <f>IFERROR(MID(H534,FIND("10",H534,FIND("15",H534,FIND("01",H534)+16)+8)+2,50),"")</f>
        <v/>
      </c>
      <c r="G534" s="8" t="n"/>
      <c r="H534" s="8">
        <f>SUBSTITUTE(SUBSTITUTE(SUBSTITUTE(SUBSTITUTE(A534,"(",""),")","")," ",""),CHAR(29),"")</f>
        <v/>
      </c>
    </row>
    <row r="535">
      <c r="A535" s="4" t="n"/>
      <c r="B535" s="5">
        <f>IFERROR(MID(H535,FIND("01",H535)+2,14),"")</f>
        <v/>
      </c>
      <c r="C535" s="4">
        <f>IF(A535="","",IFERROR(VLOOKUP(B535,TblArticles,2,FALSE),"GTIN inconnu"))</f>
        <v/>
      </c>
      <c r="D535" s="5">
        <f>IF(A535="","",IFERROR(VLOOKUP(B535,TblArticles,3,FALSE),""))</f>
        <v/>
      </c>
      <c r="E535" s="6">
        <f>IFERROR(DATE(2000+VALUE(MID(H535,FIND("15",H535,FIND("01",H535)+16)+2,2)),VALUE(MID(H535,FIND("15",H535,FIND("01",H535)+16)+4,2)),VALUE(MID(H535,FIND("15",H535,FIND("01",H535)+16)+6,2))),"")</f>
        <v/>
      </c>
      <c r="F535" s="5">
        <f>IFERROR(MID(H535,FIND("10",H535,FIND("15",H535,FIND("01",H535)+16)+8)+2,50),"")</f>
        <v/>
      </c>
      <c r="G535" s="5" t="n"/>
      <c r="H535" s="5">
        <f>SUBSTITUTE(SUBSTITUTE(SUBSTITUTE(SUBSTITUTE(A535,"(",""),")","")," ",""),CHAR(29),"")</f>
        <v/>
      </c>
    </row>
    <row r="536">
      <c r="A536" s="7" t="n"/>
      <c r="B536" s="8">
        <f>IFERROR(MID(H536,FIND("01",H536)+2,14),"")</f>
        <v/>
      </c>
      <c r="C536" s="7">
        <f>IF(A536="","",IFERROR(VLOOKUP(B536,TblArticles,2,FALSE),"GTIN inconnu"))</f>
        <v/>
      </c>
      <c r="D536" s="8">
        <f>IF(A536="","",IFERROR(VLOOKUP(B536,TblArticles,3,FALSE),""))</f>
        <v/>
      </c>
      <c r="E536" s="9">
        <f>IFERROR(DATE(2000+VALUE(MID(H536,FIND("15",H536,FIND("01",H536)+16)+2,2)),VALUE(MID(H536,FIND("15",H536,FIND("01",H536)+16)+4,2)),VALUE(MID(H536,FIND("15",H536,FIND("01",H536)+16)+6,2))),"")</f>
        <v/>
      </c>
      <c r="F536" s="8">
        <f>IFERROR(MID(H536,FIND("10",H536,FIND("15",H536,FIND("01",H536)+16)+8)+2,50),"")</f>
        <v/>
      </c>
      <c r="G536" s="8" t="n"/>
      <c r="H536" s="8">
        <f>SUBSTITUTE(SUBSTITUTE(SUBSTITUTE(SUBSTITUTE(A536,"(",""),")","")," ",""),CHAR(29),"")</f>
        <v/>
      </c>
    </row>
    <row r="537">
      <c r="A537" s="4" t="n"/>
      <c r="B537" s="5">
        <f>IFERROR(MID(H537,FIND("01",H537)+2,14),"")</f>
        <v/>
      </c>
      <c r="C537" s="4">
        <f>IF(A537="","",IFERROR(VLOOKUP(B537,TblArticles,2,FALSE),"GTIN inconnu"))</f>
        <v/>
      </c>
      <c r="D537" s="5">
        <f>IF(A537="","",IFERROR(VLOOKUP(B537,TblArticles,3,FALSE),""))</f>
        <v/>
      </c>
      <c r="E537" s="6">
        <f>IFERROR(DATE(2000+VALUE(MID(H537,FIND("15",H537,FIND("01",H537)+16)+2,2)),VALUE(MID(H537,FIND("15",H537,FIND("01",H537)+16)+4,2)),VALUE(MID(H537,FIND("15",H537,FIND("01",H537)+16)+6,2))),"")</f>
        <v/>
      </c>
      <c r="F537" s="5">
        <f>IFERROR(MID(H537,FIND("10",H537,FIND("15",H537,FIND("01",H537)+16)+8)+2,50),"")</f>
        <v/>
      </c>
      <c r="G537" s="5" t="n"/>
      <c r="H537" s="5">
        <f>SUBSTITUTE(SUBSTITUTE(SUBSTITUTE(SUBSTITUTE(A537,"(",""),")","")," ",""),CHAR(29),"")</f>
        <v/>
      </c>
    </row>
    <row r="538">
      <c r="A538" s="7" t="n"/>
      <c r="B538" s="8">
        <f>IFERROR(MID(H538,FIND("01",H538)+2,14),"")</f>
        <v/>
      </c>
      <c r="C538" s="7">
        <f>IF(A538="","",IFERROR(VLOOKUP(B538,TblArticles,2,FALSE),"GTIN inconnu"))</f>
        <v/>
      </c>
      <c r="D538" s="8">
        <f>IF(A538="","",IFERROR(VLOOKUP(B538,TblArticles,3,FALSE),""))</f>
        <v/>
      </c>
      <c r="E538" s="9">
        <f>IFERROR(DATE(2000+VALUE(MID(H538,FIND("15",H538,FIND("01",H538)+16)+2,2)),VALUE(MID(H538,FIND("15",H538,FIND("01",H538)+16)+4,2)),VALUE(MID(H538,FIND("15",H538,FIND("01",H538)+16)+6,2))),"")</f>
        <v/>
      </c>
      <c r="F538" s="8">
        <f>IFERROR(MID(H538,FIND("10",H538,FIND("15",H538,FIND("01",H538)+16)+8)+2,50),"")</f>
        <v/>
      </c>
      <c r="G538" s="8" t="n"/>
      <c r="H538" s="8">
        <f>SUBSTITUTE(SUBSTITUTE(SUBSTITUTE(SUBSTITUTE(A538,"(",""),")","")," ",""),CHAR(29),"")</f>
        <v/>
      </c>
    </row>
    <row r="539">
      <c r="A539" s="4" t="n"/>
      <c r="B539" s="5">
        <f>IFERROR(MID(H539,FIND("01",H539)+2,14),"")</f>
        <v/>
      </c>
      <c r="C539" s="4">
        <f>IF(A539="","",IFERROR(VLOOKUP(B539,TblArticles,2,FALSE),"GTIN inconnu"))</f>
        <v/>
      </c>
      <c r="D539" s="5">
        <f>IF(A539="","",IFERROR(VLOOKUP(B539,TblArticles,3,FALSE),""))</f>
        <v/>
      </c>
      <c r="E539" s="6">
        <f>IFERROR(DATE(2000+VALUE(MID(H539,FIND("15",H539,FIND("01",H539)+16)+2,2)),VALUE(MID(H539,FIND("15",H539,FIND("01",H539)+16)+4,2)),VALUE(MID(H539,FIND("15",H539,FIND("01",H539)+16)+6,2))),"")</f>
        <v/>
      </c>
      <c r="F539" s="5">
        <f>IFERROR(MID(H539,FIND("10",H539,FIND("15",H539,FIND("01",H539)+16)+8)+2,50),"")</f>
        <v/>
      </c>
      <c r="G539" s="5" t="n"/>
      <c r="H539" s="5">
        <f>SUBSTITUTE(SUBSTITUTE(SUBSTITUTE(SUBSTITUTE(A539,"(",""),")","")," ",""),CHAR(29),"")</f>
        <v/>
      </c>
    </row>
    <row r="540">
      <c r="A540" s="7" t="n"/>
      <c r="B540" s="8">
        <f>IFERROR(MID(H540,FIND("01",H540)+2,14),"")</f>
        <v/>
      </c>
      <c r="C540" s="7">
        <f>IF(A540="","",IFERROR(VLOOKUP(B540,TblArticles,2,FALSE),"GTIN inconnu"))</f>
        <v/>
      </c>
      <c r="D540" s="8">
        <f>IF(A540="","",IFERROR(VLOOKUP(B540,TblArticles,3,FALSE),""))</f>
        <v/>
      </c>
      <c r="E540" s="9">
        <f>IFERROR(DATE(2000+VALUE(MID(H540,FIND("15",H540,FIND("01",H540)+16)+2,2)),VALUE(MID(H540,FIND("15",H540,FIND("01",H540)+16)+4,2)),VALUE(MID(H540,FIND("15",H540,FIND("01",H540)+16)+6,2))),"")</f>
        <v/>
      </c>
      <c r="F540" s="8">
        <f>IFERROR(MID(H540,FIND("10",H540,FIND("15",H540,FIND("01",H540)+16)+8)+2,50),"")</f>
        <v/>
      </c>
      <c r="G540" s="8" t="n"/>
      <c r="H540" s="8">
        <f>SUBSTITUTE(SUBSTITUTE(SUBSTITUTE(SUBSTITUTE(A540,"(",""),")","")," ",""),CHAR(29),"")</f>
        <v/>
      </c>
    </row>
    <row r="541">
      <c r="A541" s="4" t="n"/>
      <c r="B541" s="5">
        <f>IFERROR(MID(H541,FIND("01",H541)+2,14),"")</f>
        <v/>
      </c>
      <c r="C541" s="4">
        <f>IF(A541="","",IFERROR(VLOOKUP(B541,TblArticles,2,FALSE),"GTIN inconnu"))</f>
        <v/>
      </c>
      <c r="D541" s="5">
        <f>IF(A541="","",IFERROR(VLOOKUP(B541,TblArticles,3,FALSE),""))</f>
        <v/>
      </c>
      <c r="E541" s="6">
        <f>IFERROR(DATE(2000+VALUE(MID(H541,FIND("15",H541,FIND("01",H541)+16)+2,2)),VALUE(MID(H541,FIND("15",H541,FIND("01",H541)+16)+4,2)),VALUE(MID(H541,FIND("15",H541,FIND("01",H541)+16)+6,2))),"")</f>
        <v/>
      </c>
      <c r="F541" s="5">
        <f>IFERROR(MID(H541,FIND("10",H541,FIND("15",H541,FIND("01",H541)+16)+8)+2,50),"")</f>
        <v/>
      </c>
      <c r="G541" s="5" t="n"/>
      <c r="H541" s="5">
        <f>SUBSTITUTE(SUBSTITUTE(SUBSTITUTE(SUBSTITUTE(A541,"(",""),")","")," ",""),CHAR(29),"")</f>
        <v/>
      </c>
    </row>
    <row r="542">
      <c r="A542" s="7" t="n"/>
      <c r="B542" s="8">
        <f>IFERROR(MID(H542,FIND("01",H542)+2,14),"")</f>
        <v/>
      </c>
      <c r="C542" s="7">
        <f>IF(A542="","",IFERROR(VLOOKUP(B542,TblArticles,2,FALSE),"GTIN inconnu"))</f>
        <v/>
      </c>
      <c r="D542" s="8">
        <f>IF(A542="","",IFERROR(VLOOKUP(B542,TblArticles,3,FALSE),""))</f>
        <v/>
      </c>
      <c r="E542" s="9">
        <f>IFERROR(DATE(2000+VALUE(MID(H542,FIND("15",H542,FIND("01",H542)+16)+2,2)),VALUE(MID(H542,FIND("15",H542,FIND("01",H542)+16)+4,2)),VALUE(MID(H542,FIND("15",H542,FIND("01",H542)+16)+6,2))),"")</f>
        <v/>
      </c>
      <c r="F542" s="8">
        <f>IFERROR(MID(H542,FIND("10",H542,FIND("15",H542,FIND("01",H542)+16)+8)+2,50),"")</f>
        <v/>
      </c>
      <c r="G542" s="8" t="n"/>
      <c r="H542" s="8">
        <f>SUBSTITUTE(SUBSTITUTE(SUBSTITUTE(SUBSTITUTE(A542,"(",""),")","")," ",""),CHAR(29),"")</f>
        <v/>
      </c>
    </row>
    <row r="543">
      <c r="A543" s="4" t="n"/>
      <c r="B543" s="5">
        <f>IFERROR(MID(H543,FIND("01",H543)+2,14),"")</f>
        <v/>
      </c>
      <c r="C543" s="4">
        <f>IF(A543="","",IFERROR(VLOOKUP(B543,TblArticles,2,FALSE),"GTIN inconnu"))</f>
        <v/>
      </c>
      <c r="D543" s="5">
        <f>IF(A543="","",IFERROR(VLOOKUP(B543,TblArticles,3,FALSE),""))</f>
        <v/>
      </c>
      <c r="E543" s="6">
        <f>IFERROR(DATE(2000+VALUE(MID(H543,FIND("15",H543,FIND("01",H543)+16)+2,2)),VALUE(MID(H543,FIND("15",H543,FIND("01",H543)+16)+4,2)),VALUE(MID(H543,FIND("15",H543,FIND("01",H543)+16)+6,2))),"")</f>
        <v/>
      </c>
      <c r="F543" s="5">
        <f>IFERROR(MID(H543,FIND("10",H543,FIND("15",H543,FIND("01",H543)+16)+8)+2,50),"")</f>
        <v/>
      </c>
      <c r="G543" s="5" t="n"/>
      <c r="H543" s="5">
        <f>SUBSTITUTE(SUBSTITUTE(SUBSTITUTE(SUBSTITUTE(A543,"(",""),")","")," ",""),CHAR(29),"")</f>
        <v/>
      </c>
    </row>
    <row r="544">
      <c r="A544" s="7" t="n"/>
      <c r="B544" s="8">
        <f>IFERROR(MID(H544,FIND("01",H544)+2,14),"")</f>
        <v/>
      </c>
      <c r="C544" s="7">
        <f>IF(A544="","",IFERROR(VLOOKUP(B544,TblArticles,2,FALSE),"GTIN inconnu"))</f>
        <v/>
      </c>
      <c r="D544" s="8">
        <f>IF(A544="","",IFERROR(VLOOKUP(B544,TblArticles,3,FALSE),""))</f>
        <v/>
      </c>
      <c r="E544" s="9">
        <f>IFERROR(DATE(2000+VALUE(MID(H544,FIND("15",H544,FIND("01",H544)+16)+2,2)),VALUE(MID(H544,FIND("15",H544,FIND("01",H544)+16)+4,2)),VALUE(MID(H544,FIND("15",H544,FIND("01",H544)+16)+6,2))),"")</f>
        <v/>
      </c>
      <c r="F544" s="8">
        <f>IFERROR(MID(H544,FIND("10",H544,FIND("15",H544,FIND("01",H544)+16)+8)+2,50),"")</f>
        <v/>
      </c>
      <c r="G544" s="8" t="n"/>
      <c r="H544" s="8">
        <f>SUBSTITUTE(SUBSTITUTE(SUBSTITUTE(SUBSTITUTE(A544,"(",""),")","")," ",""),CHAR(29),"")</f>
        <v/>
      </c>
    </row>
    <row r="545">
      <c r="A545" s="4" t="n"/>
      <c r="B545" s="5">
        <f>IFERROR(MID(H545,FIND("01",H545)+2,14),"")</f>
        <v/>
      </c>
      <c r="C545" s="4">
        <f>IF(A545="","",IFERROR(VLOOKUP(B545,TblArticles,2,FALSE),"GTIN inconnu"))</f>
        <v/>
      </c>
      <c r="D545" s="5">
        <f>IF(A545="","",IFERROR(VLOOKUP(B545,TblArticles,3,FALSE),""))</f>
        <v/>
      </c>
      <c r="E545" s="6">
        <f>IFERROR(DATE(2000+VALUE(MID(H545,FIND("15",H545,FIND("01",H545)+16)+2,2)),VALUE(MID(H545,FIND("15",H545,FIND("01",H545)+16)+4,2)),VALUE(MID(H545,FIND("15",H545,FIND("01",H545)+16)+6,2))),"")</f>
        <v/>
      </c>
      <c r="F545" s="5">
        <f>IFERROR(MID(H545,FIND("10",H545,FIND("15",H545,FIND("01",H545)+16)+8)+2,50),"")</f>
        <v/>
      </c>
      <c r="G545" s="5" t="n"/>
      <c r="H545" s="5">
        <f>SUBSTITUTE(SUBSTITUTE(SUBSTITUTE(SUBSTITUTE(A545,"(",""),")","")," ",""),CHAR(29),"")</f>
        <v/>
      </c>
    </row>
    <row r="546">
      <c r="A546" s="7" t="n"/>
      <c r="B546" s="8">
        <f>IFERROR(MID(H546,FIND("01",H546)+2,14),"")</f>
        <v/>
      </c>
      <c r="C546" s="7">
        <f>IF(A546="","",IFERROR(VLOOKUP(B546,TblArticles,2,FALSE),"GTIN inconnu"))</f>
        <v/>
      </c>
      <c r="D546" s="8">
        <f>IF(A546="","",IFERROR(VLOOKUP(B546,TblArticles,3,FALSE),""))</f>
        <v/>
      </c>
      <c r="E546" s="9">
        <f>IFERROR(DATE(2000+VALUE(MID(H546,FIND("15",H546,FIND("01",H546)+16)+2,2)),VALUE(MID(H546,FIND("15",H546,FIND("01",H546)+16)+4,2)),VALUE(MID(H546,FIND("15",H546,FIND("01",H546)+16)+6,2))),"")</f>
        <v/>
      </c>
      <c r="F546" s="8">
        <f>IFERROR(MID(H546,FIND("10",H546,FIND("15",H546,FIND("01",H546)+16)+8)+2,50),"")</f>
        <v/>
      </c>
      <c r="G546" s="8" t="n"/>
      <c r="H546" s="8">
        <f>SUBSTITUTE(SUBSTITUTE(SUBSTITUTE(SUBSTITUTE(A546,"(",""),")","")," ",""),CHAR(29),"")</f>
        <v/>
      </c>
    </row>
    <row r="547">
      <c r="A547" s="4" t="n"/>
      <c r="B547" s="5">
        <f>IFERROR(MID(H547,FIND("01",H547)+2,14),"")</f>
        <v/>
      </c>
      <c r="C547" s="4">
        <f>IF(A547="","",IFERROR(VLOOKUP(B547,TblArticles,2,FALSE),"GTIN inconnu"))</f>
        <v/>
      </c>
      <c r="D547" s="5">
        <f>IF(A547="","",IFERROR(VLOOKUP(B547,TblArticles,3,FALSE),""))</f>
        <v/>
      </c>
      <c r="E547" s="6">
        <f>IFERROR(DATE(2000+VALUE(MID(H547,FIND("15",H547,FIND("01",H547)+16)+2,2)),VALUE(MID(H547,FIND("15",H547,FIND("01",H547)+16)+4,2)),VALUE(MID(H547,FIND("15",H547,FIND("01",H547)+16)+6,2))),"")</f>
        <v/>
      </c>
      <c r="F547" s="5">
        <f>IFERROR(MID(H547,FIND("10",H547,FIND("15",H547,FIND("01",H547)+16)+8)+2,50),"")</f>
        <v/>
      </c>
      <c r="G547" s="5" t="n"/>
      <c r="H547" s="5">
        <f>SUBSTITUTE(SUBSTITUTE(SUBSTITUTE(SUBSTITUTE(A547,"(",""),")","")," ",""),CHAR(29),"")</f>
        <v/>
      </c>
    </row>
    <row r="548">
      <c r="A548" s="7" t="n"/>
      <c r="B548" s="8">
        <f>IFERROR(MID(H548,FIND("01",H548)+2,14),"")</f>
        <v/>
      </c>
      <c r="C548" s="7">
        <f>IF(A548="","",IFERROR(VLOOKUP(B548,TblArticles,2,FALSE),"GTIN inconnu"))</f>
        <v/>
      </c>
      <c r="D548" s="8">
        <f>IF(A548="","",IFERROR(VLOOKUP(B548,TblArticles,3,FALSE),""))</f>
        <v/>
      </c>
      <c r="E548" s="9">
        <f>IFERROR(DATE(2000+VALUE(MID(H548,FIND("15",H548,FIND("01",H548)+16)+2,2)),VALUE(MID(H548,FIND("15",H548,FIND("01",H548)+16)+4,2)),VALUE(MID(H548,FIND("15",H548,FIND("01",H548)+16)+6,2))),"")</f>
        <v/>
      </c>
      <c r="F548" s="8">
        <f>IFERROR(MID(H548,FIND("10",H548,FIND("15",H548,FIND("01",H548)+16)+8)+2,50),"")</f>
        <v/>
      </c>
      <c r="G548" s="8" t="n"/>
      <c r="H548" s="8">
        <f>SUBSTITUTE(SUBSTITUTE(SUBSTITUTE(SUBSTITUTE(A548,"(",""),")","")," ",""),CHAR(29),"")</f>
        <v/>
      </c>
    </row>
    <row r="549">
      <c r="A549" s="4" t="n"/>
      <c r="B549" s="5">
        <f>IFERROR(MID(H549,FIND("01",H549)+2,14),"")</f>
        <v/>
      </c>
      <c r="C549" s="4">
        <f>IF(A549="","",IFERROR(VLOOKUP(B549,TblArticles,2,FALSE),"GTIN inconnu"))</f>
        <v/>
      </c>
      <c r="D549" s="5">
        <f>IF(A549="","",IFERROR(VLOOKUP(B549,TblArticles,3,FALSE),""))</f>
        <v/>
      </c>
      <c r="E549" s="6">
        <f>IFERROR(DATE(2000+VALUE(MID(H549,FIND("15",H549,FIND("01",H549)+16)+2,2)),VALUE(MID(H549,FIND("15",H549,FIND("01",H549)+16)+4,2)),VALUE(MID(H549,FIND("15",H549,FIND("01",H549)+16)+6,2))),"")</f>
        <v/>
      </c>
      <c r="F549" s="5">
        <f>IFERROR(MID(H549,FIND("10",H549,FIND("15",H549,FIND("01",H549)+16)+8)+2,50),"")</f>
        <v/>
      </c>
      <c r="G549" s="5" t="n"/>
      <c r="H549" s="5">
        <f>SUBSTITUTE(SUBSTITUTE(SUBSTITUTE(SUBSTITUTE(A549,"(",""),")","")," ",""),CHAR(29),"")</f>
        <v/>
      </c>
    </row>
    <row r="550">
      <c r="A550" s="7" t="n"/>
      <c r="B550" s="8">
        <f>IFERROR(MID(H550,FIND("01",H550)+2,14),"")</f>
        <v/>
      </c>
      <c r="C550" s="7">
        <f>IF(A550="","",IFERROR(VLOOKUP(B550,TblArticles,2,FALSE),"GTIN inconnu"))</f>
        <v/>
      </c>
      <c r="D550" s="8">
        <f>IF(A550="","",IFERROR(VLOOKUP(B550,TblArticles,3,FALSE),""))</f>
        <v/>
      </c>
      <c r="E550" s="9">
        <f>IFERROR(DATE(2000+VALUE(MID(H550,FIND("15",H550,FIND("01",H550)+16)+2,2)),VALUE(MID(H550,FIND("15",H550,FIND("01",H550)+16)+4,2)),VALUE(MID(H550,FIND("15",H550,FIND("01",H550)+16)+6,2))),"")</f>
        <v/>
      </c>
      <c r="F550" s="8">
        <f>IFERROR(MID(H550,FIND("10",H550,FIND("15",H550,FIND("01",H550)+16)+8)+2,50),"")</f>
        <v/>
      </c>
      <c r="G550" s="8" t="n"/>
      <c r="H550" s="8">
        <f>SUBSTITUTE(SUBSTITUTE(SUBSTITUTE(SUBSTITUTE(A550,"(",""),")","")," ",""),CHAR(29),"")</f>
        <v/>
      </c>
    </row>
    <row r="551">
      <c r="A551" s="4" t="n"/>
      <c r="B551" s="5">
        <f>IFERROR(MID(H551,FIND("01",H551)+2,14),"")</f>
        <v/>
      </c>
      <c r="C551" s="4">
        <f>IF(A551="","",IFERROR(VLOOKUP(B551,TblArticles,2,FALSE),"GTIN inconnu"))</f>
        <v/>
      </c>
      <c r="D551" s="5">
        <f>IF(A551="","",IFERROR(VLOOKUP(B551,TblArticles,3,FALSE),""))</f>
        <v/>
      </c>
      <c r="E551" s="6">
        <f>IFERROR(DATE(2000+VALUE(MID(H551,FIND("15",H551,FIND("01",H551)+16)+2,2)),VALUE(MID(H551,FIND("15",H551,FIND("01",H551)+16)+4,2)),VALUE(MID(H551,FIND("15",H551,FIND("01",H551)+16)+6,2))),"")</f>
        <v/>
      </c>
      <c r="F551" s="5">
        <f>IFERROR(MID(H551,FIND("10",H551,FIND("15",H551,FIND("01",H551)+16)+8)+2,50),"")</f>
        <v/>
      </c>
      <c r="G551" s="5" t="n"/>
      <c r="H551" s="5">
        <f>SUBSTITUTE(SUBSTITUTE(SUBSTITUTE(SUBSTITUTE(A551,"(",""),")","")," ",""),CHAR(29),"")</f>
        <v/>
      </c>
    </row>
    <row r="552">
      <c r="A552" s="7" t="n"/>
      <c r="B552" s="8">
        <f>IFERROR(MID(H552,FIND("01",H552)+2,14),"")</f>
        <v/>
      </c>
      <c r="C552" s="7">
        <f>IF(A552="","",IFERROR(VLOOKUP(B552,TblArticles,2,FALSE),"GTIN inconnu"))</f>
        <v/>
      </c>
      <c r="D552" s="8">
        <f>IF(A552="","",IFERROR(VLOOKUP(B552,TblArticles,3,FALSE),""))</f>
        <v/>
      </c>
      <c r="E552" s="9">
        <f>IFERROR(DATE(2000+VALUE(MID(H552,FIND("15",H552,FIND("01",H552)+16)+2,2)),VALUE(MID(H552,FIND("15",H552,FIND("01",H552)+16)+4,2)),VALUE(MID(H552,FIND("15",H552,FIND("01",H552)+16)+6,2))),"")</f>
        <v/>
      </c>
      <c r="F552" s="8">
        <f>IFERROR(MID(H552,FIND("10",H552,FIND("15",H552,FIND("01",H552)+16)+8)+2,50),"")</f>
        <v/>
      </c>
      <c r="G552" s="8" t="n"/>
      <c r="H552" s="8">
        <f>SUBSTITUTE(SUBSTITUTE(SUBSTITUTE(SUBSTITUTE(A552,"(",""),")","")," ",""),CHAR(29),"")</f>
        <v/>
      </c>
    </row>
    <row r="553">
      <c r="A553" s="4" t="n"/>
      <c r="B553" s="5">
        <f>IFERROR(MID(H553,FIND("01",H553)+2,14),"")</f>
        <v/>
      </c>
      <c r="C553" s="4">
        <f>IF(A553="","",IFERROR(VLOOKUP(B553,TblArticles,2,FALSE),"GTIN inconnu"))</f>
        <v/>
      </c>
      <c r="D553" s="5">
        <f>IF(A553="","",IFERROR(VLOOKUP(B553,TblArticles,3,FALSE),""))</f>
        <v/>
      </c>
      <c r="E553" s="6">
        <f>IFERROR(DATE(2000+VALUE(MID(H553,FIND("15",H553,FIND("01",H553)+16)+2,2)),VALUE(MID(H553,FIND("15",H553,FIND("01",H553)+16)+4,2)),VALUE(MID(H553,FIND("15",H553,FIND("01",H553)+16)+6,2))),"")</f>
        <v/>
      </c>
      <c r="F553" s="5">
        <f>IFERROR(MID(H553,FIND("10",H553,FIND("15",H553,FIND("01",H553)+16)+8)+2,50),"")</f>
        <v/>
      </c>
      <c r="G553" s="5" t="n"/>
      <c r="H553" s="5">
        <f>SUBSTITUTE(SUBSTITUTE(SUBSTITUTE(SUBSTITUTE(A553,"(",""),")","")," ",""),CHAR(29),"")</f>
        <v/>
      </c>
    </row>
    <row r="554">
      <c r="A554" s="7" t="n"/>
      <c r="B554" s="8">
        <f>IFERROR(MID(H554,FIND("01",H554)+2,14),"")</f>
        <v/>
      </c>
      <c r="C554" s="7">
        <f>IF(A554="","",IFERROR(VLOOKUP(B554,TblArticles,2,FALSE),"GTIN inconnu"))</f>
        <v/>
      </c>
      <c r="D554" s="8">
        <f>IF(A554="","",IFERROR(VLOOKUP(B554,TblArticles,3,FALSE),""))</f>
        <v/>
      </c>
      <c r="E554" s="9">
        <f>IFERROR(DATE(2000+VALUE(MID(H554,FIND("15",H554,FIND("01",H554)+16)+2,2)),VALUE(MID(H554,FIND("15",H554,FIND("01",H554)+16)+4,2)),VALUE(MID(H554,FIND("15",H554,FIND("01",H554)+16)+6,2))),"")</f>
        <v/>
      </c>
      <c r="F554" s="8">
        <f>IFERROR(MID(H554,FIND("10",H554,FIND("15",H554,FIND("01",H554)+16)+8)+2,50),"")</f>
        <v/>
      </c>
      <c r="G554" s="8" t="n"/>
      <c r="H554" s="8">
        <f>SUBSTITUTE(SUBSTITUTE(SUBSTITUTE(SUBSTITUTE(A554,"(",""),")","")," ",""),CHAR(29),"")</f>
        <v/>
      </c>
    </row>
    <row r="555">
      <c r="A555" s="4" t="n"/>
      <c r="B555" s="5">
        <f>IFERROR(MID(H555,FIND("01",H555)+2,14),"")</f>
        <v/>
      </c>
      <c r="C555" s="4">
        <f>IF(A555="","",IFERROR(VLOOKUP(B555,TblArticles,2,FALSE),"GTIN inconnu"))</f>
        <v/>
      </c>
      <c r="D555" s="5">
        <f>IF(A555="","",IFERROR(VLOOKUP(B555,TblArticles,3,FALSE),""))</f>
        <v/>
      </c>
      <c r="E555" s="6">
        <f>IFERROR(DATE(2000+VALUE(MID(H555,FIND("15",H555,FIND("01",H555)+16)+2,2)),VALUE(MID(H555,FIND("15",H555,FIND("01",H555)+16)+4,2)),VALUE(MID(H555,FIND("15",H555,FIND("01",H555)+16)+6,2))),"")</f>
        <v/>
      </c>
      <c r="F555" s="5">
        <f>IFERROR(MID(H555,FIND("10",H555,FIND("15",H555,FIND("01",H555)+16)+8)+2,50),"")</f>
        <v/>
      </c>
      <c r="G555" s="5" t="n"/>
      <c r="H555" s="5">
        <f>SUBSTITUTE(SUBSTITUTE(SUBSTITUTE(SUBSTITUTE(A555,"(",""),")","")," ",""),CHAR(29),"")</f>
        <v/>
      </c>
    </row>
    <row r="556">
      <c r="A556" s="7" t="n"/>
      <c r="B556" s="8">
        <f>IFERROR(MID(H556,FIND("01",H556)+2,14),"")</f>
        <v/>
      </c>
      <c r="C556" s="7">
        <f>IF(A556="","",IFERROR(VLOOKUP(B556,TblArticles,2,FALSE),"GTIN inconnu"))</f>
        <v/>
      </c>
      <c r="D556" s="8">
        <f>IF(A556="","",IFERROR(VLOOKUP(B556,TblArticles,3,FALSE),""))</f>
        <v/>
      </c>
      <c r="E556" s="9">
        <f>IFERROR(DATE(2000+VALUE(MID(H556,FIND("15",H556,FIND("01",H556)+16)+2,2)),VALUE(MID(H556,FIND("15",H556,FIND("01",H556)+16)+4,2)),VALUE(MID(H556,FIND("15",H556,FIND("01",H556)+16)+6,2))),"")</f>
        <v/>
      </c>
      <c r="F556" s="8">
        <f>IFERROR(MID(H556,FIND("10",H556,FIND("15",H556,FIND("01",H556)+16)+8)+2,50),"")</f>
        <v/>
      </c>
      <c r="G556" s="8" t="n"/>
      <c r="H556" s="8">
        <f>SUBSTITUTE(SUBSTITUTE(SUBSTITUTE(SUBSTITUTE(A556,"(",""),")","")," ",""),CHAR(29),"")</f>
        <v/>
      </c>
    </row>
    <row r="557">
      <c r="A557" s="4" t="n"/>
      <c r="B557" s="5">
        <f>IFERROR(MID(H557,FIND("01",H557)+2,14),"")</f>
        <v/>
      </c>
      <c r="C557" s="4">
        <f>IF(A557="","",IFERROR(VLOOKUP(B557,TblArticles,2,FALSE),"GTIN inconnu"))</f>
        <v/>
      </c>
      <c r="D557" s="5">
        <f>IF(A557="","",IFERROR(VLOOKUP(B557,TblArticles,3,FALSE),""))</f>
        <v/>
      </c>
      <c r="E557" s="6">
        <f>IFERROR(DATE(2000+VALUE(MID(H557,FIND("15",H557,FIND("01",H557)+16)+2,2)),VALUE(MID(H557,FIND("15",H557,FIND("01",H557)+16)+4,2)),VALUE(MID(H557,FIND("15",H557,FIND("01",H557)+16)+6,2))),"")</f>
        <v/>
      </c>
      <c r="F557" s="5">
        <f>IFERROR(MID(H557,FIND("10",H557,FIND("15",H557,FIND("01",H557)+16)+8)+2,50),"")</f>
        <v/>
      </c>
      <c r="G557" s="5" t="n"/>
      <c r="H557" s="5">
        <f>SUBSTITUTE(SUBSTITUTE(SUBSTITUTE(SUBSTITUTE(A557,"(",""),")","")," ",""),CHAR(29),"")</f>
        <v/>
      </c>
    </row>
    <row r="558">
      <c r="A558" s="7" t="n"/>
      <c r="B558" s="8">
        <f>IFERROR(MID(H558,FIND("01",H558)+2,14),"")</f>
        <v/>
      </c>
      <c r="C558" s="7">
        <f>IF(A558="","",IFERROR(VLOOKUP(B558,TblArticles,2,FALSE),"GTIN inconnu"))</f>
        <v/>
      </c>
      <c r="D558" s="8">
        <f>IF(A558="","",IFERROR(VLOOKUP(B558,TblArticles,3,FALSE),""))</f>
        <v/>
      </c>
      <c r="E558" s="9">
        <f>IFERROR(DATE(2000+VALUE(MID(H558,FIND("15",H558,FIND("01",H558)+16)+2,2)),VALUE(MID(H558,FIND("15",H558,FIND("01",H558)+16)+4,2)),VALUE(MID(H558,FIND("15",H558,FIND("01",H558)+16)+6,2))),"")</f>
        <v/>
      </c>
      <c r="F558" s="8">
        <f>IFERROR(MID(H558,FIND("10",H558,FIND("15",H558,FIND("01",H558)+16)+8)+2,50),"")</f>
        <v/>
      </c>
      <c r="G558" s="8" t="n"/>
      <c r="H558" s="8">
        <f>SUBSTITUTE(SUBSTITUTE(SUBSTITUTE(SUBSTITUTE(A558,"(",""),")","")," ",""),CHAR(29),"")</f>
        <v/>
      </c>
    </row>
    <row r="559">
      <c r="A559" s="4" t="n"/>
      <c r="B559" s="5">
        <f>IFERROR(MID(H559,FIND("01",H559)+2,14),"")</f>
        <v/>
      </c>
      <c r="C559" s="4">
        <f>IF(A559="","",IFERROR(VLOOKUP(B559,TblArticles,2,FALSE),"GTIN inconnu"))</f>
        <v/>
      </c>
      <c r="D559" s="5">
        <f>IF(A559="","",IFERROR(VLOOKUP(B559,TblArticles,3,FALSE),""))</f>
        <v/>
      </c>
      <c r="E559" s="6">
        <f>IFERROR(DATE(2000+VALUE(MID(H559,FIND("15",H559,FIND("01",H559)+16)+2,2)),VALUE(MID(H559,FIND("15",H559,FIND("01",H559)+16)+4,2)),VALUE(MID(H559,FIND("15",H559,FIND("01",H559)+16)+6,2))),"")</f>
        <v/>
      </c>
      <c r="F559" s="5">
        <f>IFERROR(MID(H559,FIND("10",H559,FIND("15",H559,FIND("01",H559)+16)+8)+2,50),"")</f>
        <v/>
      </c>
      <c r="G559" s="5" t="n"/>
      <c r="H559" s="5">
        <f>SUBSTITUTE(SUBSTITUTE(SUBSTITUTE(SUBSTITUTE(A559,"(",""),")","")," ",""),CHAR(29),"")</f>
        <v/>
      </c>
    </row>
    <row r="560">
      <c r="A560" s="7" t="n"/>
      <c r="B560" s="8">
        <f>IFERROR(MID(H560,FIND("01",H560)+2,14),"")</f>
        <v/>
      </c>
      <c r="C560" s="7">
        <f>IF(A560="","",IFERROR(VLOOKUP(B560,TblArticles,2,FALSE),"GTIN inconnu"))</f>
        <v/>
      </c>
      <c r="D560" s="8">
        <f>IF(A560="","",IFERROR(VLOOKUP(B560,TblArticles,3,FALSE),""))</f>
        <v/>
      </c>
      <c r="E560" s="9">
        <f>IFERROR(DATE(2000+VALUE(MID(H560,FIND("15",H560,FIND("01",H560)+16)+2,2)),VALUE(MID(H560,FIND("15",H560,FIND("01",H560)+16)+4,2)),VALUE(MID(H560,FIND("15",H560,FIND("01",H560)+16)+6,2))),"")</f>
        <v/>
      </c>
      <c r="F560" s="8">
        <f>IFERROR(MID(H560,FIND("10",H560,FIND("15",H560,FIND("01",H560)+16)+8)+2,50),"")</f>
        <v/>
      </c>
      <c r="G560" s="8" t="n"/>
      <c r="H560" s="8">
        <f>SUBSTITUTE(SUBSTITUTE(SUBSTITUTE(SUBSTITUTE(A560,"(",""),")","")," ",""),CHAR(29),"")</f>
        <v/>
      </c>
    </row>
    <row r="561">
      <c r="A561" s="4" t="n"/>
      <c r="B561" s="5">
        <f>IFERROR(MID(H561,FIND("01",H561)+2,14),"")</f>
        <v/>
      </c>
      <c r="C561" s="4">
        <f>IF(A561="","",IFERROR(VLOOKUP(B561,TblArticles,2,FALSE),"GTIN inconnu"))</f>
        <v/>
      </c>
      <c r="D561" s="5">
        <f>IF(A561="","",IFERROR(VLOOKUP(B561,TblArticles,3,FALSE),""))</f>
        <v/>
      </c>
      <c r="E561" s="6">
        <f>IFERROR(DATE(2000+VALUE(MID(H561,FIND("15",H561,FIND("01",H561)+16)+2,2)),VALUE(MID(H561,FIND("15",H561,FIND("01",H561)+16)+4,2)),VALUE(MID(H561,FIND("15",H561,FIND("01",H561)+16)+6,2))),"")</f>
        <v/>
      </c>
      <c r="F561" s="5">
        <f>IFERROR(MID(H561,FIND("10",H561,FIND("15",H561,FIND("01",H561)+16)+8)+2,50),"")</f>
        <v/>
      </c>
      <c r="G561" s="5" t="n"/>
      <c r="H561" s="5">
        <f>SUBSTITUTE(SUBSTITUTE(SUBSTITUTE(SUBSTITUTE(A561,"(",""),")","")," ",""),CHAR(29),"")</f>
        <v/>
      </c>
    </row>
    <row r="562">
      <c r="A562" s="7" t="n"/>
      <c r="B562" s="8">
        <f>IFERROR(MID(H562,FIND("01",H562)+2,14),"")</f>
        <v/>
      </c>
      <c r="C562" s="7">
        <f>IF(A562="","",IFERROR(VLOOKUP(B562,TblArticles,2,FALSE),"GTIN inconnu"))</f>
        <v/>
      </c>
      <c r="D562" s="8">
        <f>IF(A562="","",IFERROR(VLOOKUP(B562,TblArticles,3,FALSE),""))</f>
        <v/>
      </c>
      <c r="E562" s="9">
        <f>IFERROR(DATE(2000+VALUE(MID(H562,FIND("15",H562,FIND("01",H562)+16)+2,2)),VALUE(MID(H562,FIND("15",H562,FIND("01",H562)+16)+4,2)),VALUE(MID(H562,FIND("15",H562,FIND("01",H562)+16)+6,2))),"")</f>
        <v/>
      </c>
      <c r="F562" s="8">
        <f>IFERROR(MID(H562,FIND("10",H562,FIND("15",H562,FIND("01",H562)+16)+8)+2,50),"")</f>
        <v/>
      </c>
      <c r="G562" s="8" t="n"/>
      <c r="H562" s="8">
        <f>SUBSTITUTE(SUBSTITUTE(SUBSTITUTE(SUBSTITUTE(A562,"(",""),")","")," ",""),CHAR(29),"")</f>
        <v/>
      </c>
    </row>
    <row r="563">
      <c r="A563" s="4" t="n"/>
      <c r="B563" s="5">
        <f>IFERROR(MID(H563,FIND("01",H563)+2,14),"")</f>
        <v/>
      </c>
      <c r="C563" s="4">
        <f>IF(A563="","",IFERROR(VLOOKUP(B563,TblArticles,2,FALSE),"GTIN inconnu"))</f>
        <v/>
      </c>
      <c r="D563" s="5">
        <f>IF(A563="","",IFERROR(VLOOKUP(B563,TblArticles,3,FALSE),""))</f>
        <v/>
      </c>
      <c r="E563" s="6">
        <f>IFERROR(DATE(2000+VALUE(MID(H563,FIND("15",H563,FIND("01",H563)+16)+2,2)),VALUE(MID(H563,FIND("15",H563,FIND("01",H563)+16)+4,2)),VALUE(MID(H563,FIND("15",H563,FIND("01",H563)+16)+6,2))),"")</f>
        <v/>
      </c>
      <c r="F563" s="5">
        <f>IFERROR(MID(H563,FIND("10",H563,FIND("15",H563,FIND("01",H563)+16)+8)+2,50),"")</f>
        <v/>
      </c>
      <c r="G563" s="5" t="n"/>
      <c r="H563" s="5">
        <f>SUBSTITUTE(SUBSTITUTE(SUBSTITUTE(SUBSTITUTE(A563,"(",""),")","")," ",""),CHAR(29),"")</f>
        <v/>
      </c>
    </row>
    <row r="564">
      <c r="A564" s="7" t="n"/>
      <c r="B564" s="8">
        <f>IFERROR(MID(H564,FIND("01",H564)+2,14),"")</f>
        <v/>
      </c>
      <c r="C564" s="7">
        <f>IF(A564="","",IFERROR(VLOOKUP(B564,TblArticles,2,FALSE),"GTIN inconnu"))</f>
        <v/>
      </c>
      <c r="D564" s="8">
        <f>IF(A564="","",IFERROR(VLOOKUP(B564,TblArticles,3,FALSE),""))</f>
        <v/>
      </c>
      <c r="E564" s="9">
        <f>IFERROR(DATE(2000+VALUE(MID(H564,FIND("15",H564,FIND("01",H564)+16)+2,2)),VALUE(MID(H564,FIND("15",H564,FIND("01",H564)+16)+4,2)),VALUE(MID(H564,FIND("15",H564,FIND("01",H564)+16)+6,2))),"")</f>
        <v/>
      </c>
      <c r="F564" s="8">
        <f>IFERROR(MID(H564,FIND("10",H564,FIND("15",H564,FIND("01",H564)+16)+8)+2,50),"")</f>
        <v/>
      </c>
      <c r="G564" s="8" t="n"/>
      <c r="H564" s="8">
        <f>SUBSTITUTE(SUBSTITUTE(SUBSTITUTE(SUBSTITUTE(A564,"(",""),")","")," ",""),CHAR(29),"")</f>
        <v/>
      </c>
    </row>
    <row r="565">
      <c r="A565" s="4" t="n"/>
      <c r="B565" s="5">
        <f>IFERROR(MID(H565,FIND("01",H565)+2,14),"")</f>
        <v/>
      </c>
      <c r="C565" s="4">
        <f>IF(A565="","",IFERROR(VLOOKUP(B565,TblArticles,2,FALSE),"GTIN inconnu"))</f>
        <v/>
      </c>
      <c r="D565" s="5">
        <f>IF(A565="","",IFERROR(VLOOKUP(B565,TblArticles,3,FALSE),""))</f>
        <v/>
      </c>
      <c r="E565" s="6">
        <f>IFERROR(DATE(2000+VALUE(MID(H565,FIND("15",H565,FIND("01",H565)+16)+2,2)),VALUE(MID(H565,FIND("15",H565,FIND("01",H565)+16)+4,2)),VALUE(MID(H565,FIND("15",H565,FIND("01",H565)+16)+6,2))),"")</f>
        <v/>
      </c>
      <c r="F565" s="5">
        <f>IFERROR(MID(H565,FIND("10",H565,FIND("15",H565,FIND("01",H565)+16)+8)+2,50),"")</f>
        <v/>
      </c>
      <c r="G565" s="5" t="n"/>
      <c r="H565" s="5">
        <f>SUBSTITUTE(SUBSTITUTE(SUBSTITUTE(SUBSTITUTE(A565,"(",""),")","")," ",""),CHAR(29),"")</f>
        <v/>
      </c>
    </row>
    <row r="566">
      <c r="A566" s="7" t="n"/>
      <c r="B566" s="8">
        <f>IFERROR(MID(H566,FIND("01",H566)+2,14),"")</f>
        <v/>
      </c>
      <c r="C566" s="7">
        <f>IF(A566="","",IFERROR(VLOOKUP(B566,TblArticles,2,FALSE),"GTIN inconnu"))</f>
        <v/>
      </c>
      <c r="D566" s="8">
        <f>IF(A566="","",IFERROR(VLOOKUP(B566,TblArticles,3,FALSE),""))</f>
        <v/>
      </c>
      <c r="E566" s="9">
        <f>IFERROR(DATE(2000+VALUE(MID(H566,FIND("15",H566,FIND("01",H566)+16)+2,2)),VALUE(MID(H566,FIND("15",H566,FIND("01",H566)+16)+4,2)),VALUE(MID(H566,FIND("15",H566,FIND("01",H566)+16)+6,2))),"")</f>
        <v/>
      </c>
      <c r="F566" s="8">
        <f>IFERROR(MID(H566,FIND("10",H566,FIND("15",H566,FIND("01",H566)+16)+8)+2,50),"")</f>
        <v/>
      </c>
      <c r="G566" s="8" t="n"/>
      <c r="H566" s="8">
        <f>SUBSTITUTE(SUBSTITUTE(SUBSTITUTE(SUBSTITUTE(A566,"(",""),")","")," ",""),CHAR(29),"")</f>
        <v/>
      </c>
    </row>
    <row r="567">
      <c r="A567" s="4" t="n"/>
      <c r="B567" s="5">
        <f>IFERROR(MID(H567,FIND("01",H567)+2,14),"")</f>
        <v/>
      </c>
      <c r="C567" s="4">
        <f>IF(A567="","",IFERROR(VLOOKUP(B567,TblArticles,2,FALSE),"GTIN inconnu"))</f>
        <v/>
      </c>
      <c r="D567" s="5">
        <f>IF(A567="","",IFERROR(VLOOKUP(B567,TblArticles,3,FALSE),""))</f>
        <v/>
      </c>
      <c r="E567" s="6">
        <f>IFERROR(DATE(2000+VALUE(MID(H567,FIND("15",H567,FIND("01",H567)+16)+2,2)),VALUE(MID(H567,FIND("15",H567,FIND("01",H567)+16)+4,2)),VALUE(MID(H567,FIND("15",H567,FIND("01",H567)+16)+6,2))),"")</f>
        <v/>
      </c>
      <c r="F567" s="5">
        <f>IFERROR(MID(H567,FIND("10",H567,FIND("15",H567,FIND("01",H567)+16)+8)+2,50),"")</f>
        <v/>
      </c>
      <c r="G567" s="5" t="n"/>
      <c r="H567" s="5">
        <f>SUBSTITUTE(SUBSTITUTE(SUBSTITUTE(SUBSTITUTE(A567,"(",""),")","")," ",""),CHAR(29),"")</f>
        <v/>
      </c>
    </row>
    <row r="568">
      <c r="A568" s="7" t="n"/>
      <c r="B568" s="8">
        <f>IFERROR(MID(H568,FIND("01",H568)+2,14),"")</f>
        <v/>
      </c>
      <c r="C568" s="7">
        <f>IF(A568="","",IFERROR(VLOOKUP(B568,TblArticles,2,FALSE),"GTIN inconnu"))</f>
        <v/>
      </c>
      <c r="D568" s="8">
        <f>IF(A568="","",IFERROR(VLOOKUP(B568,TblArticles,3,FALSE),""))</f>
        <v/>
      </c>
      <c r="E568" s="9">
        <f>IFERROR(DATE(2000+VALUE(MID(H568,FIND("15",H568,FIND("01",H568)+16)+2,2)),VALUE(MID(H568,FIND("15",H568,FIND("01",H568)+16)+4,2)),VALUE(MID(H568,FIND("15",H568,FIND("01",H568)+16)+6,2))),"")</f>
        <v/>
      </c>
      <c r="F568" s="8">
        <f>IFERROR(MID(H568,FIND("10",H568,FIND("15",H568,FIND("01",H568)+16)+8)+2,50),"")</f>
        <v/>
      </c>
      <c r="G568" s="8" t="n"/>
      <c r="H568" s="8">
        <f>SUBSTITUTE(SUBSTITUTE(SUBSTITUTE(SUBSTITUTE(A568,"(",""),")","")," ",""),CHAR(29),"")</f>
        <v/>
      </c>
    </row>
    <row r="569">
      <c r="A569" s="4" t="n"/>
      <c r="B569" s="5">
        <f>IFERROR(MID(H569,FIND("01",H569)+2,14),"")</f>
        <v/>
      </c>
      <c r="C569" s="4">
        <f>IF(A569="","",IFERROR(VLOOKUP(B569,TblArticles,2,FALSE),"GTIN inconnu"))</f>
        <v/>
      </c>
      <c r="D569" s="5">
        <f>IF(A569="","",IFERROR(VLOOKUP(B569,TblArticles,3,FALSE),""))</f>
        <v/>
      </c>
      <c r="E569" s="6">
        <f>IFERROR(DATE(2000+VALUE(MID(H569,FIND("15",H569,FIND("01",H569)+16)+2,2)),VALUE(MID(H569,FIND("15",H569,FIND("01",H569)+16)+4,2)),VALUE(MID(H569,FIND("15",H569,FIND("01",H569)+16)+6,2))),"")</f>
        <v/>
      </c>
      <c r="F569" s="5">
        <f>IFERROR(MID(H569,FIND("10",H569,FIND("15",H569,FIND("01",H569)+16)+8)+2,50),"")</f>
        <v/>
      </c>
      <c r="G569" s="5" t="n"/>
      <c r="H569" s="5">
        <f>SUBSTITUTE(SUBSTITUTE(SUBSTITUTE(SUBSTITUTE(A569,"(",""),")","")," ",""),CHAR(29),"")</f>
        <v/>
      </c>
    </row>
    <row r="570">
      <c r="A570" s="7" t="n"/>
      <c r="B570" s="8">
        <f>IFERROR(MID(H570,FIND("01",H570)+2,14),"")</f>
        <v/>
      </c>
      <c r="C570" s="7">
        <f>IF(A570="","",IFERROR(VLOOKUP(B570,TblArticles,2,FALSE),"GTIN inconnu"))</f>
        <v/>
      </c>
      <c r="D570" s="8">
        <f>IF(A570="","",IFERROR(VLOOKUP(B570,TblArticles,3,FALSE),""))</f>
        <v/>
      </c>
      <c r="E570" s="9">
        <f>IFERROR(DATE(2000+VALUE(MID(H570,FIND("15",H570,FIND("01",H570)+16)+2,2)),VALUE(MID(H570,FIND("15",H570,FIND("01",H570)+16)+4,2)),VALUE(MID(H570,FIND("15",H570,FIND("01",H570)+16)+6,2))),"")</f>
        <v/>
      </c>
      <c r="F570" s="8">
        <f>IFERROR(MID(H570,FIND("10",H570,FIND("15",H570,FIND("01",H570)+16)+8)+2,50),"")</f>
        <v/>
      </c>
      <c r="G570" s="8" t="n"/>
      <c r="H570" s="8">
        <f>SUBSTITUTE(SUBSTITUTE(SUBSTITUTE(SUBSTITUTE(A570,"(",""),")","")," ",""),CHAR(29),"")</f>
        <v/>
      </c>
    </row>
    <row r="571">
      <c r="A571" s="4" t="n"/>
      <c r="B571" s="5">
        <f>IFERROR(MID(H571,FIND("01",H571)+2,14),"")</f>
        <v/>
      </c>
      <c r="C571" s="4">
        <f>IF(A571="","",IFERROR(VLOOKUP(B571,TblArticles,2,FALSE),"GTIN inconnu"))</f>
        <v/>
      </c>
      <c r="D571" s="5">
        <f>IF(A571="","",IFERROR(VLOOKUP(B571,TblArticles,3,FALSE),""))</f>
        <v/>
      </c>
      <c r="E571" s="6">
        <f>IFERROR(DATE(2000+VALUE(MID(H571,FIND("15",H571,FIND("01",H571)+16)+2,2)),VALUE(MID(H571,FIND("15",H571,FIND("01",H571)+16)+4,2)),VALUE(MID(H571,FIND("15",H571,FIND("01",H571)+16)+6,2))),"")</f>
        <v/>
      </c>
      <c r="F571" s="5">
        <f>IFERROR(MID(H571,FIND("10",H571,FIND("15",H571,FIND("01",H571)+16)+8)+2,50),"")</f>
        <v/>
      </c>
      <c r="G571" s="5" t="n"/>
      <c r="H571" s="5">
        <f>SUBSTITUTE(SUBSTITUTE(SUBSTITUTE(SUBSTITUTE(A571,"(",""),")","")," ",""),CHAR(29),"")</f>
        <v/>
      </c>
    </row>
    <row r="572">
      <c r="A572" s="7" t="n"/>
      <c r="B572" s="8">
        <f>IFERROR(MID(H572,FIND("01",H572)+2,14),"")</f>
        <v/>
      </c>
      <c r="C572" s="7">
        <f>IF(A572="","",IFERROR(VLOOKUP(B572,TblArticles,2,FALSE),"GTIN inconnu"))</f>
        <v/>
      </c>
      <c r="D572" s="8">
        <f>IF(A572="","",IFERROR(VLOOKUP(B572,TblArticles,3,FALSE),""))</f>
        <v/>
      </c>
      <c r="E572" s="9">
        <f>IFERROR(DATE(2000+VALUE(MID(H572,FIND("15",H572,FIND("01",H572)+16)+2,2)),VALUE(MID(H572,FIND("15",H572,FIND("01",H572)+16)+4,2)),VALUE(MID(H572,FIND("15",H572,FIND("01",H572)+16)+6,2))),"")</f>
        <v/>
      </c>
      <c r="F572" s="8">
        <f>IFERROR(MID(H572,FIND("10",H572,FIND("15",H572,FIND("01",H572)+16)+8)+2,50),"")</f>
        <v/>
      </c>
      <c r="G572" s="8" t="n"/>
      <c r="H572" s="8">
        <f>SUBSTITUTE(SUBSTITUTE(SUBSTITUTE(SUBSTITUTE(A572,"(",""),")","")," ",""),CHAR(29),"")</f>
        <v/>
      </c>
    </row>
    <row r="573">
      <c r="A573" s="4" t="n"/>
      <c r="B573" s="5">
        <f>IFERROR(MID(H573,FIND("01",H573)+2,14),"")</f>
        <v/>
      </c>
      <c r="C573" s="4">
        <f>IF(A573="","",IFERROR(VLOOKUP(B573,TblArticles,2,FALSE),"GTIN inconnu"))</f>
        <v/>
      </c>
      <c r="D573" s="5">
        <f>IF(A573="","",IFERROR(VLOOKUP(B573,TblArticles,3,FALSE),""))</f>
        <v/>
      </c>
      <c r="E573" s="6">
        <f>IFERROR(DATE(2000+VALUE(MID(H573,FIND("15",H573,FIND("01",H573)+16)+2,2)),VALUE(MID(H573,FIND("15",H573,FIND("01",H573)+16)+4,2)),VALUE(MID(H573,FIND("15",H573,FIND("01",H573)+16)+6,2))),"")</f>
        <v/>
      </c>
      <c r="F573" s="5">
        <f>IFERROR(MID(H573,FIND("10",H573,FIND("15",H573,FIND("01",H573)+16)+8)+2,50),"")</f>
        <v/>
      </c>
      <c r="G573" s="5" t="n"/>
      <c r="H573" s="5">
        <f>SUBSTITUTE(SUBSTITUTE(SUBSTITUTE(SUBSTITUTE(A573,"(",""),")","")," ",""),CHAR(29),"")</f>
        <v/>
      </c>
    </row>
    <row r="574">
      <c r="A574" s="7" t="n"/>
      <c r="B574" s="8">
        <f>IFERROR(MID(H574,FIND("01",H574)+2,14),"")</f>
        <v/>
      </c>
      <c r="C574" s="7">
        <f>IF(A574="","",IFERROR(VLOOKUP(B574,TblArticles,2,FALSE),"GTIN inconnu"))</f>
        <v/>
      </c>
      <c r="D574" s="8">
        <f>IF(A574="","",IFERROR(VLOOKUP(B574,TblArticles,3,FALSE),""))</f>
        <v/>
      </c>
      <c r="E574" s="9">
        <f>IFERROR(DATE(2000+VALUE(MID(H574,FIND("15",H574,FIND("01",H574)+16)+2,2)),VALUE(MID(H574,FIND("15",H574,FIND("01",H574)+16)+4,2)),VALUE(MID(H574,FIND("15",H574,FIND("01",H574)+16)+6,2))),"")</f>
        <v/>
      </c>
      <c r="F574" s="8">
        <f>IFERROR(MID(H574,FIND("10",H574,FIND("15",H574,FIND("01",H574)+16)+8)+2,50),"")</f>
        <v/>
      </c>
      <c r="G574" s="8" t="n"/>
      <c r="H574" s="8">
        <f>SUBSTITUTE(SUBSTITUTE(SUBSTITUTE(SUBSTITUTE(A574,"(",""),")","")," ",""),CHAR(29),"")</f>
        <v/>
      </c>
    </row>
    <row r="575">
      <c r="A575" s="4" t="n"/>
      <c r="B575" s="5">
        <f>IFERROR(MID(H575,FIND("01",H575)+2,14),"")</f>
        <v/>
      </c>
      <c r="C575" s="4">
        <f>IF(A575="","",IFERROR(VLOOKUP(B575,TblArticles,2,FALSE),"GTIN inconnu"))</f>
        <v/>
      </c>
      <c r="D575" s="5">
        <f>IF(A575="","",IFERROR(VLOOKUP(B575,TblArticles,3,FALSE),""))</f>
        <v/>
      </c>
      <c r="E575" s="6">
        <f>IFERROR(DATE(2000+VALUE(MID(H575,FIND("15",H575,FIND("01",H575)+16)+2,2)),VALUE(MID(H575,FIND("15",H575,FIND("01",H575)+16)+4,2)),VALUE(MID(H575,FIND("15",H575,FIND("01",H575)+16)+6,2))),"")</f>
        <v/>
      </c>
      <c r="F575" s="5">
        <f>IFERROR(MID(H575,FIND("10",H575,FIND("15",H575,FIND("01",H575)+16)+8)+2,50),"")</f>
        <v/>
      </c>
      <c r="G575" s="5" t="n"/>
      <c r="H575" s="5">
        <f>SUBSTITUTE(SUBSTITUTE(SUBSTITUTE(SUBSTITUTE(A575,"(",""),")","")," ",""),CHAR(29),"")</f>
        <v/>
      </c>
    </row>
    <row r="576">
      <c r="A576" s="7" t="n"/>
      <c r="B576" s="8">
        <f>IFERROR(MID(H576,FIND("01",H576)+2,14),"")</f>
        <v/>
      </c>
      <c r="C576" s="7">
        <f>IF(A576="","",IFERROR(VLOOKUP(B576,TblArticles,2,FALSE),"GTIN inconnu"))</f>
        <v/>
      </c>
      <c r="D576" s="8">
        <f>IF(A576="","",IFERROR(VLOOKUP(B576,TblArticles,3,FALSE),""))</f>
        <v/>
      </c>
      <c r="E576" s="9">
        <f>IFERROR(DATE(2000+VALUE(MID(H576,FIND("15",H576,FIND("01",H576)+16)+2,2)),VALUE(MID(H576,FIND("15",H576,FIND("01",H576)+16)+4,2)),VALUE(MID(H576,FIND("15",H576,FIND("01",H576)+16)+6,2))),"")</f>
        <v/>
      </c>
      <c r="F576" s="8">
        <f>IFERROR(MID(H576,FIND("10",H576,FIND("15",H576,FIND("01",H576)+16)+8)+2,50),"")</f>
        <v/>
      </c>
      <c r="G576" s="8" t="n"/>
      <c r="H576" s="8">
        <f>SUBSTITUTE(SUBSTITUTE(SUBSTITUTE(SUBSTITUTE(A576,"(",""),")","")," ",""),CHAR(29),"")</f>
        <v/>
      </c>
    </row>
    <row r="577">
      <c r="A577" s="4" t="n"/>
      <c r="B577" s="5">
        <f>IFERROR(MID(H577,FIND("01",H577)+2,14),"")</f>
        <v/>
      </c>
      <c r="C577" s="4">
        <f>IF(A577="","",IFERROR(VLOOKUP(B577,TblArticles,2,FALSE),"GTIN inconnu"))</f>
        <v/>
      </c>
      <c r="D577" s="5">
        <f>IF(A577="","",IFERROR(VLOOKUP(B577,TblArticles,3,FALSE),""))</f>
        <v/>
      </c>
      <c r="E577" s="6">
        <f>IFERROR(DATE(2000+VALUE(MID(H577,FIND("15",H577,FIND("01",H577)+16)+2,2)),VALUE(MID(H577,FIND("15",H577,FIND("01",H577)+16)+4,2)),VALUE(MID(H577,FIND("15",H577,FIND("01",H577)+16)+6,2))),"")</f>
        <v/>
      </c>
      <c r="F577" s="5">
        <f>IFERROR(MID(H577,FIND("10",H577,FIND("15",H577,FIND("01",H577)+16)+8)+2,50),"")</f>
        <v/>
      </c>
      <c r="G577" s="5" t="n"/>
      <c r="H577" s="5">
        <f>SUBSTITUTE(SUBSTITUTE(SUBSTITUTE(SUBSTITUTE(A577,"(",""),")","")," ",""),CHAR(29),"")</f>
        <v/>
      </c>
    </row>
    <row r="578">
      <c r="A578" s="7" t="n"/>
      <c r="B578" s="8">
        <f>IFERROR(MID(H578,FIND("01",H578)+2,14),"")</f>
        <v/>
      </c>
      <c r="C578" s="7">
        <f>IF(A578="","",IFERROR(VLOOKUP(B578,TblArticles,2,FALSE),"GTIN inconnu"))</f>
        <v/>
      </c>
      <c r="D578" s="8">
        <f>IF(A578="","",IFERROR(VLOOKUP(B578,TblArticles,3,FALSE),""))</f>
        <v/>
      </c>
      <c r="E578" s="9">
        <f>IFERROR(DATE(2000+VALUE(MID(H578,FIND("15",H578,FIND("01",H578)+16)+2,2)),VALUE(MID(H578,FIND("15",H578,FIND("01",H578)+16)+4,2)),VALUE(MID(H578,FIND("15",H578,FIND("01",H578)+16)+6,2))),"")</f>
        <v/>
      </c>
      <c r="F578" s="8">
        <f>IFERROR(MID(H578,FIND("10",H578,FIND("15",H578,FIND("01",H578)+16)+8)+2,50),"")</f>
        <v/>
      </c>
      <c r="G578" s="8" t="n"/>
      <c r="H578" s="8">
        <f>SUBSTITUTE(SUBSTITUTE(SUBSTITUTE(SUBSTITUTE(A578,"(",""),")","")," ",""),CHAR(29),"")</f>
        <v/>
      </c>
    </row>
    <row r="579">
      <c r="A579" s="4" t="n"/>
      <c r="B579" s="5">
        <f>IFERROR(MID(H579,FIND("01",H579)+2,14),"")</f>
        <v/>
      </c>
      <c r="C579" s="4">
        <f>IF(A579="","",IFERROR(VLOOKUP(B579,TblArticles,2,FALSE),"GTIN inconnu"))</f>
        <v/>
      </c>
      <c r="D579" s="5">
        <f>IF(A579="","",IFERROR(VLOOKUP(B579,TblArticles,3,FALSE),""))</f>
        <v/>
      </c>
      <c r="E579" s="6">
        <f>IFERROR(DATE(2000+VALUE(MID(H579,FIND("15",H579,FIND("01",H579)+16)+2,2)),VALUE(MID(H579,FIND("15",H579,FIND("01",H579)+16)+4,2)),VALUE(MID(H579,FIND("15",H579,FIND("01",H579)+16)+6,2))),"")</f>
        <v/>
      </c>
      <c r="F579" s="5">
        <f>IFERROR(MID(H579,FIND("10",H579,FIND("15",H579,FIND("01",H579)+16)+8)+2,50),"")</f>
        <v/>
      </c>
      <c r="G579" s="5" t="n"/>
      <c r="H579" s="5">
        <f>SUBSTITUTE(SUBSTITUTE(SUBSTITUTE(SUBSTITUTE(A579,"(",""),")","")," ",""),CHAR(29),"")</f>
        <v/>
      </c>
    </row>
    <row r="580">
      <c r="A580" s="7" t="n"/>
      <c r="B580" s="8">
        <f>IFERROR(MID(H580,FIND("01",H580)+2,14),"")</f>
        <v/>
      </c>
      <c r="C580" s="7">
        <f>IF(A580="","",IFERROR(VLOOKUP(B580,TblArticles,2,FALSE),"GTIN inconnu"))</f>
        <v/>
      </c>
      <c r="D580" s="8">
        <f>IF(A580="","",IFERROR(VLOOKUP(B580,TblArticles,3,FALSE),""))</f>
        <v/>
      </c>
      <c r="E580" s="9">
        <f>IFERROR(DATE(2000+VALUE(MID(H580,FIND("15",H580,FIND("01",H580)+16)+2,2)),VALUE(MID(H580,FIND("15",H580,FIND("01",H580)+16)+4,2)),VALUE(MID(H580,FIND("15",H580,FIND("01",H580)+16)+6,2))),"")</f>
        <v/>
      </c>
      <c r="F580" s="8">
        <f>IFERROR(MID(H580,FIND("10",H580,FIND("15",H580,FIND("01",H580)+16)+8)+2,50),"")</f>
        <v/>
      </c>
      <c r="G580" s="8" t="n"/>
      <c r="H580" s="8">
        <f>SUBSTITUTE(SUBSTITUTE(SUBSTITUTE(SUBSTITUTE(A580,"(",""),")","")," ",""),CHAR(29),"")</f>
        <v/>
      </c>
    </row>
    <row r="581">
      <c r="A581" s="4" t="n"/>
      <c r="B581" s="5">
        <f>IFERROR(MID(H581,FIND("01",H581)+2,14),"")</f>
        <v/>
      </c>
      <c r="C581" s="4">
        <f>IF(A581="","",IFERROR(VLOOKUP(B581,TblArticles,2,FALSE),"GTIN inconnu"))</f>
        <v/>
      </c>
      <c r="D581" s="5">
        <f>IF(A581="","",IFERROR(VLOOKUP(B581,TblArticles,3,FALSE),""))</f>
        <v/>
      </c>
      <c r="E581" s="6">
        <f>IFERROR(DATE(2000+VALUE(MID(H581,FIND("15",H581,FIND("01",H581)+16)+2,2)),VALUE(MID(H581,FIND("15",H581,FIND("01",H581)+16)+4,2)),VALUE(MID(H581,FIND("15",H581,FIND("01",H581)+16)+6,2))),"")</f>
        <v/>
      </c>
      <c r="F581" s="5">
        <f>IFERROR(MID(H581,FIND("10",H581,FIND("15",H581,FIND("01",H581)+16)+8)+2,50),"")</f>
        <v/>
      </c>
      <c r="G581" s="5" t="n"/>
      <c r="H581" s="5">
        <f>SUBSTITUTE(SUBSTITUTE(SUBSTITUTE(SUBSTITUTE(A581,"(",""),")","")," ",""),CHAR(29),"")</f>
        <v/>
      </c>
    </row>
    <row r="582">
      <c r="A582" s="7" t="n"/>
      <c r="B582" s="8">
        <f>IFERROR(MID(H582,FIND("01",H582)+2,14),"")</f>
        <v/>
      </c>
      <c r="C582" s="7">
        <f>IF(A582="","",IFERROR(VLOOKUP(B582,TblArticles,2,FALSE),"GTIN inconnu"))</f>
        <v/>
      </c>
      <c r="D582" s="8">
        <f>IF(A582="","",IFERROR(VLOOKUP(B582,TblArticles,3,FALSE),""))</f>
        <v/>
      </c>
      <c r="E582" s="9">
        <f>IFERROR(DATE(2000+VALUE(MID(H582,FIND("15",H582,FIND("01",H582)+16)+2,2)),VALUE(MID(H582,FIND("15",H582,FIND("01",H582)+16)+4,2)),VALUE(MID(H582,FIND("15",H582,FIND("01",H582)+16)+6,2))),"")</f>
        <v/>
      </c>
      <c r="F582" s="8">
        <f>IFERROR(MID(H582,FIND("10",H582,FIND("15",H582,FIND("01",H582)+16)+8)+2,50),"")</f>
        <v/>
      </c>
      <c r="G582" s="8" t="n"/>
      <c r="H582" s="8">
        <f>SUBSTITUTE(SUBSTITUTE(SUBSTITUTE(SUBSTITUTE(A582,"(",""),")","")," ",""),CHAR(29),"")</f>
        <v/>
      </c>
    </row>
    <row r="583">
      <c r="A583" s="4" t="n"/>
      <c r="B583" s="5">
        <f>IFERROR(MID(H583,FIND("01",H583)+2,14),"")</f>
        <v/>
      </c>
      <c r="C583" s="4">
        <f>IF(A583="","",IFERROR(VLOOKUP(B583,TblArticles,2,FALSE),"GTIN inconnu"))</f>
        <v/>
      </c>
      <c r="D583" s="5">
        <f>IF(A583="","",IFERROR(VLOOKUP(B583,TblArticles,3,FALSE),""))</f>
        <v/>
      </c>
      <c r="E583" s="6">
        <f>IFERROR(DATE(2000+VALUE(MID(H583,FIND("15",H583,FIND("01",H583)+16)+2,2)),VALUE(MID(H583,FIND("15",H583,FIND("01",H583)+16)+4,2)),VALUE(MID(H583,FIND("15",H583,FIND("01",H583)+16)+6,2))),"")</f>
        <v/>
      </c>
      <c r="F583" s="5">
        <f>IFERROR(MID(H583,FIND("10",H583,FIND("15",H583,FIND("01",H583)+16)+8)+2,50),"")</f>
        <v/>
      </c>
      <c r="G583" s="5" t="n"/>
      <c r="H583" s="5">
        <f>SUBSTITUTE(SUBSTITUTE(SUBSTITUTE(SUBSTITUTE(A583,"(",""),")","")," ",""),CHAR(29),"")</f>
        <v/>
      </c>
    </row>
    <row r="584">
      <c r="A584" s="7" t="n"/>
      <c r="B584" s="8">
        <f>IFERROR(MID(H584,FIND("01",H584)+2,14),"")</f>
        <v/>
      </c>
      <c r="C584" s="7">
        <f>IF(A584="","",IFERROR(VLOOKUP(B584,TblArticles,2,FALSE),"GTIN inconnu"))</f>
        <v/>
      </c>
      <c r="D584" s="8">
        <f>IF(A584="","",IFERROR(VLOOKUP(B584,TblArticles,3,FALSE),""))</f>
        <v/>
      </c>
      <c r="E584" s="9">
        <f>IFERROR(DATE(2000+VALUE(MID(H584,FIND("15",H584,FIND("01",H584)+16)+2,2)),VALUE(MID(H584,FIND("15",H584,FIND("01",H584)+16)+4,2)),VALUE(MID(H584,FIND("15",H584,FIND("01",H584)+16)+6,2))),"")</f>
        <v/>
      </c>
      <c r="F584" s="8">
        <f>IFERROR(MID(H584,FIND("10",H584,FIND("15",H584,FIND("01",H584)+16)+8)+2,50),"")</f>
        <v/>
      </c>
      <c r="G584" s="8" t="n"/>
      <c r="H584" s="8">
        <f>SUBSTITUTE(SUBSTITUTE(SUBSTITUTE(SUBSTITUTE(A584,"(",""),")","")," ",""),CHAR(29),"")</f>
        <v/>
      </c>
    </row>
    <row r="585">
      <c r="A585" s="4" t="n"/>
      <c r="B585" s="5">
        <f>IFERROR(MID(H585,FIND("01",H585)+2,14),"")</f>
        <v/>
      </c>
      <c r="C585" s="4">
        <f>IF(A585="","",IFERROR(VLOOKUP(B585,TblArticles,2,FALSE),"GTIN inconnu"))</f>
        <v/>
      </c>
      <c r="D585" s="5">
        <f>IF(A585="","",IFERROR(VLOOKUP(B585,TblArticles,3,FALSE),""))</f>
        <v/>
      </c>
      <c r="E585" s="6">
        <f>IFERROR(DATE(2000+VALUE(MID(H585,FIND("15",H585,FIND("01",H585)+16)+2,2)),VALUE(MID(H585,FIND("15",H585,FIND("01",H585)+16)+4,2)),VALUE(MID(H585,FIND("15",H585,FIND("01",H585)+16)+6,2))),"")</f>
        <v/>
      </c>
      <c r="F585" s="5">
        <f>IFERROR(MID(H585,FIND("10",H585,FIND("15",H585,FIND("01",H585)+16)+8)+2,50),"")</f>
        <v/>
      </c>
      <c r="G585" s="5" t="n"/>
      <c r="H585" s="5">
        <f>SUBSTITUTE(SUBSTITUTE(SUBSTITUTE(SUBSTITUTE(A585,"(",""),")","")," ",""),CHAR(29),"")</f>
        <v/>
      </c>
    </row>
    <row r="586">
      <c r="A586" s="7" t="n"/>
      <c r="B586" s="8">
        <f>IFERROR(MID(H586,FIND("01",H586)+2,14),"")</f>
        <v/>
      </c>
      <c r="C586" s="7">
        <f>IF(A586="","",IFERROR(VLOOKUP(B586,TblArticles,2,FALSE),"GTIN inconnu"))</f>
        <v/>
      </c>
      <c r="D586" s="8">
        <f>IF(A586="","",IFERROR(VLOOKUP(B586,TblArticles,3,FALSE),""))</f>
        <v/>
      </c>
      <c r="E586" s="9">
        <f>IFERROR(DATE(2000+VALUE(MID(H586,FIND("15",H586,FIND("01",H586)+16)+2,2)),VALUE(MID(H586,FIND("15",H586,FIND("01",H586)+16)+4,2)),VALUE(MID(H586,FIND("15",H586,FIND("01",H586)+16)+6,2))),"")</f>
        <v/>
      </c>
      <c r="F586" s="8">
        <f>IFERROR(MID(H586,FIND("10",H586,FIND("15",H586,FIND("01",H586)+16)+8)+2,50),"")</f>
        <v/>
      </c>
      <c r="G586" s="8" t="n"/>
      <c r="H586" s="8">
        <f>SUBSTITUTE(SUBSTITUTE(SUBSTITUTE(SUBSTITUTE(A586,"(",""),")","")," ",""),CHAR(29),"")</f>
        <v/>
      </c>
    </row>
    <row r="587">
      <c r="A587" s="4" t="n"/>
      <c r="B587" s="5">
        <f>IFERROR(MID(H587,FIND("01",H587)+2,14),"")</f>
        <v/>
      </c>
      <c r="C587" s="4">
        <f>IF(A587="","",IFERROR(VLOOKUP(B587,TblArticles,2,FALSE),"GTIN inconnu"))</f>
        <v/>
      </c>
      <c r="D587" s="5">
        <f>IF(A587="","",IFERROR(VLOOKUP(B587,TblArticles,3,FALSE),""))</f>
        <v/>
      </c>
      <c r="E587" s="6">
        <f>IFERROR(DATE(2000+VALUE(MID(H587,FIND("15",H587,FIND("01",H587)+16)+2,2)),VALUE(MID(H587,FIND("15",H587,FIND("01",H587)+16)+4,2)),VALUE(MID(H587,FIND("15",H587,FIND("01",H587)+16)+6,2))),"")</f>
        <v/>
      </c>
      <c r="F587" s="5">
        <f>IFERROR(MID(H587,FIND("10",H587,FIND("15",H587,FIND("01",H587)+16)+8)+2,50),"")</f>
        <v/>
      </c>
      <c r="G587" s="5" t="n"/>
      <c r="H587" s="5">
        <f>SUBSTITUTE(SUBSTITUTE(SUBSTITUTE(SUBSTITUTE(A587,"(",""),")","")," ",""),CHAR(29),"")</f>
        <v/>
      </c>
    </row>
    <row r="588">
      <c r="A588" s="7" t="n"/>
      <c r="B588" s="8">
        <f>IFERROR(MID(H588,FIND("01",H588)+2,14),"")</f>
        <v/>
      </c>
      <c r="C588" s="7">
        <f>IF(A588="","",IFERROR(VLOOKUP(B588,TblArticles,2,FALSE),"GTIN inconnu"))</f>
        <v/>
      </c>
      <c r="D588" s="8">
        <f>IF(A588="","",IFERROR(VLOOKUP(B588,TblArticles,3,FALSE),""))</f>
        <v/>
      </c>
      <c r="E588" s="9">
        <f>IFERROR(DATE(2000+VALUE(MID(H588,FIND("15",H588,FIND("01",H588)+16)+2,2)),VALUE(MID(H588,FIND("15",H588,FIND("01",H588)+16)+4,2)),VALUE(MID(H588,FIND("15",H588,FIND("01",H588)+16)+6,2))),"")</f>
        <v/>
      </c>
      <c r="F588" s="8">
        <f>IFERROR(MID(H588,FIND("10",H588,FIND("15",H588,FIND("01",H588)+16)+8)+2,50),"")</f>
        <v/>
      </c>
      <c r="G588" s="8" t="n"/>
      <c r="H588" s="8">
        <f>SUBSTITUTE(SUBSTITUTE(SUBSTITUTE(SUBSTITUTE(A588,"(",""),")","")," ",""),CHAR(29),"")</f>
        <v/>
      </c>
    </row>
    <row r="589">
      <c r="A589" s="4" t="n"/>
      <c r="B589" s="5">
        <f>IFERROR(MID(H589,FIND("01",H589)+2,14),"")</f>
        <v/>
      </c>
      <c r="C589" s="4">
        <f>IF(A589="","",IFERROR(VLOOKUP(B589,TblArticles,2,FALSE),"GTIN inconnu"))</f>
        <v/>
      </c>
      <c r="D589" s="5">
        <f>IF(A589="","",IFERROR(VLOOKUP(B589,TblArticles,3,FALSE),""))</f>
        <v/>
      </c>
      <c r="E589" s="6">
        <f>IFERROR(DATE(2000+VALUE(MID(H589,FIND("15",H589,FIND("01",H589)+16)+2,2)),VALUE(MID(H589,FIND("15",H589,FIND("01",H589)+16)+4,2)),VALUE(MID(H589,FIND("15",H589,FIND("01",H589)+16)+6,2))),"")</f>
        <v/>
      </c>
      <c r="F589" s="5">
        <f>IFERROR(MID(H589,FIND("10",H589,FIND("15",H589,FIND("01",H589)+16)+8)+2,50),"")</f>
        <v/>
      </c>
      <c r="G589" s="5" t="n"/>
      <c r="H589" s="5">
        <f>SUBSTITUTE(SUBSTITUTE(SUBSTITUTE(SUBSTITUTE(A589,"(",""),")","")," ",""),CHAR(29),"")</f>
        <v/>
      </c>
    </row>
    <row r="590">
      <c r="A590" s="7" t="n"/>
      <c r="B590" s="8">
        <f>IFERROR(MID(H590,FIND("01",H590)+2,14),"")</f>
        <v/>
      </c>
      <c r="C590" s="7">
        <f>IF(A590="","",IFERROR(VLOOKUP(B590,TblArticles,2,FALSE),"GTIN inconnu"))</f>
        <v/>
      </c>
      <c r="D590" s="8">
        <f>IF(A590="","",IFERROR(VLOOKUP(B590,TblArticles,3,FALSE),""))</f>
        <v/>
      </c>
      <c r="E590" s="9">
        <f>IFERROR(DATE(2000+VALUE(MID(H590,FIND("15",H590,FIND("01",H590)+16)+2,2)),VALUE(MID(H590,FIND("15",H590,FIND("01",H590)+16)+4,2)),VALUE(MID(H590,FIND("15",H590,FIND("01",H590)+16)+6,2))),"")</f>
        <v/>
      </c>
      <c r="F590" s="8">
        <f>IFERROR(MID(H590,FIND("10",H590,FIND("15",H590,FIND("01",H590)+16)+8)+2,50),"")</f>
        <v/>
      </c>
      <c r="G590" s="8" t="n"/>
      <c r="H590" s="8">
        <f>SUBSTITUTE(SUBSTITUTE(SUBSTITUTE(SUBSTITUTE(A590,"(",""),")","")," ",""),CHAR(29),"")</f>
        <v/>
      </c>
    </row>
    <row r="591">
      <c r="A591" s="4" t="n"/>
      <c r="B591" s="5">
        <f>IFERROR(MID(H591,FIND("01",H591)+2,14),"")</f>
        <v/>
      </c>
      <c r="C591" s="4">
        <f>IF(A591="","",IFERROR(VLOOKUP(B591,TblArticles,2,FALSE),"GTIN inconnu"))</f>
        <v/>
      </c>
      <c r="D591" s="5">
        <f>IF(A591="","",IFERROR(VLOOKUP(B591,TblArticles,3,FALSE),""))</f>
        <v/>
      </c>
      <c r="E591" s="6">
        <f>IFERROR(DATE(2000+VALUE(MID(H591,FIND("15",H591,FIND("01",H591)+16)+2,2)),VALUE(MID(H591,FIND("15",H591,FIND("01",H591)+16)+4,2)),VALUE(MID(H591,FIND("15",H591,FIND("01",H591)+16)+6,2))),"")</f>
        <v/>
      </c>
      <c r="F591" s="5">
        <f>IFERROR(MID(H591,FIND("10",H591,FIND("15",H591,FIND("01",H591)+16)+8)+2,50),"")</f>
        <v/>
      </c>
      <c r="G591" s="5" t="n"/>
      <c r="H591" s="5">
        <f>SUBSTITUTE(SUBSTITUTE(SUBSTITUTE(SUBSTITUTE(A591,"(",""),")","")," ",""),CHAR(29),"")</f>
        <v/>
      </c>
    </row>
    <row r="592">
      <c r="A592" s="7" t="n"/>
      <c r="B592" s="8">
        <f>IFERROR(MID(H592,FIND("01",H592)+2,14),"")</f>
        <v/>
      </c>
      <c r="C592" s="7">
        <f>IF(A592="","",IFERROR(VLOOKUP(B592,TblArticles,2,FALSE),"GTIN inconnu"))</f>
        <v/>
      </c>
      <c r="D592" s="8">
        <f>IF(A592="","",IFERROR(VLOOKUP(B592,TblArticles,3,FALSE),""))</f>
        <v/>
      </c>
      <c r="E592" s="9">
        <f>IFERROR(DATE(2000+VALUE(MID(H592,FIND("15",H592,FIND("01",H592)+16)+2,2)),VALUE(MID(H592,FIND("15",H592,FIND("01",H592)+16)+4,2)),VALUE(MID(H592,FIND("15",H592,FIND("01",H592)+16)+6,2))),"")</f>
        <v/>
      </c>
      <c r="F592" s="8">
        <f>IFERROR(MID(H592,FIND("10",H592,FIND("15",H592,FIND("01",H592)+16)+8)+2,50),"")</f>
        <v/>
      </c>
      <c r="G592" s="8" t="n"/>
      <c r="H592" s="8">
        <f>SUBSTITUTE(SUBSTITUTE(SUBSTITUTE(SUBSTITUTE(A592,"(",""),")","")," ",""),CHAR(29),"")</f>
        <v/>
      </c>
    </row>
    <row r="593">
      <c r="A593" s="4" t="n"/>
      <c r="B593" s="5">
        <f>IFERROR(MID(H593,FIND("01",H593)+2,14),"")</f>
        <v/>
      </c>
      <c r="C593" s="4">
        <f>IF(A593="","",IFERROR(VLOOKUP(B593,TblArticles,2,FALSE),"GTIN inconnu"))</f>
        <v/>
      </c>
      <c r="D593" s="5">
        <f>IF(A593="","",IFERROR(VLOOKUP(B593,TblArticles,3,FALSE),""))</f>
        <v/>
      </c>
      <c r="E593" s="6">
        <f>IFERROR(DATE(2000+VALUE(MID(H593,FIND("15",H593,FIND("01",H593)+16)+2,2)),VALUE(MID(H593,FIND("15",H593,FIND("01",H593)+16)+4,2)),VALUE(MID(H593,FIND("15",H593,FIND("01",H593)+16)+6,2))),"")</f>
        <v/>
      </c>
      <c r="F593" s="5">
        <f>IFERROR(MID(H593,FIND("10",H593,FIND("15",H593,FIND("01",H593)+16)+8)+2,50),"")</f>
        <v/>
      </c>
      <c r="G593" s="5" t="n"/>
      <c r="H593" s="5">
        <f>SUBSTITUTE(SUBSTITUTE(SUBSTITUTE(SUBSTITUTE(A593,"(",""),")","")," ",""),CHAR(29),"")</f>
        <v/>
      </c>
    </row>
    <row r="594">
      <c r="A594" s="7" t="n"/>
      <c r="B594" s="8">
        <f>IFERROR(MID(H594,FIND("01",H594)+2,14),"")</f>
        <v/>
      </c>
      <c r="C594" s="7">
        <f>IF(A594="","",IFERROR(VLOOKUP(B594,TblArticles,2,FALSE),"GTIN inconnu"))</f>
        <v/>
      </c>
      <c r="D594" s="8">
        <f>IF(A594="","",IFERROR(VLOOKUP(B594,TblArticles,3,FALSE),""))</f>
        <v/>
      </c>
      <c r="E594" s="9">
        <f>IFERROR(DATE(2000+VALUE(MID(H594,FIND("15",H594,FIND("01",H594)+16)+2,2)),VALUE(MID(H594,FIND("15",H594,FIND("01",H594)+16)+4,2)),VALUE(MID(H594,FIND("15",H594,FIND("01",H594)+16)+6,2))),"")</f>
        <v/>
      </c>
      <c r="F594" s="8">
        <f>IFERROR(MID(H594,FIND("10",H594,FIND("15",H594,FIND("01",H594)+16)+8)+2,50),"")</f>
        <v/>
      </c>
      <c r="G594" s="8" t="n"/>
      <c r="H594" s="8">
        <f>SUBSTITUTE(SUBSTITUTE(SUBSTITUTE(SUBSTITUTE(A594,"(",""),")","")," ",""),CHAR(29),"")</f>
        <v/>
      </c>
    </row>
    <row r="595">
      <c r="A595" s="4" t="n"/>
      <c r="B595" s="5">
        <f>IFERROR(MID(H595,FIND("01",H595)+2,14),"")</f>
        <v/>
      </c>
      <c r="C595" s="4">
        <f>IF(A595="","",IFERROR(VLOOKUP(B595,TblArticles,2,FALSE),"GTIN inconnu"))</f>
        <v/>
      </c>
      <c r="D595" s="5">
        <f>IF(A595="","",IFERROR(VLOOKUP(B595,TblArticles,3,FALSE),""))</f>
        <v/>
      </c>
      <c r="E595" s="6">
        <f>IFERROR(DATE(2000+VALUE(MID(H595,FIND("15",H595,FIND("01",H595)+16)+2,2)),VALUE(MID(H595,FIND("15",H595,FIND("01",H595)+16)+4,2)),VALUE(MID(H595,FIND("15",H595,FIND("01",H595)+16)+6,2))),"")</f>
        <v/>
      </c>
      <c r="F595" s="5">
        <f>IFERROR(MID(H595,FIND("10",H595,FIND("15",H595,FIND("01",H595)+16)+8)+2,50),"")</f>
        <v/>
      </c>
      <c r="G595" s="5" t="n"/>
      <c r="H595" s="5">
        <f>SUBSTITUTE(SUBSTITUTE(SUBSTITUTE(SUBSTITUTE(A595,"(",""),")","")," ",""),CHAR(29),"")</f>
        <v/>
      </c>
    </row>
    <row r="596">
      <c r="A596" s="7" t="n"/>
      <c r="B596" s="8">
        <f>IFERROR(MID(H596,FIND("01",H596)+2,14),"")</f>
        <v/>
      </c>
      <c r="C596" s="7">
        <f>IF(A596="","",IFERROR(VLOOKUP(B596,TblArticles,2,FALSE),"GTIN inconnu"))</f>
        <v/>
      </c>
      <c r="D596" s="8">
        <f>IF(A596="","",IFERROR(VLOOKUP(B596,TblArticles,3,FALSE),""))</f>
        <v/>
      </c>
      <c r="E596" s="9">
        <f>IFERROR(DATE(2000+VALUE(MID(H596,FIND("15",H596,FIND("01",H596)+16)+2,2)),VALUE(MID(H596,FIND("15",H596,FIND("01",H596)+16)+4,2)),VALUE(MID(H596,FIND("15",H596,FIND("01",H596)+16)+6,2))),"")</f>
        <v/>
      </c>
      <c r="F596" s="8">
        <f>IFERROR(MID(H596,FIND("10",H596,FIND("15",H596,FIND("01",H596)+16)+8)+2,50),"")</f>
        <v/>
      </c>
      <c r="G596" s="8" t="n"/>
      <c r="H596" s="8">
        <f>SUBSTITUTE(SUBSTITUTE(SUBSTITUTE(SUBSTITUTE(A596,"(",""),")","")," ",""),CHAR(29),"")</f>
        <v/>
      </c>
    </row>
    <row r="597">
      <c r="A597" s="4" t="n"/>
      <c r="B597" s="5">
        <f>IFERROR(MID(H597,FIND("01",H597)+2,14),"")</f>
        <v/>
      </c>
      <c r="C597" s="4">
        <f>IF(A597="","",IFERROR(VLOOKUP(B597,TblArticles,2,FALSE),"GTIN inconnu"))</f>
        <v/>
      </c>
      <c r="D597" s="5">
        <f>IF(A597="","",IFERROR(VLOOKUP(B597,TblArticles,3,FALSE),""))</f>
        <v/>
      </c>
      <c r="E597" s="6">
        <f>IFERROR(DATE(2000+VALUE(MID(H597,FIND("15",H597,FIND("01",H597)+16)+2,2)),VALUE(MID(H597,FIND("15",H597,FIND("01",H597)+16)+4,2)),VALUE(MID(H597,FIND("15",H597,FIND("01",H597)+16)+6,2))),"")</f>
        <v/>
      </c>
      <c r="F597" s="5">
        <f>IFERROR(MID(H597,FIND("10",H597,FIND("15",H597,FIND("01",H597)+16)+8)+2,50),"")</f>
        <v/>
      </c>
      <c r="G597" s="5" t="n"/>
      <c r="H597" s="5">
        <f>SUBSTITUTE(SUBSTITUTE(SUBSTITUTE(SUBSTITUTE(A597,"(",""),")","")," ",""),CHAR(29),"")</f>
        <v/>
      </c>
    </row>
    <row r="598">
      <c r="A598" s="7" t="n"/>
      <c r="B598" s="8">
        <f>IFERROR(MID(H598,FIND("01",H598)+2,14),"")</f>
        <v/>
      </c>
      <c r="C598" s="7">
        <f>IF(A598="","",IFERROR(VLOOKUP(B598,TblArticles,2,FALSE),"GTIN inconnu"))</f>
        <v/>
      </c>
      <c r="D598" s="8">
        <f>IF(A598="","",IFERROR(VLOOKUP(B598,TblArticles,3,FALSE),""))</f>
        <v/>
      </c>
      <c r="E598" s="9">
        <f>IFERROR(DATE(2000+VALUE(MID(H598,FIND("15",H598,FIND("01",H598)+16)+2,2)),VALUE(MID(H598,FIND("15",H598,FIND("01",H598)+16)+4,2)),VALUE(MID(H598,FIND("15",H598,FIND("01",H598)+16)+6,2))),"")</f>
        <v/>
      </c>
      <c r="F598" s="8">
        <f>IFERROR(MID(H598,FIND("10",H598,FIND("15",H598,FIND("01",H598)+16)+8)+2,50),"")</f>
        <v/>
      </c>
      <c r="G598" s="8" t="n"/>
      <c r="H598" s="8">
        <f>SUBSTITUTE(SUBSTITUTE(SUBSTITUTE(SUBSTITUTE(A598,"(",""),")","")," ",""),CHAR(29),"")</f>
        <v/>
      </c>
    </row>
    <row r="599">
      <c r="A599" s="4" t="n"/>
      <c r="B599" s="5">
        <f>IFERROR(MID(H599,FIND("01",H599)+2,14),"")</f>
        <v/>
      </c>
      <c r="C599" s="4">
        <f>IF(A599="","",IFERROR(VLOOKUP(B599,TblArticles,2,FALSE),"GTIN inconnu"))</f>
        <v/>
      </c>
      <c r="D599" s="5">
        <f>IF(A599="","",IFERROR(VLOOKUP(B599,TblArticles,3,FALSE),""))</f>
        <v/>
      </c>
      <c r="E599" s="6">
        <f>IFERROR(DATE(2000+VALUE(MID(H599,FIND("15",H599,FIND("01",H599)+16)+2,2)),VALUE(MID(H599,FIND("15",H599,FIND("01",H599)+16)+4,2)),VALUE(MID(H599,FIND("15",H599,FIND("01",H599)+16)+6,2))),"")</f>
        <v/>
      </c>
      <c r="F599" s="5">
        <f>IFERROR(MID(H599,FIND("10",H599,FIND("15",H599,FIND("01",H599)+16)+8)+2,50),"")</f>
        <v/>
      </c>
      <c r="G599" s="5" t="n"/>
      <c r="H599" s="5">
        <f>SUBSTITUTE(SUBSTITUTE(SUBSTITUTE(SUBSTITUTE(A599,"(",""),")","")," ",""),CHAR(29),"")</f>
        <v/>
      </c>
    </row>
    <row r="600">
      <c r="A600" s="7" t="n"/>
      <c r="B600" s="8">
        <f>IFERROR(MID(H600,FIND("01",H600)+2,14),"")</f>
        <v/>
      </c>
      <c r="C600" s="7">
        <f>IF(A600="","",IFERROR(VLOOKUP(B600,TblArticles,2,FALSE),"GTIN inconnu"))</f>
        <v/>
      </c>
      <c r="D600" s="8">
        <f>IF(A600="","",IFERROR(VLOOKUP(B600,TblArticles,3,FALSE),""))</f>
        <v/>
      </c>
      <c r="E600" s="9">
        <f>IFERROR(DATE(2000+VALUE(MID(H600,FIND("15",H600,FIND("01",H600)+16)+2,2)),VALUE(MID(H600,FIND("15",H600,FIND("01",H600)+16)+4,2)),VALUE(MID(H600,FIND("15",H600,FIND("01",H600)+16)+6,2))),"")</f>
        <v/>
      </c>
      <c r="F600" s="8">
        <f>IFERROR(MID(H600,FIND("10",H600,FIND("15",H600,FIND("01",H600)+16)+8)+2,50),"")</f>
        <v/>
      </c>
      <c r="G600" s="8" t="n"/>
      <c r="H600" s="8">
        <f>SUBSTITUTE(SUBSTITUTE(SUBSTITUTE(SUBSTITUTE(A600,"(",""),")","")," ",""),CHAR(29),"")</f>
        <v/>
      </c>
    </row>
    <row r="601">
      <c r="A601" s="4" t="n"/>
      <c r="B601" s="5">
        <f>IFERROR(MID(H601,FIND("01",H601)+2,14),"")</f>
        <v/>
      </c>
      <c r="C601" s="4">
        <f>IF(A601="","",IFERROR(VLOOKUP(B601,TblArticles,2,FALSE),"GTIN inconnu"))</f>
        <v/>
      </c>
      <c r="D601" s="5">
        <f>IF(A601="","",IFERROR(VLOOKUP(B601,TblArticles,3,FALSE),""))</f>
        <v/>
      </c>
      <c r="E601" s="6">
        <f>IFERROR(DATE(2000+VALUE(MID(H601,FIND("15",H601,FIND("01",H601)+16)+2,2)),VALUE(MID(H601,FIND("15",H601,FIND("01",H601)+16)+4,2)),VALUE(MID(H601,FIND("15",H601,FIND("01",H601)+16)+6,2))),"")</f>
        <v/>
      </c>
      <c r="F601" s="5">
        <f>IFERROR(MID(H601,FIND("10",H601,FIND("15",H601,FIND("01",H601)+16)+8)+2,50),"")</f>
        <v/>
      </c>
      <c r="G601" s="5" t="n"/>
      <c r="H601" s="5">
        <f>SUBSTITUTE(SUBSTITUTE(SUBSTITUTE(SUBSTITUTE(A601,"(",""),")","")," ",""),CHAR(29),"")</f>
        <v/>
      </c>
    </row>
    <row r="602">
      <c r="A602" s="7" t="n"/>
      <c r="B602" s="8">
        <f>IFERROR(MID(H602,FIND("01",H602)+2,14),"")</f>
        <v/>
      </c>
      <c r="C602" s="7">
        <f>IF(A602="","",IFERROR(VLOOKUP(B602,TblArticles,2,FALSE),"GTIN inconnu"))</f>
        <v/>
      </c>
      <c r="D602" s="8">
        <f>IF(A602="","",IFERROR(VLOOKUP(B602,TblArticles,3,FALSE),""))</f>
        <v/>
      </c>
      <c r="E602" s="9">
        <f>IFERROR(DATE(2000+VALUE(MID(H602,FIND("15",H602,FIND("01",H602)+16)+2,2)),VALUE(MID(H602,FIND("15",H602,FIND("01",H602)+16)+4,2)),VALUE(MID(H602,FIND("15",H602,FIND("01",H602)+16)+6,2))),"")</f>
        <v/>
      </c>
      <c r="F602" s="8">
        <f>IFERROR(MID(H602,FIND("10",H602,FIND("15",H602,FIND("01",H602)+16)+8)+2,50),"")</f>
        <v/>
      </c>
      <c r="G602" s="8" t="n"/>
      <c r="H602" s="8">
        <f>SUBSTITUTE(SUBSTITUTE(SUBSTITUTE(SUBSTITUTE(A602,"(",""),")","")," ",""),CHAR(29),"")</f>
        <v/>
      </c>
    </row>
    <row r="603">
      <c r="A603" s="4" t="n"/>
      <c r="B603" s="5">
        <f>IFERROR(MID(H603,FIND("01",H603)+2,14),"")</f>
        <v/>
      </c>
      <c r="C603" s="4">
        <f>IF(A603="","",IFERROR(VLOOKUP(B603,TblArticles,2,FALSE),"GTIN inconnu"))</f>
        <v/>
      </c>
      <c r="D603" s="5">
        <f>IF(A603="","",IFERROR(VLOOKUP(B603,TblArticles,3,FALSE),""))</f>
        <v/>
      </c>
      <c r="E603" s="6">
        <f>IFERROR(DATE(2000+VALUE(MID(H603,FIND("15",H603,FIND("01",H603)+16)+2,2)),VALUE(MID(H603,FIND("15",H603,FIND("01",H603)+16)+4,2)),VALUE(MID(H603,FIND("15",H603,FIND("01",H603)+16)+6,2))),"")</f>
        <v/>
      </c>
      <c r="F603" s="5">
        <f>IFERROR(MID(H603,FIND("10",H603,FIND("15",H603,FIND("01",H603)+16)+8)+2,50),"")</f>
        <v/>
      </c>
      <c r="G603" s="5" t="n"/>
      <c r="H603" s="5">
        <f>SUBSTITUTE(SUBSTITUTE(SUBSTITUTE(SUBSTITUTE(A603,"(",""),")","")," ",""),CHAR(29),"")</f>
        <v/>
      </c>
    </row>
    <row r="604">
      <c r="A604" s="7" t="n"/>
      <c r="B604" s="8">
        <f>IFERROR(MID(H604,FIND("01",H604)+2,14),"")</f>
        <v/>
      </c>
      <c r="C604" s="7">
        <f>IF(A604="","",IFERROR(VLOOKUP(B604,TblArticles,2,FALSE),"GTIN inconnu"))</f>
        <v/>
      </c>
      <c r="D604" s="8">
        <f>IF(A604="","",IFERROR(VLOOKUP(B604,TblArticles,3,FALSE),""))</f>
        <v/>
      </c>
      <c r="E604" s="9">
        <f>IFERROR(DATE(2000+VALUE(MID(H604,FIND("15",H604,FIND("01",H604)+16)+2,2)),VALUE(MID(H604,FIND("15",H604,FIND("01",H604)+16)+4,2)),VALUE(MID(H604,FIND("15",H604,FIND("01",H604)+16)+6,2))),"")</f>
        <v/>
      </c>
      <c r="F604" s="8">
        <f>IFERROR(MID(H604,FIND("10",H604,FIND("15",H604,FIND("01",H604)+16)+8)+2,50),"")</f>
        <v/>
      </c>
      <c r="G604" s="8" t="n"/>
      <c r="H604" s="8">
        <f>SUBSTITUTE(SUBSTITUTE(SUBSTITUTE(SUBSTITUTE(A604,"(",""),")","")," ",""),CHAR(29),"")</f>
        <v/>
      </c>
    </row>
    <row r="605">
      <c r="A605" s="4" t="n"/>
      <c r="B605" s="5">
        <f>IFERROR(MID(H605,FIND("01",H605)+2,14),"")</f>
        <v/>
      </c>
      <c r="C605" s="4">
        <f>IF(A605="","",IFERROR(VLOOKUP(B605,TblArticles,2,FALSE),"GTIN inconnu"))</f>
        <v/>
      </c>
      <c r="D605" s="5">
        <f>IF(A605="","",IFERROR(VLOOKUP(B605,TblArticles,3,FALSE),""))</f>
        <v/>
      </c>
      <c r="E605" s="6">
        <f>IFERROR(DATE(2000+VALUE(MID(H605,FIND("15",H605,FIND("01",H605)+16)+2,2)),VALUE(MID(H605,FIND("15",H605,FIND("01",H605)+16)+4,2)),VALUE(MID(H605,FIND("15",H605,FIND("01",H605)+16)+6,2))),"")</f>
        <v/>
      </c>
      <c r="F605" s="5">
        <f>IFERROR(MID(H605,FIND("10",H605,FIND("15",H605,FIND("01",H605)+16)+8)+2,50),"")</f>
        <v/>
      </c>
      <c r="G605" s="5" t="n"/>
      <c r="H605" s="5">
        <f>SUBSTITUTE(SUBSTITUTE(SUBSTITUTE(SUBSTITUTE(A605,"(",""),")","")," ",""),CHAR(29),"")</f>
        <v/>
      </c>
    </row>
    <row r="606">
      <c r="A606" s="7" t="n"/>
      <c r="B606" s="8">
        <f>IFERROR(MID(H606,FIND("01",H606)+2,14),"")</f>
        <v/>
      </c>
      <c r="C606" s="7">
        <f>IF(A606="","",IFERROR(VLOOKUP(B606,TblArticles,2,FALSE),"GTIN inconnu"))</f>
        <v/>
      </c>
      <c r="D606" s="8">
        <f>IF(A606="","",IFERROR(VLOOKUP(B606,TblArticles,3,FALSE),""))</f>
        <v/>
      </c>
      <c r="E606" s="9">
        <f>IFERROR(DATE(2000+VALUE(MID(H606,FIND("15",H606,FIND("01",H606)+16)+2,2)),VALUE(MID(H606,FIND("15",H606,FIND("01",H606)+16)+4,2)),VALUE(MID(H606,FIND("15",H606,FIND("01",H606)+16)+6,2))),"")</f>
        <v/>
      </c>
      <c r="F606" s="8">
        <f>IFERROR(MID(H606,FIND("10",H606,FIND("15",H606,FIND("01",H606)+16)+8)+2,50),"")</f>
        <v/>
      </c>
      <c r="G606" s="8" t="n"/>
      <c r="H606" s="8">
        <f>SUBSTITUTE(SUBSTITUTE(SUBSTITUTE(SUBSTITUTE(A606,"(",""),")","")," ",""),CHAR(29),"")</f>
        <v/>
      </c>
    </row>
    <row r="607">
      <c r="A607" s="4" t="n"/>
      <c r="B607" s="5">
        <f>IFERROR(MID(H607,FIND("01",H607)+2,14),"")</f>
        <v/>
      </c>
      <c r="C607" s="4">
        <f>IF(A607="","",IFERROR(VLOOKUP(B607,TblArticles,2,FALSE),"GTIN inconnu"))</f>
        <v/>
      </c>
      <c r="D607" s="5">
        <f>IF(A607="","",IFERROR(VLOOKUP(B607,TblArticles,3,FALSE),""))</f>
        <v/>
      </c>
      <c r="E607" s="6">
        <f>IFERROR(DATE(2000+VALUE(MID(H607,FIND("15",H607,FIND("01",H607)+16)+2,2)),VALUE(MID(H607,FIND("15",H607,FIND("01",H607)+16)+4,2)),VALUE(MID(H607,FIND("15",H607,FIND("01",H607)+16)+6,2))),"")</f>
        <v/>
      </c>
      <c r="F607" s="5">
        <f>IFERROR(MID(H607,FIND("10",H607,FIND("15",H607,FIND("01",H607)+16)+8)+2,50),"")</f>
        <v/>
      </c>
      <c r="G607" s="5" t="n"/>
      <c r="H607" s="5">
        <f>SUBSTITUTE(SUBSTITUTE(SUBSTITUTE(SUBSTITUTE(A607,"(",""),")","")," ",""),CHAR(29),"")</f>
        <v/>
      </c>
    </row>
    <row r="608">
      <c r="A608" s="7" t="n"/>
      <c r="B608" s="8">
        <f>IFERROR(MID(H608,FIND("01",H608)+2,14),"")</f>
        <v/>
      </c>
      <c r="C608" s="7">
        <f>IF(A608="","",IFERROR(VLOOKUP(B608,TblArticles,2,FALSE),"GTIN inconnu"))</f>
        <v/>
      </c>
      <c r="D608" s="8">
        <f>IF(A608="","",IFERROR(VLOOKUP(B608,TblArticles,3,FALSE),""))</f>
        <v/>
      </c>
      <c r="E608" s="9">
        <f>IFERROR(DATE(2000+VALUE(MID(H608,FIND("15",H608,FIND("01",H608)+16)+2,2)),VALUE(MID(H608,FIND("15",H608,FIND("01",H608)+16)+4,2)),VALUE(MID(H608,FIND("15",H608,FIND("01",H608)+16)+6,2))),"")</f>
        <v/>
      </c>
      <c r="F608" s="8">
        <f>IFERROR(MID(H608,FIND("10",H608,FIND("15",H608,FIND("01",H608)+16)+8)+2,50),"")</f>
        <v/>
      </c>
      <c r="G608" s="8" t="n"/>
      <c r="H608" s="8">
        <f>SUBSTITUTE(SUBSTITUTE(SUBSTITUTE(SUBSTITUTE(A608,"(",""),")","")," ",""),CHAR(29),"")</f>
        <v/>
      </c>
    </row>
    <row r="609">
      <c r="A609" s="4" t="n"/>
      <c r="B609" s="5">
        <f>IFERROR(MID(H609,FIND("01",H609)+2,14),"")</f>
        <v/>
      </c>
      <c r="C609" s="4">
        <f>IF(A609="","",IFERROR(VLOOKUP(B609,TblArticles,2,FALSE),"GTIN inconnu"))</f>
        <v/>
      </c>
      <c r="D609" s="5">
        <f>IF(A609="","",IFERROR(VLOOKUP(B609,TblArticles,3,FALSE),""))</f>
        <v/>
      </c>
      <c r="E609" s="6">
        <f>IFERROR(DATE(2000+VALUE(MID(H609,FIND("15",H609,FIND("01",H609)+16)+2,2)),VALUE(MID(H609,FIND("15",H609,FIND("01",H609)+16)+4,2)),VALUE(MID(H609,FIND("15",H609,FIND("01",H609)+16)+6,2))),"")</f>
        <v/>
      </c>
      <c r="F609" s="5">
        <f>IFERROR(MID(H609,FIND("10",H609,FIND("15",H609,FIND("01",H609)+16)+8)+2,50),"")</f>
        <v/>
      </c>
      <c r="G609" s="5" t="n"/>
      <c r="H609" s="5">
        <f>SUBSTITUTE(SUBSTITUTE(SUBSTITUTE(SUBSTITUTE(A609,"(",""),")","")," ",""),CHAR(29),"")</f>
        <v/>
      </c>
    </row>
    <row r="610">
      <c r="A610" s="7" t="n"/>
      <c r="B610" s="8">
        <f>IFERROR(MID(H610,FIND("01",H610)+2,14),"")</f>
        <v/>
      </c>
      <c r="C610" s="7">
        <f>IF(A610="","",IFERROR(VLOOKUP(B610,TblArticles,2,FALSE),"GTIN inconnu"))</f>
        <v/>
      </c>
      <c r="D610" s="8">
        <f>IF(A610="","",IFERROR(VLOOKUP(B610,TblArticles,3,FALSE),""))</f>
        <v/>
      </c>
      <c r="E610" s="9">
        <f>IFERROR(DATE(2000+VALUE(MID(H610,FIND("15",H610,FIND("01",H610)+16)+2,2)),VALUE(MID(H610,FIND("15",H610,FIND("01",H610)+16)+4,2)),VALUE(MID(H610,FIND("15",H610,FIND("01",H610)+16)+6,2))),"")</f>
        <v/>
      </c>
      <c r="F610" s="8">
        <f>IFERROR(MID(H610,FIND("10",H610,FIND("15",H610,FIND("01",H610)+16)+8)+2,50),"")</f>
        <v/>
      </c>
      <c r="G610" s="8" t="n"/>
      <c r="H610" s="8">
        <f>SUBSTITUTE(SUBSTITUTE(SUBSTITUTE(SUBSTITUTE(A610,"(",""),")","")," ",""),CHAR(29),"")</f>
        <v/>
      </c>
    </row>
    <row r="611">
      <c r="A611" s="4" t="n"/>
      <c r="B611" s="5">
        <f>IFERROR(MID(H611,FIND("01",H611)+2,14),"")</f>
        <v/>
      </c>
      <c r="C611" s="4">
        <f>IF(A611="","",IFERROR(VLOOKUP(B611,TblArticles,2,FALSE),"GTIN inconnu"))</f>
        <v/>
      </c>
      <c r="D611" s="5">
        <f>IF(A611="","",IFERROR(VLOOKUP(B611,TblArticles,3,FALSE),""))</f>
        <v/>
      </c>
      <c r="E611" s="6">
        <f>IFERROR(DATE(2000+VALUE(MID(H611,FIND("15",H611,FIND("01",H611)+16)+2,2)),VALUE(MID(H611,FIND("15",H611,FIND("01",H611)+16)+4,2)),VALUE(MID(H611,FIND("15",H611,FIND("01",H611)+16)+6,2))),"")</f>
        <v/>
      </c>
      <c r="F611" s="5">
        <f>IFERROR(MID(H611,FIND("10",H611,FIND("15",H611,FIND("01",H611)+16)+8)+2,50),"")</f>
        <v/>
      </c>
      <c r="G611" s="5" t="n"/>
      <c r="H611" s="5">
        <f>SUBSTITUTE(SUBSTITUTE(SUBSTITUTE(SUBSTITUTE(A611,"(",""),")","")," ",""),CHAR(29),"")</f>
        <v/>
      </c>
    </row>
    <row r="612">
      <c r="A612" s="7" t="n"/>
      <c r="B612" s="8">
        <f>IFERROR(MID(H612,FIND("01",H612)+2,14),"")</f>
        <v/>
      </c>
      <c r="C612" s="7">
        <f>IF(A612="","",IFERROR(VLOOKUP(B612,TblArticles,2,FALSE),"GTIN inconnu"))</f>
        <v/>
      </c>
      <c r="D612" s="8">
        <f>IF(A612="","",IFERROR(VLOOKUP(B612,TblArticles,3,FALSE),""))</f>
        <v/>
      </c>
      <c r="E612" s="9">
        <f>IFERROR(DATE(2000+VALUE(MID(H612,FIND("15",H612,FIND("01",H612)+16)+2,2)),VALUE(MID(H612,FIND("15",H612,FIND("01",H612)+16)+4,2)),VALUE(MID(H612,FIND("15",H612,FIND("01",H612)+16)+6,2))),"")</f>
        <v/>
      </c>
      <c r="F612" s="8">
        <f>IFERROR(MID(H612,FIND("10",H612,FIND("15",H612,FIND("01",H612)+16)+8)+2,50),"")</f>
        <v/>
      </c>
      <c r="G612" s="8" t="n"/>
      <c r="H612" s="8">
        <f>SUBSTITUTE(SUBSTITUTE(SUBSTITUTE(SUBSTITUTE(A612,"(",""),")","")," ",""),CHAR(29),"")</f>
        <v/>
      </c>
    </row>
    <row r="613">
      <c r="A613" s="4" t="n"/>
      <c r="B613" s="5">
        <f>IFERROR(MID(H613,FIND("01",H613)+2,14),"")</f>
        <v/>
      </c>
      <c r="C613" s="4">
        <f>IF(A613="","",IFERROR(VLOOKUP(B613,TblArticles,2,FALSE),"GTIN inconnu"))</f>
        <v/>
      </c>
      <c r="D613" s="5">
        <f>IF(A613="","",IFERROR(VLOOKUP(B613,TblArticles,3,FALSE),""))</f>
        <v/>
      </c>
      <c r="E613" s="6">
        <f>IFERROR(DATE(2000+VALUE(MID(H613,FIND("15",H613,FIND("01",H613)+16)+2,2)),VALUE(MID(H613,FIND("15",H613,FIND("01",H613)+16)+4,2)),VALUE(MID(H613,FIND("15",H613,FIND("01",H613)+16)+6,2))),"")</f>
        <v/>
      </c>
      <c r="F613" s="5">
        <f>IFERROR(MID(H613,FIND("10",H613,FIND("15",H613,FIND("01",H613)+16)+8)+2,50),"")</f>
        <v/>
      </c>
      <c r="G613" s="5" t="n"/>
      <c r="H613" s="5">
        <f>SUBSTITUTE(SUBSTITUTE(SUBSTITUTE(SUBSTITUTE(A613,"(",""),")","")," ",""),CHAR(29),"")</f>
        <v/>
      </c>
    </row>
    <row r="614">
      <c r="A614" s="7" t="n"/>
      <c r="B614" s="8">
        <f>IFERROR(MID(H614,FIND("01",H614)+2,14),"")</f>
        <v/>
      </c>
      <c r="C614" s="7">
        <f>IF(A614="","",IFERROR(VLOOKUP(B614,TblArticles,2,FALSE),"GTIN inconnu"))</f>
        <v/>
      </c>
      <c r="D614" s="8">
        <f>IF(A614="","",IFERROR(VLOOKUP(B614,TblArticles,3,FALSE),""))</f>
        <v/>
      </c>
      <c r="E614" s="9">
        <f>IFERROR(DATE(2000+VALUE(MID(H614,FIND("15",H614,FIND("01",H614)+16)+2,2)),VALUE(MID(H614,FIND("15",H614,FIND("01",H614)+16)+4,2)),VALUE(MID(H614,FIND("15",H614,FIND("01",H614)+16)+6,2))),"")</f>
        <v/>
      </c>
      <c r="F614" s="8">
        <f>IFERROR(MID(H614,FIND("10",H614,FIND("15",H614,FIND("01",H614)+16)+8)+2,50),"")</f>
        <v/>
      </c>
      <c r="G614" s="8" t="n"/>
      <c r="H614" s="8">
        <f>SUBSTITUTE(SUBSTITUTE(SUBSTITUTE(SUBSTITUTE(A614,"(",""),")","")," ",""),CHAR(29),"")</f>
        <v/>
      </c>
    </row>
    <row r="615">
      <c r="A615" s="4" t="n"/>
      <c r="B615" s="5">
        <f>IFERROR(MID(H615,FIND("01",H615)+2,14),"")</f>
        <v/>
      </c>
      <c r="C615" s="4">
        <f>IF(A615="","",IFERROR(VLOOKUP(B615,TblArticles,2,FALSE),"GTIN inconnu"))</f>
        <v/>
      </c>
      <c r="D615" s="5">
        <f>IF(A615="","",IFERROR(VLOOKUP(B615,TblArticles,3,FALSE),""))</f>
        <v/>
      </c>
      <c r="E615" s="6">
        <f>IFERROR(DATE(2000+VALUE(MID(H615,FIND("15",H615,FIND("01",H615)+16)+2,2)),VALUE(MID(H615,FIND("15",H615,FIND("01",H615)+16)+4,2)),VALUE(MID(H615,FIND("15",H615,FIND("01",H615)+16)+6,2))),"")</f>
        <v/>
      </c>
      <c r="F615" s="5">
        <f>IFERROR(MID(H615,FIND("10",H615,FIND("15",H615,FIND("01",H615)+16)+8)+2,50),"")</f>
        <v/>
      </c>
      <c r="G615" s="5" t="n"/>
      <c r="H615" s="5">
        <f>SUBSTITUTE(SUBSTITUTE(SUBSTITUTE(SUBSTITUTE(A615,"(",""),")","")," ",""),CHAR(29),"")</f>
        <v/>
      </c>
    </row>
    <row r="616">
      <c r="A616" s="7" t="n"/>
      <c r="B616" s="8">
        <f>IFERROR(MID(H616,FIND("01",H616)+2,14),"")</f>
        <v/>
      </c>
      <c r="C616" s="7">
        <f>IF(A616="","",IFERROR(VLOOKUP(B616,TblArticles,2,FALSE),"GTIN inconnu"))</f>
        <v/>
      </c>
      <c r="D616" s="8">
        <f>IF(A616="","",IFERROR(VLOOKUP(B616,TblArticles,3,FALSE),""))</f>
        <v/>
      </c>
      <c r="E616" s="9">
        <f>IFERROR(DATE(2000+VALUE(MID(H616,FIND("15",H616,FIND("01",H616)+16)+2,2)),VALUE(MID(H616,FIND("15",H616,FIND("01",H616)+16)+4,2)),VALUE(MID(H616,FIND("15",H616,FIND("01",H616)+16)+6,2))),"")</f>
        <v/>
      </c>
      <c r="F616" s="8">
        <f>IFERROR(MID(H616,FIND("10",H616,FIND("15",H616,FIND("01",H616)+16)+8)+2,50),"")</f>
        <v/>
      </c>
      <c r="G616" s="8" t="n"/>
      <c r="H616" s="8">
        <f>SUBSTITUTE(SUBSTITUTE(SUBSTITUTE(SUBSTITUTE(A616,"(",""),")","")," ",""),CHAR(29),"")</f>
        <v/>
      </c>
    </row>
    <row r="617">
      <c r="A617" s="4" t="n"/>
      <c r="B617" s="5">
        <f>IFERROR(MID(H617,FIND("01",H617)+2,14),"")</f>
        <v/>
      </c>
      <c r="C617" s="4">
        <f>IF(A617="","",IFERROR(VLOOKUP(B617,TblArticles,2,FALSE),"GTIN inconnu"))</f>
        <v/>
      </c>
      <c r="D617" s="5">
        <f>IF(A617="","",IFERROR(VLOOKUP(B617,TblArticles,3,FALSE),""))</f>
        <v/>
      </c>
      <c r="E617" s="6">
        <f>IFERROR(DATE(2000+VALUE(MID(H617,FIND("15",H617,FIND("01",H617)+16)+2,2)),VALUE(MID(H617,FIND("15",H617,FIND("01",H617)+16)+4,2)),VALUE(MID(H617,FIND("15",H617,FIND("01",H617)+16)+6,2))),"")</f>
        <v/>
      </c>
      <c r="F617" s="5">
        <f>IFERROR(MID(H617,FIND("10",H617,FIND("15",H617,FIND("01",H617)+16)+8)+2,50),"")</f>
        <v/>
      </c>
      <c r="G617" s="5" t="n"/>
      <c r="H617" s="5">
        <f>SUBSTITUTE(SUBSTITUTE(SUBSTITUTE(SUBSTITUTE(A617,"(",""),")","")," ",""),CHAR(29),"")</f>
        <v/>
      </c>
    </row>
    <row r="618">
      <c r="A618" s="7" t="n"/>
      <c r="B618" s="8">
        <f>IFERROR(MID(H618,FIND("01",H618)+2,14),"")</f>
        <v/>
      </c>
      <c r="C618" s="7">
        <f>IF(A618="","",IFERROR(VLOOKUP(B618,TblArticles,2,FALSE),"GTIN inconnu"))</f>
        <v/>
      </c>
      <c r="D618" s="8">
        <f>IF(A618="","",IFERROR(VLOOKUP(B618,TblArticles,3,FALSE),""))</f>
        <v/>
      </c>
      <c r="E618" s="9">
        <f>IFERROR(DATE(2000+VALUE(MID(H618,FIND("15",H618,FIND("01",H618)+16)+2,2)),VALUE(MID(H618,FIND("15",H618,FIND("01",H618)+16)+4,2)),VALUE(MID(H618,FIND("15",H618,FIND("01",H618)+16)+6,2))),"")</f>
        <v/>
      </c>
      <c r="F618" s="8">
        <f>IFERROR(MID(H618,FIND("10",H618,FIND("15",H618,FIND("01",H618)+16)+8)+2,50),"")</f>
        <v/>
      </c>
      <c r="G618" s="8" t="n"/>
      <c r="H618" s="8">
        <f>SUBSTITUTE(SUBSTITUTE(SUBSTITUTE(SUBSTITUTE(A618,"(",""),")","")," ",""),CHAR(29),"")</f>
        <v/>
      </c>
    </row>
    <row r="619">
      <c r="A619" s="4" t="n"/>
      <c r="B619" s="5">
        <f>IFERROR(MID(H619,FIND("01",H619)+2,14),"")</f>
        <v/>
      </c>
      <c r="C619" s="4">
        <f>IF(A619="","",IFERROR(VLOOKUP(B619,TblArticles,2,FALSE),"GTIN inconnu"))</f>
        <v/>
      </c>
      <c r="D619" s="5">
        <f>IF(A619="","",IFERROR(VLOOKUP(B619,TblArticles,3,FALSE),""))</f>
        <v/>
      </c>
      <c r="E619" s="6">
        <f>IFERROR(DATE(2000+VALUE(MID(H619,FIND("15",H619,FIND("01",H619)+16)+2,2)),VALUE(MID(H619,FIND("15",H619,FIND("01",H619)+16)+4,2)),VALUE(MID(H619,FIND("15",H619,FIND("01",H619)+16)+6,2))),"")</f>
        <v/>
      </c>
      <c r="F619" s="5">
        <f>IFERROR(MID(H619,FIND("10",H619,FIND("15",H619,FIND("01",H619)+16)+8)+2,50),"")</f>
        <v/>
      </c>
      <c r="G619" s="5" t="n"/>
      <c r="H619" s="5">
        <f>SUBSTITUTE(SUBSTITUTE(SUBSTITUTE(SUBSTITUTE(A619,"(",""),")","")," ",""),CHAR(29),"")</f>
        <v/>
      </c>
    </row>
    <row r="620">
      <c r="A620" s="7" t="n"/>
      <c r="B620" s="8">
        <f>IFERROR(MID(H620,FIND("01",H620)+2,14),"")</f>
        <v/>
      </c>
      <c r="C620" s="7">
        <f>IF(A620="","",IFERROR(VLOOKUP(B620,TblArticles,2,FALSE),"GTIN inconnu"))</f>
        <v/>
      </c>
      <c r="D620" s="8">
        <f>IF(A620="","",IFERROR(VLOOKUP(B620,TblArticles,3,FALSE),""))</f>
        <v/>
      </c>
      <c r="E620" s="9">
        <f>IFERROR(DATE(2000+VALUE(MID(H620,FIND("15",H620,FIND("01",H620)+16)+2,2)),VALUE(MID(H620,FIND("15",H620,FIND("01",H620)+16)+4,2)),VALUE(MID(H620,FIND("15",H620,FIND("01",H620)+16)+6,2))),"")</f>
        <v/>
      </c>
      <c r="F620" s="8">
        <f>IFERROR(MID(H620,FIND("10",H620,FIND("15",H620,FIND("01",H620)+16)+8)+2,50),"")</f>
        <v/>
      </c>
      <c r="G620" s="8" t="n"/>
      <c r="H620" s="8">
        <f>SUBSTITUTE(SUBSTITUTE(SUBSTITUTE(SUBSTITUTE(A620,"(",""),")","")," ",""),CHAR(29),"")</f>
        <v/>
      </c>
    </row>
    <row r="621">
      <c r="A621" s="4" t="n"/>
      <c r="B621" s="5">
        <f>IFERROR(MID(H621,FIND("01",H621)+2,14),"")</f>
        <v/>
      </c>
      <c r="C621" s="4">
        <f>IF(A621="","",IFERROR(VLOOKUP(B621,TblArticles,2,FALSE),"GTIN inconnu"))</f>
        <v/>
      </c>
      <c r="D621" s="5">
        <f>IF(A621="","",IFERROR(VLOOKUP(B621,TblArticles,3,FALSE),""))</f>
        <v/>
      </c>
      <c r="E621" s="6">
        <f>IFERROR(DATE(2000+VALUE(MID(H621,FIND("15",H621,FIND("01",H621)+16)+2,2)),VALUE(MID(H621,FIND("15",H621,FIND("01",H621)+16)+4,2)),VALUE(MID(H621,FIND("15",H621,FIND("01",H621)+16)+6,2))),"")</f>
        <v/>
      </c>
      <c r="F621" s="5">
        <f>IFERROR(MID(H621,FIND("10",H621,FIND("15",H621,FIND("01",H621)+16)+8)+2,50),"")</f>
        <v/>
      </c>
      <c r="G621" s="5" t="n"/>
      <c r="H621" s="5">
        <f>SUBSTITUTE(SUBSTITUTE(SUBSTITUTE(SUBSTITUTE(A621,"(",""),")","")," ",""),CHAR(29),"")</f>
        <v/>
      </c>
    </row>
    <row r="622">
      <c r="A622" s="7" t="n"/>
      <c r="B622" s="8">
        <f>IFERROR(MID(H622,FIND("01",H622)+2,14),"")</f>
        <v/>
      </c>
      <c r="C622" s="7">
        <f>IF(A622="","",IFERROR(VLOOKUP(B622,TblArticles,2,FALSE),"GTIN inconnu"))</f>
        <v/>
      </c>
      <c r="D622" s="8">
        <f>IF(A622="","",IFERROR(VLOOKUP(B622,TblArticles,3,FALSE),""))</f>
        <v/>
      </c>
      <c r="E622" s="9">
        <f>IFERROR(DATE(2000+VALUE(MID(H622,FIND("15",H622,FIND("01",H622)+16)+2,2)),VALUE(MID(H622,FIND("15",H622,FIND("01",H622)+16)+4,2)),VALUE(MID(H622,FIND("15",H622,FIND("01",H622)+16)+6,2))),"")</f>
        <v/>
      </c>
      <c r="F622" s="8">
        <f>IFERROR(MID(H622,FIND("10",H622,FIND("15",H622,FIND("01",H622)+16)+8)+2,50),"")</f>
        <v/>
      </c>
      <c r="G622" s="8" t="n"/>
      <c r="H622" s="8">
        <f>SUBSTITUTE(SUBSTITUTE(SUBSTITUTE(SUBSTITUTE(A622,"(",""),")","")," ",""),CHAR(29),"")</f>
        <v/>
      </c>
    </row>
    <row r="623">
      <c r="A623" s="4" t="n"/>
      <c r="B623" s="5">
        <f>IFERROR(MID(H623,FIND("01",H623)+2,14),"")</f>
        <v/>
      </c>
      <c r="C623" s="4">
        <f>IF(A623="","",IFERROR(VLOOKUP(B623,TblArticles,2,FALSE),"GTIN inconnu"))</f>
        <v/>
      </c>
      <c r="D623" s="5">
        <f>IF(A623="","",IFERROR(VLOOKUP(B623,TblArticles,3,FALSE),""))</f>
        <v/>
      </c>
      <c r="E623" s="6">
        <f>IFERROR(DATE(2000+VALUE(MID(H623,FIND("15",H623,FIND("01",H623)+16)+2,2)),VALUE(MID(H623,FIND("15",H623,FIND("01",H623)+16)+4,2)),VALUE(MID(H623,FIND("15",H623,FIND("01",H623)+16)+6,2))),"")</f>
        <v/>
      </c>
      <c r="F623" s="5">
        <f>IFERROR(MID(H623,FIND("10",H623,FIND("15",H623,FIND("01",H623)+16)+8)+2,50),"")</f>
        <v/>
      </c>
      <c r="G623" s="5" t="n"/>
      <c r="H623" s="5">
        <f>SUBSTITUTE(SUBSTITUTE(SUBSTITUTE(SUBSTITUTE(A623,"(",""),")","")," ",""),CHAR(29),"")</f>
        <v/>
      </c>
    </row>
    <row r="624">
      <c r="A624" s="7" t="n"/>
      <c r="B624" s="8">
        <f>IFERROR(MID(H624,FIND("01",H624)+2,14),"")</f>
        <v/>
      </c>
      <c r="C624" s="7">
        <f>IF(A624="","",IFERROR(VLOOKUP(B624,TblArticles,2,FALSE),"GTIN inconnu"))</f>
        <v/>
      </c>
      <c r="D624" s="8">
        <f>IF(A624="","",IFERROR(VLOOKUP(B624,TblArticles,3,FALSE),""))</f>
        <v/>
      </c>
      <c r="E624" s="9">
        <f>IFERROR(DATE(2000+VALUE(MID(H624,FIND("15",H624,FIND("01",H624)+16)+2,2)),VALUE(MID(H624,FIND("15",H624,FIND("01",H624)+16)+4,2)),VALUE(MID(H624,FIND("15",H624,FIND("01",H624)+16)+6,2))),"")</f>
        <v/>
      </c>
      <c r="F624" s="8">
        <f>IFERROR(MID(H624,FIND("10",H624,FIND("15",H624,FIND("01",H624)+16)+8)+2,50),"")</f>
        <v/>
      </c>
      <c r="G624" s="8" t="n"/>
      <c r="H624" s="8">
        <f>SUBSTITUTE(SUBSTITUTE(SUBSTITUTE(SUBSTITUTE(A624,"(",""),")","")," ",""),CHAR(29),"")</f>
        <v/>
      </c>
    </row>
    <row r="625">
      <c r="A625" s="4" t="n"/>
      <c r="B625" s="5">
        <f>IFERROR(MID(H625,FIND("01",H625)+2,14),"")</f>
        <v/>
      </c>
      <c r="C625" s="4">
        <f>IF(A625="","",IFERROR(VLOOKUP(B625,TblArticles,2,FALSE),"GTIN inconnu"))</f>
        <v/>
      </c>
      <c r="D625" s="5">
        <f>IF(A625="","",IFERROR(VLOOKUP(B625,TblArticles,3,FALSE),""))</f>
        <v/>
      </c>
      <c r="E625" s="6">
        <f>IFERROR(DATE(2000+VALUE(MID(H625,FIND("15",H625,FIND("01",H625)+16)+2,2)),VALUE(MID(H625,FIND("15",H625,FIND("01",H625)+16)+4,2)),VALUE(MID(H625,FIND("15",H625,FIND("01",H625)+16)+6,2))),"")</f>
        <v/>
      </c>
      <c r="F625" s="5">
        <f>IFERROR(MID(H625,FIND("10",H625,FIND("15",H625,FIND("01",H625)+16)+8)+2,50),"")</f>
        <v/>
      </c>
      <c r="G625" s="5" t="n"/>
      <c r="H625" s="5">
        <f>SUBSTITUTE(SUBSTITUTE(SUBSTITUTE(SUBSTITUTE(A625,"(",""),")","")," ",""),CHAR(29),"")</f>
        <v/>
      </c>
    </row>
    <row r="626">
      <c r="A626" s="7" t="n"/>
      <c r="B626" s="8">
        <f>IFERROR(MID(H626,FIND("01",H626)+2,14),"")</f>
        <v/>
      </c>
      <c r="C626" s="7">
        <f>IF(A626="","",IFERROR(VLOOKUP(B626,TblArticles,2,FALSE),"GTIN inconnu"))</f>
        <v/>
      </c>
      <c r="D626" s="8">
        <f>IF(A626="","",IFERROR(VLOOKUP(B626,TblArticles,3,FALSE),""))</f>
        <v/>
      </c>
      <c r="E626" s="9">
        <f>IFERROR(DATE(2000+VALUE(MID(H626,FIND("15",H626,FIND("01",H626)+16)+2,2)),VALUE(MID(H626,FIND("15",H626,FIND("01",H626)+16)+4,2)),VALUE(MID(H626,FIND("15",H626,FIND("01",H626)+16)+6,2))),"")</f>
        <v/>
      </c>
      <c r="F626" s="8">
        <f>IFERROR(MID(H626,FIND("10",H626,FIND("15",H626,FIND("01",H626)+16)+8)+2,50),"")</f>
        <v/>
      </c>
      <c r="G626" s="8" t="n"/>
      <c r="H626" s="8">
        <f>SUBSTITUTE(SUBSTITUTE(SUBSTITUTE(SUBSTITUTE(A626,"(",""),")","")," ",""),CHAR(29),"")</f>
        <v/>
      </c>
    </row>
    <row r="627">
      <c r="A627" s="4" t="n"/>
      <c r="B627" s="5">
        <f>IFERROR(MID(H627,FIND("01",H627)+2,14),"")</f>
        <v/>
      </c>
      <c r="C627" s="4">
        <f>IF(A627="","",IFERROR(VLOOKUP(B627,TblArticles,2,FALSE),"GTIN inconnu"))</f>
        <v/>
      </c>
      <c r="D627" s="5">
        <f>IF(A627="","",IFERROR(VLOOKUP(B627,TblArticles,3,FALSE),""))</f>
        <v/>
      </c>
      <c r="E627" s="6">
        <f>IFERROR(DATE(2000+VALUE(MID(H627,FIND("15",H627,FIND("01",H627)+16)+2,2)),VALUE(MID(H627,FIND("15",H627,FIND("01",H627)+16)+4,2)),VALUE(MID(H627,FIND("15",H627,FIND("01",H627)+16)+6,2))),"")</f>
        <v/>
      </c>
      <c r="F627" s="5">
        <f>IFERROR(MID(H627,FIND("10",H627,FIND("15",H627,FIND("01",H627)+16)+8)+2,50),"")</f>
        <v/>
      </c>
      <c r="G627" s="5" t="n"/>
      <c r="H627" s="5">
        <f>SUBSTITUTE(SUBSTITUTE(SUBSTITUTE(SUBSTITUTE(A627,"(",""),")","")," ",""),CHAR(29),"")</f>
        <v/>
      </c>
    </row>
    <row r="628">
      <c r="A628" s="7" t="n"/>
      <c r="B628" s="8">
        <f>IFERROR(MID(H628,FIND("01",H628)+2,14),"")</f>
        <v/>
      </c>
      <c r="C628" s="7">
        <f>IF(A628="","",IFERROR(VLOOKUP(B628,TblArticles,2,FALSE),"GTIN inconnu"))</f>
        <v/>
      </c>
      <c r="D628" s="8">
        <f>IF(A628="","",IFERROR(VLOOKUP(B628,TblArticles,3,FALSE),""))</f>
        <v/>
      </c>
      <c r="E628" s="9">
        <f>IFERROR(DATE(2000+VALUE(MID(H628,FIND("15",H628,FIND("01",H628)+16)+2,2)),VALUE(MID(H628,FIND("15",H628,FIND("01",H628)+16)+4,2)),VALUE(MID(H628,FIND("15",H628,FIND("01",H628)+16)+6,2))),"")</f>
        <v/>
      </c>
      <c r="F628" s="8">
        <f>IFERROR(MID(H628,FIND("10",H628,FIND("15",H628,FIND("01",H628)+16)+8)+2,50),"")</f>
        <v/>
      </c>
      <c r="G628" s="8" t="n"/>
      <c r="H628" s="8">
        <f>SUBSTITUTE(SUBSTITUTE(SUBSTITUTE(SUBSTITUTE(A628,"(",""),")","")," ",""),CHAR(29),"")</f>
        <v/>
      </c>
    </row>
    <row r="629">
      <c r="A629" s="4" t="n"/>
      <c r="B629" s="5">
        <f>IFERROR(MID(H629,FIND("01",H629)+2,14),"")</f>
        <v/>
      </c>
      <c r="C629" s="4">
        <f>IF(A629="","",IFERROR(VLOOKUP(B629,TblArticles,2,FALSE),"GTIN inconnu"))</f>
        <v/>
      </c>
      <c r="D629" s="5">
        <f>IF(A629="","",IFERROR(VLOOKUP(B629,TblArticles,3,FALSE),""))</f>
        <v/>
      </c>
      <c r="E629" s="6">
        <f>IFERROR(DATE(2000+VALUE(MID(H629,FIND("15",H629,FIND("01",H629)+16)+2,2)),VALUE(MID(H629,FIND("15",H629,FIND("01",H629)+16)+4,2)),VALUE(MID(H629,FIND("15",H629,FIND("01",H629)+16)+6,2))),"")</f>
        <v/>
      </c>
      <c r="F629" s="5">
        <f>IFERROR(MID(H629,FIND("10",H629,FIND("15",H629,FIND("01",H629)+16)+8)+2,50),"")</f>
        <v/>
      </c>
      <c r="G629" s="5" t="n"/>
      <c r="H629" s="5">
        <f>SUBSTITUTE(SUBSTITUTE(SUBSTITUTE(SUBSTITUTE(A629,"(",""),")","")," ",""),CHAR(29),"")</f>
        <v/>
      </c>
    </row>
    <row r="630">
      <c r="A630" s="7" t="n"/>
      <c r="B630" s="8">
        <f>IFERROR(MID(H630,FIND("01",H630)+2,14),"")</f>
        <v/>
      </c>
      <c r="C630" s="7">
        <f>IF(A630="","",IFERROR(VLOOKUP(B630,TblArticles,2,FALSE),"GTIN inconnu"))</f>
        <v/>
      </c>
      <c r="D630" s="8">
        <f>IF(A630="","",IFERROR(VLOOKUP(B630,TblArticles,3,FALSE),""))</f>
        <v/>
      </c>
      <c r="E630" s="9">
        <f>IFERROR(DATE(2000+VALUE(MID(H630,FIND("15",H630,FIND("01",H630)+16)+2,2)),VALUE(MID(H630,FIND("15",H630,FIND("01",H630)+16)+4,2)),VALUE(MID(H630,FIND("15",H630,FIND("01",H630)+16)+6,2))),"")</f>
        <v/>
      </c>
      <c r="F630" s="8">
        <f>IFERROR(MID(H630,FIND("10",H630,FIND("15",H630,FIND("01",H630)+16)+8)+2,50),"")</f>
        <v/>
      </c>
      <c r="G630" s="8" t="n"/>
      <c r="H630" s="8">
        <f>SUBSTITUTE(SUBSTITUTE(SUBSTITUTE(SUBSTITUTE(A630,"(",""),")","")," ",""),CHAR(29),"")</f>
        <v/>
      </c>
    </row>
    <row r="631">
      <c r="A631" s="4" t="n"/>
      <c r="B631" s="5">
        <f>IFERROR(MID(H631,FIND("01",H631)+2,14),"")</f>
        <v/>
      </c>
      <c r="C631" s="4">
        <f>IF(A631="","",IFERROR(VLOOKUP(B631,TblArticles,2,FALSE),"GTIN inconnu"))</f>
        <v/>
      </c>
      <c r="D631" s="5">
        <f>IF(A631="","",IFERROR(VLOOKUP(B631,TblArticles,3,FALSE),""))</f>
        <v/>
      </c>
      <c r="E631" s="6">
        <f>IFERROR(DATE(2000+VALUE(MID(H631,FIND("15",H631,FIND("01",H631)+16)+2,2)),VALUE(MID(H631,FIND("15",H631,FIND("01",H631)+16)+4,2)),VALUE(MID(H631,FIND("15",H631,FIND("01",H631)+16)+6,2))),"")</f>
        <v/>
      </c>
      <c r="F631" s="5">
        <f>IFERROR(MID(H631,FIND("10",H631,FIND("15",H631,FIND("01",H631)+16)+8)+2,50),"")</f>
        <v/>
      </c>
      <c r="G631" s="5" t="n"/>
      <c r="H631" s="5">
        <f>SUBSTITUTE(SUBSTITUTE(SUBSTITUTE(SUBSTITUTE(A631,"(",""),")","")," ",""),CHAR(29),"")</f>
        <v/>
      </c>
    </row>
    <row r="632">
      <c r="A632" s="7" t="n"/>
      <c r="B632" s="8">
        <f>IFERROR(MID(H632,FIND("01",H632)+2,14),"")</f>
        <v/>
      </c>
      <c r="C632" s="7">
        <f>IF(A632="","",IFERROR(VLOOKUP(B632,TblArticles,2,FALSE),"GTIN inconnu"))</f>
        <v/>
      </c>
      <c r="D632" s="8">
        <f>IF(A632="","",IFERROR(VLOOKUP(B632,TblArticles,3,FALSE),""))</f>
        <v/>
      </c>
      <c r="E632" s="9">
        <f>IFERROR(DATE(2000+VALUE(MID(H632,FIND("15",H632,FIND("01",H632)+16)+2,2)),VALUE(MID(H632,FIND("15",H632,FIND("01",H632)+16)+4,2)),VALUE(MID(H632,FIND("15",H632,FIND("01",H632)+16)+6,2))),"")</f>
        <v/>
      </c>
      <c r="F632" s="8">
        <f>IFERROR(MID(H632,FIND("10",H632,FIND("15",H632,FIND("01",H632)+16)+8)+2,50),"")</f>
        <v/>
      </c>
      <c r="G632" s="8" t="n"/>
      <c r="H632" s="8">
        <f>SUBSTITUTE(SUBSTITUTE(SUBSTITUTE(SUBSTITUTE(A632,"(",""),")","")," ",""),CHAR(29),"")</f>
        <v/>
      </c>
    </row>
    <row r="633">
      <c r="A633" s="4" t="n"/>
      <c r="B633" s="5">
        <f>IFERROR(MID(H633,FIND("01",H633)+2,14),"")</f>
        <v/>
      </c>
      <c r="C633" s="4">
        <f>IF(A633="","",IFERROR(VLOOKUP(B633,TblArticles,2,FALSE),"GTIN inconnu"))</f>
        <v/>
      </c>
      <c r="D633" s="5">
        <f>IF(A633="","",IFERROR(VLOOKUP(B633,TblArticles,3,FALSE),""))</f>
        <v/>
      </c>
      <c r="E633" s="6">
        <f>IFERROR(DATE(2000+VALUE(MID(H633,FIND("15",H633,FIND("01",H633)+16)+2,2)),VALUE(MID(H633,FIND("15",H633,FIND("01",H633)+16)+4,2)),VALUE(MID(H633,FIND("15",H633,FIND("01",H633)+16)+6,2))),"")</f>
        <v/>
      </c>
      <c r="F633" s="5">
        <f>IFERROR(MID(H633,FIND("10",H633,FIND("15",H633,FIND("01",H633)+16)+8)+2,50),"")</f>
        <v/>
      </c>
      <c r="G633" s="5" t="n"/>
      <c r="H633" s="5">
        <f>SUBSTITUTE(SUBSTITUTE(SUBSTITUTE(SUBSTITUTE(A633,"(",""),")","")," ",""),CHAR(29),"")</f>
        <v/>
      </c>
    </row>
    <row r="634">
      <c r="A634" s="7" t="n"/>
      <c r="B634" s="8">
        <f>IFERROR(MID(H634,FIND("01",H634)+2,14),"")</f>
        <v/>
      </c>
      <c r="C634" s="7">
        <f>IF(A634="","",IFERROR(VLOOKUP(B634,TblArticles,2,FALSE),"GTIN inconnu"))</f>
        <v/>
      </c>
      <c r="D634" s="8">
        <f>IF(A634="","",IFERROR(VLOOKUP(B634,TblArticles,3,FALSE),""))</f>
        <v/>
      </c>
      <c r="E634" s="9">
        <f>IFERROR(DATE(2000+VALUE(MID(H634,FIND("15",H634,FIND("01",H634)+16)+2,2)),VALUE(MID(H634,FIND("15",H634,FIND("01",H634)+16)+4,2)),VALUE(MID(H634,FIND("15",H634,FIND("01",H634)+16)+6,2))),"")</f>
        <v/>
      </c>
      <c r="F634" s="8">
        <f>IFERROR(MID(H634,FIND("10",H634,FIND("15",H634,FIND("01",H634)+16)+8)+2,50),"")</f>
        <v/>
      </c>
      <c r="G634" s="8" t="n"/>
      <c r="H634" s="8">
        <f>SUBSTITUTE(SUBSTITUTE(SUBSTITUTE(SUBSTITUTE(A634,"(",""),")","")," ",""),CHAR(29),"")</f>
        <v/>
      </c>
    </row>
    <row r="635">
      <c r="A635" s="4" t="n"/>
      <c r="B635" s="5">
        <f>IFERROR(MID(H635,FIND("01",H635)+2,14),"")</f>
        <v/>
      </c>
      <c r="C635" s="4">
        <f>IF(A635="","",IFERROR(VLOOKUP(B635,TblArticles,2,FALSE),"GTIN inconnu"))</f>
        <v/>
      </c>
      <c r="D635" s="5">
        <f>IF(A635="","",IFERROR(VLOOKUP(B635,TblArticles,3,FALSE),""))</f>
        <v/>
      </c>
      <c r="E635" s="6">
        <f>IFERROR(DATE(2000+VALUE(MID(H635,FIND("15",H635,FIND("01",H635)+16)+2,2)),VALUE(MID(H635,FIND("15",H635,FIND("01",H635)+16)+4,2)),VALUE(MID(H635,FIND("15",H635,FIND("01",H635)+16)+6,2))),"")</f>
        <v/>
      </c>
      <c r="F635" s="5">
        <f>IFERROR(MID(H635,FIND("10",H635,FIND("15",H635,FIND("01",H635)+16)+8)+2,50),"")</f>
        <v/>
      </c>
      <c r="G635" s="5" t="n"/>
      <c r="H635" s="5">
        <f>SUBSTITUTE(SUBSTITUTE(SUBSTITUTE(SUBSTITUTE(A635,"(",""),")","")," ",""),CHAR(29),"")</f>
        <v/>
      </c>
    </row>
    <row r="636">
      <c r="A636" s="7" t="n"/>
      <c r="B636" s="8">
        <f>IFERROR(MID(H636,FIND("01",H636)+2,14),"")</f>
        <v/>
      </c>
      <c r="C636" s="7">
        <f>IF(A636="","",IFERROR(VLOOKUP(B636,TblArticles,2,FALSE),"GTIN inconnu"))</f>
        <v/>
      </c>
      <c r="D636" s="8">
        <f>IF(A636="","",IFERROR(VLOOKUP(B636,TblArticles,3,FALSE),""))</f>
        <v/>
      </c>
      <c r="E636" s="9">
        <f>IFERROR(DATE(2000+VALUE(MID(H636,FIND("15",H636,FIND("01",H636)+16)+2,2)),VALUE(MID(H636,FIND("15",H636,FIND("01",H636)+16)+4,2)),VALUE(MID(H636,FIND("15",H636,FIND("01",H636)+16)+6,2))),"")</f>
        <v/>
      </c>
      <c r="F636" s="8">
        <f>IFERROR(MID(H636,FIND("10",H636,FIND("15",H636,FIND("01",H636)+16)+8)+2,50),"")</f>
        <v/>
      </c>
      <c r="G636" s="8" t="n"/>
      <c r="H636" s="8">
        <f>SUBSTITUTE(SUBSTITUTE(SUBSTITUTE(SUBSTITUTE(A636,"(",""),")","")," ",""),CHAR(29),"")</f>
        <v/>
      </c>
    </row>
    <row r="637">
      <c r="A637" s="4" t="n"/>
      <c r="B637" s="5">
        <f>IFERROR(MID(H637,FIND("01",H637)+2,14),"")</f>
        <v/>
      </c>
      <c r="C637" s="4">
        <f>IF(A637="","",IFERROR(VLOOKUP(B637,TblArticles,2,FALSE),"GTIN inconnu"))</f>
        <v/>
      </c>
      <c r="D637" s="5">
        <f>IF(A637="","",IFERROR(VLOOKUP(B637,TblArticles,3,FALSE),""))</f>
        <v/>
      </c>
      <c r="E637" s="6">
        <f>IFERROR(DATE(2000+VALUE(MID(H637,FIND("15",H637,FIND("01",H637)+16)+2,2)),VALUE(MID(H637,FIND("15",H637,FIND("01",H637)+16)+4,2)),VALUE(MID(H637,FIND("15",H637,FIND("01",H637)+16)+6,2))),"")</f>
        <v/>
      </c>
      <c r="F637" s="5">
        <f>IFERROR(MID(H637,FIND("10",H637,FIND("15",H637,FIND("01",H637)+16)+8)+2,50),"")</f>
        <v/>
      </c>
      <c r="G637" s="5" t="n"/>
      <c r="H637" s="5">
        <f>SUBSTITUTE(SUBSTITUTE(SUBSTITUTE(SUBSTITUTE(A637,"(",""),")","")," ",""),CHAR(29),"")</f>
        <v/>
      </c>
    </row>
    <row r="638">
      <c r="A638" s="7" t="n"/>
      <c r="B638" s="8">
        <f>IFERROR(MID(H638,FIND("01",H638)+2,14),"")</f>
        <v/>
      </c>
      <c r="C638" s="7">
        <f>IF(A638="","",IFERROR(VLOOKUP(B638,TblArticles,2,FALSE),"GTIN inconnu"))</f>
        <v/>
      </c>
      <c r="D638" s="8">
        <f>IF(A638="","",IFERROR(VLOOKUP(B638,TblArticles,3,FALSE),""))</f>
        <v/>
      </c>
      <c r="E638" s="9">
        <f>IFERROR(DATE(2000+VALUE(MID(H638,FIND("15",H638,FIND("01",H638)+16)+2,2)),VALUE(MID(H638,FIND("15",H638,FIND("01",H638)+16)+4,2)),VALUE(MID(H638,FIND("15",H638,FIND("01",H638)+16)+6,2))),"")</f>
        <v/>
      </c>
      <c r="F638" s="8">
        <f>IFERROR(MID(H638,FIND("10",H638,FIND("15",H638,FIND("01",H638)+16)+8)+2,50),"")</f>
        <v/>
      </c>
      <c r="G638" s="8" t="n"/>
      <c r="H638" s="8">
        <f>SUBSTITUTE(SUBSTITUTE(SUBSTITUTE(SUBSTITUTE(A638,"(",""),")","")," ",""),CHAR(29),"")</f>
        <v/>
      </c>
    </row>
    <row r="639">
      <c r="A639" s="4" t="n"/>
      <c r="B639" s="5">
        <f>IFERROR(MID(H639,FIND("01",H639)+2,14),"")</f>
        <v/>
      </c>
      <c r="C639" s="4">
        <f>IF(A639="","",IFERROR(VLOOKUP(B639,TblArticles,2,FALSE),"GTIN inconnu"))</f>
        <v/>
      </c>
      <c r="D639" s="5">
        <f>IF(A639="","",IFERROR(VLOOKUP(B639,TblArticles,3,FALSE),""))</f>
        <v/>
      </c>
      <c r="E639" s="6">
        <f>IFERROR(DATE(2000+VALUE(MID(H639,FIND("15",H639,FIND("01",H639)+16)+2,2)),VALUE(MID(H639,FIND("15",H639,FIND("01",H639)+16)+4,2)),VALUE(MID(H639,FIND("15",H639,FIND("01",H639)+16)+6,2))),"")</f>
        <v/>
      </c>
      <c r="F639" s="5">
        <f>IFERROR(MID(H639,FIND("10",H639,FIND("15",H639,FIND("01",H639)+16)+8)+2,50),"")</f>
        <v/>
      </c>
      <c r="G639" s="5" t="n"/>
      <c r="H639" s="5">
        <f>SUBSTITUTE(SUBSTITUTE(SUBSTITUTE(SUBSTITUTE(A639,"(",""),")","")," ",""),CHAR(29),"")</f>
        <v/>
      </c>
    </row>
    <row r="640">
      <c r="A640" s="7" t="n"/>
      <c r="B640" s="8">
        <f>IFERROR(MID(H640,FIND("01",H640)+2,14),"")</f>
        <v/>
      </c>
      <c r="C640" s="7">
        <f>IF(A640="","",IFERROR(VLOOKUP(B640,TblArticles,2,FALSE),"GTIN inconnu"))</f>
        <v/>
      </c>
      <c r="D640" s="8">
        <f>IF(A640="","",IFERROR(VLOOKUP(B640,TblArticles,3,FALSE),""))</f>
        <v/>
      </c>
      <c r="E640" s="9">
        <f>IFERROR(DATE(2000+VALUE(MID(H640,FIND("15",H640,FIND("01",H640)+16)+2,2)),VALUE(MID(H640,FIND("15",H640,FIND("01",H640)+16)+4,2)),VALUE(MID(H640,FIND("15",H640,FIND("01",H640)+16)+6,2))),"")</f>
        <v/>
      </c>
      <c r="F640" s="8">
        <f>IFERROR(MID(H640,FIND("10",H640,FIND("15",H640,FIND("01",H640)+16)+8)+2,50),"")</f>
        <v/>
      </c>
      <c r="G640" s="8" t="n"/>
      <c r="H640" s="8">
        <f>SUBSTITUTE(SUBSTITUTE(SUBSTITUTE(SUBSTITUTE(A640,"(",""),")","")," ",""),CHAR(29),"")</f>
        <v/>
      </c>
    </row>
    <row r="641">
      <c r="A641" s="4" t="n"/>
      <c r="B641" s="5">
        <f>IFERROR(MID(H641,FIND("01",H641)+2,14),"")</f>
        <v/>
      </c>
      <c r="C641" s="4">
        <f>IF(A641="","",IFERROR(VLOOKUP(B641,TblArticles,2,FALSE),"GTIN inconnu"))</f>
        <v/>
      </c>
      <c r="D641" s="5">
        <f>IF(A641="","",IFERROR(VLOOKUP(B641,TblArticles,3,FALSE),""))</f>
        <v/>
      </c>
      <c r="E641" s="6">
        <f>IFERROR(DATE(2000+VALUE(MID(H641,FIND("15",H641,FIND("01",H641)+16)+2,2)),VALUE(MID(H641,FIND("15",H641,FIND("01",H641)+16)+4,2)),VALUE(MID(H641,FIND("15",H641,FIND("01",H641)+16)+6,2))),"")</f>
        <v/>
      </c>
      <c r="F641" s="5">
        <f>IFERROR(MID(H641,FIND("10",H641,FIND("15",H641,FIND("01",H641)+16)+8)+2,50),"")</f>
        <v/>
      </c>
      <c r="G641" s="5" t="n"/>
      <c r="H641" s="5">
        <f>SUBSTITUTE(SUBSTITUTE(SUBSTITUTE(SUBSTITUTE(A641,"(",""),")","")," ",""),CHAR(29),"")</f>
        <v/>
      </c>
    </row>
    <row r="642">
      <c r="A642" s="7" t="n"/>
      <c r="B642" s="8">
        <f>IFERROR(MID(H642,FIND("01",H642)+2,14),"")</f>
        <v/>
      </c>
      <c r="C642" s="7">
        <f>IF(A642="","",IFERROR(VLOOKUP(B642,TblArticles,2,FALSE),"GTIN inconnu"))</f>
        <v/>
      </c>
      <c r="D642" s="8">
        <f>IF(A642="","",IFERROR(VLOOKUP(B642,TblArticles,3,FALSE),""))</f>
        <v/>
      </c>
      <c r="E642" s="9">
        <f>IFERROR(DATE(2000+VALUE(MID(H642,FIND("15",H642,FIND("01",H642)+16)+2,2)),VALUE(MID(H642,FIND("15",H642,FIND("01",H642)+16)+4,2)),VALUE(MID(H642,FIND("15",H642,FIND("01",H642)+16)+6,2))),"")</f>
        <v/>
      </c>
      <c r="F642" s="8">
        <f>IFERROR(MID(H642,FIND("10",H642,FIND("15",H642,FIND("01",H642)+16)+8)+2,50),"")</f>
        <v/>
      </c>
      <c r="G642" s="8" t="n"/>
      <c r="H642" s="8">
        <f>SUBSTITUTE(SUBSTITUTE(SUBSTITUTE(SUBSTITUTE(A642,"(",""),")","")," ",""),CHAR(29),"")</f>
        <v/>
      </c>
    </row>
    <row r="643">
      <c r="A643" s="4" t="n"/>
      <c r="B643" s="5">
        <f>IFERROR(MID(H643,FIND("01",H643)+2,14),"")</f>
        <v/>
      </c>
      <c r="C643" s="4">
        <f>IF(A643="","",IFERROR(VLOOKUP(B643,TblArticles,2,FALSE),"GTIN inconnu"))</f>
        <v/>
      </c>
      <c r="D643" s="5">
        <f>IF(A643="","",IFERROR(VLOOKUP(B643,TblArticles,3,FALSE),""))</f>
        <v/>
      </c>
      <c r="E643" s="6">
        <f>IFERROR(DATE(2000+VALUE(MID(H643,FIND("15",H643,FIND("01",H643)+16)+2,2)),VALUE(MID(H643,FIND("15",H643,FIND("01",H643)+16)+4,2)),VALUE(MID(H643,FIND("15",H643,FIND("01",H643)+16)+6,2))),"")</f>
        <v/>
      </c>
      <c r="F643" s="5">
        <f>IFERROR(MID(H643,FIND("10",H643,FIND("15",H643,FIND("01",H643)+16)+8)+2,50),"")</f>
        <v/>
      </c>
      <c r="G643" s="5" t="n"/>
      <c r="H643" s="5">
        <f>SUBSTITUTE(SUBSTITUTE(SUBSTITUTE(SUBSTITUTE(A643,"(",""),")","")," ",""),CHAR(29),"")</f>
        <v/>
      </c>
    </row>
    <row r="644">
      <c r="A644" s="7" t="n"/>
      <c r="B644" s="8">
        <f>IFERROR(MID(H644,FIND("01",H644)+2,14),"")</f>
        <v/>
      </c>
      <c r="C644" s="7">
        <f>IF(A644="","",IFERROR(VLOOKUP(B644,TblArticles,2,FALSE),"GTIN inconnu"))</f>
        <v/>
      </c>
      <c r="D644" s="8">
        <f>IF(A644="","",IFERROR(VLOOKUP(B644,TblArticles,3,FALSE),""))</f>
        <v/>
      </c>
      <c r="E644" s="9">
        <f>IFERROR(DATE(2000+VALUE(MID(H644,FIND("15",H644,FIND("01",H644)+16)+2,2)),VALUE(MID(H644,FIND("15",H644,FIND("01",H644)+16)+4,2)),VALUE(MID(H644,FIND("15",H644,FIND("01",H644)+16)+6,2))),"")</f>
        <v/>
      </c>
      <c r="F644" s="8">
        <f>IFERROR(MID(H644,FIND("10",H644,FIND("15",H644,FIND("01",H644)+16)+8)+2,50),"")</f>
        <v/>
      </c>
      <c r="G644" s="8" t="n"/>
      <c r="H644" s="8">
        <f>SUBSTITUTE(SUBSTITUTE(SUBSTITUTE(SUBSTITUTE(A644,"(",""),")","")," ",""),CHAR(29),"")</f>
        <v/>
      </c>
    </row>
    <row r="645">
      <c r="A645" s="4" t="n"/>
      <c r="B645" s="5">
        <f>IFERROR(MID(H645,FIND("01",H645)+2,14),"")</f>
        <v/>
      </c>
      <c r="C645" s="4">
        <f>IF(A645="","",IFERROR(VLOOKUP(B645,TblArticles,2,FALSE),"GTIN inconnu"))</f>
        <v/>
      </c>
      <c r="D645" s="5">
        <f>IF(A645="","",IFERROR(VLOOKUP(B645,TblArticles,3,FALSE),""))</f>
        <v/>
      </c>
      <c r="E645" s="6">
        <f>IFERROR(DATE(2000+VALUE(MID(H645,FIND("15",H645,FIND("01",H645)+16)+2,2)),VALUE(MID(H645,FIND("15",H645,FIND("01",H645)+16)+4,2)),VALUE(MID(H645,FIND("15",H645,FIND("01",H645)+16)+6,2))),"")</f>
        <v/>
      </c>
      <c r="F645" s="5">
        <f>IFERROR(MID(H645,FIND("10",H645,FIND("15",H645,FIND("01",H645)+16)+8)+2,50),"")</f>
        <v/>
      </c>
      <c r="G645" s="5" t="n"/>
      <c r="H645" s="5">
        <f>SUBSTITUTE(SUBSTITUTE(SUBSTITUTE(SUBSTITUTE(A645,"(",""),")","")," ",""),CHAR(29),"")</f>
        <v/>
      </c>
    </row>
    <row r="646">
      <c r="A646" s="7" t="n"/>
      <c r="B646" s="8">
        <f>IFERROR(MID(H646,FIND("01",H646)+2,14),"")</f>
        <v/>
      </c>
      <c r="C646" s="7">
        <f>IF(A646="","",IFERROR(VLOOKUP(B646,TblArticles,2,FALSE),"GTIN inconnu"))</f>
        <v/>
      </c>
      <c r="D646" s="8">
        <f>IF(A646="","",IFERROR(VLOOKUP(B646,TblArticles,3,FALSE),""))</f>
        <v/>
      </c>
      <c r="E646" s="9">
        <f>IFERROR(DATE(2000+VALUE(MID(H646,FIND("15",H646,FIND("01",H646)+16)+2,2)),VALUE(MID(H646,FIND("15",H646,FIND("01",H646)+16)+4,2)),VALUE(MID(H646,FIND("15",H646,FIND("01",H646)+16)+6,2))),"")</f>
        <v/>
      </c>
      <c r="F646" s="8">
        <f>IFERROR(MID(H646,FIND("10",H646,FIND("15",H646,FIND("01",H646)+16)+8)+2,50),"")</f>
        <v/>
      </c>
      <c r="G646" s="8" t="n"/>
      <c r="H646" s="8">
        <f>SUBSTITUTE(SUBSTITUTE(SUBSTITUTE(SUBSTITUTE(A646,"(",""),")","")," ",""),CHAR(29),"")</f>
        <v/>
      </c>
    </row>
    <row r="647">
      <c r="A647" s="4" t="n"/>
      <c r="B647" s="5">
        <f>IFERROR(MID(H647,FIND("01",H647)+2,14),"")</f>
        <v/>
      </c>
      <c r="C647" s="4">
        <f>IF(A647="","",IFERROR(VLOOKUP(B647,TblArticles,2,FALSE),"GTIN inconnu"))</f>
        <v/>
      </c>
      <c r="D647" s="5">
        <f>IF(A647="","",IFERROR(VLOOKUP(B647,TblArticles,3,FALSE),""))</f>
        <v/>
      </c>
      <c r="E647" s="6">
        <f>IFERROR(DATE(2000+VALUE(MID(H647,FIND("15",H647,FIND("01",H647)+16)+2,2)),VALUE(MID(H647,FIND("15",H647,FIND("01",H647)+16)+4,2)),VALUE(MID(H647,FIND("15",H647,FIND("01",H647)+16)+6,2))),"")</f>
        <v/>
      </c>
      <c r="F647" s="5">
        <f>IFERROR(MID(H647,FIND("10",H647,FIND("15",H647,FIND("01",H647)+16)+8)+2,50),"")</f>
        <v/>
      </c>
      <c r="G647" s="5" t="n"/>
      <c r="H647" s="5">
        <f>SUBSTITUTE(SUBSTITUTE(SUBSTITUTE(SUBSTITUTE(A647,"(",""),")","")," ",""),CHAR(29),"")</f>
        <v/>
      </c>
    </row>
    <row r="648">
      <c r="A648" s="7" t="n"/>
      <c r="B648" s="8">
        <f>IFERROR(MID(H648,FIND("01",H648)+2,14),"")</f>
        <v/>
      </c>
      <c r="C648" s="7">
        <f>IF(A648="","",IFERROR(VLOOKUP(B648,TblArticles,2,FALSE),"GTIN inconnu"))</f>
        <v/>
      </c>
      <c r="D648" s="8">
        <f>IF(A648="","",IFERROR(VLOOKUP(B648,TblArticles,3,FALSE),""))</f>
        <v/>
      </c>
      <c r="E648" s="9">
        <f>IFERROR(DATE(2000+VALUE(MID(H648,FIND("15",H648,FIND("01",H648)+16)+2,2)),VALUE(MID(H648,FIND("15",H648,FIND("01",H648)+16)+4,2)),VALUE(MID(H648,FIND("15",H648,FIND("01",H648)+16)+6,2))),"")</f>
        <v/>
      </c>
      <c r="F648" s="8">
        <f>IFERROR(MID(H648,FIND("10",H648,FIND("15",H648,FIND("01",H648)+16)+8)+2,50),"")</f>
        <v/>
      </c>
      <c r="G648" s="8" t="n"/>
      <c r="H648" s="8">
        <f>SUBSTITUTE(SUBSTITUTE(SUBSTITUTE(SUBSTITUTE(A648,"(",""),")","")," ",""),CHAR(29),"")</f>
        <v/>
      </c>
    </row>
    <row r="649">
      <c r="A649" s="4" t="n"/>
      <c r="B649" s="5">
        <f>IFERROR(MID(H649,FIND("01",H649)+2,14),"")</f>
        <v/>
      </c>
      <c r="C649" s="4">
        <f>IF(A649="","",IFERROR(VLOOKUP(B649,TblArticles,2,FALSE),"GTIN inconnu"))</f>
        <v/>
      </c>
      <c r="D649" s="5">
        <f>IF(A649="","",IFERROR(VLOOKUP(B649,TblArticles,3,FALSE),""))</f>
        <v/>
      </c>
      <c r="E649" s="6">
        <f>IFERROR(DATE(2000+VALUE(MID(H649,FIND("15",H649,FIND("01",H649)+16)+2,2)),VALUE(MID(H649,FIND("15",H649,FIND("01",H649)+16)+4,2)),VALUE(MID(H649,FIND("15",H649,FIND("01",H649)+16)+6,2))),"")</f>
        <v/>
      </c>
      <c r="F649" s="5">
        <f>IFERROR(MID(H649,FIND("10",H649,FIND("15",H649,FIND("01",H649)+16)+8)+2,50),"")</f>
        <v/>
      </c>
      <c r="G649" s="5" t="n"/>
      <c r="H649" s="5">
        <f>SUBSTITUTE(SUBSTITUTE(SUBSTITUTE(SUBSTITUTE(A649,"(",""),")","")," ",""),CHAR(29),"")</f>
        <v/>
      </c>
    </row>
    <row r="650">
      <c r="A650" s="7" t="n"/>
      <c r="B650" s="8">
        <f>IFERROR(MID(H650,FIND("01",H650)+2,14),"")</f>
        <v/>
      </c>
      <c r="C650" s="7">
        <f>IF(A650="","",IFERROR(VLOOKUP(B650,TblArticles,2,FALSE),"GTIN inconnu"))</f>
        <v/>
      </c>
      <c r="D650" s="8">
        <f>IF(A650="","",IFERROR(VLOOKUP(B650,TblArticles,3,FALSE),""))</f>
        <v/>
      </c>
      <c r="E650" s="9">
        <f>IFERROR(DATE(2000+VALUE(MID(H650,FIND("15",H650,FIND("01",H650)+16)+2,2)),VALUE(MID(H650,FIND("15",H650,FIND("01",H650)+16)+4,2)),VALUE(MID(H650,FIND("15",H650,FIND("01",H650)+16)+6,2))),"")</f>
        <v/>
      </c>
      <c r="F650" s="8">
        <f>IFERROR(MID(H650,FIND("10",H650,FIND("15",H650,FIND("01",H650)+16)+8)+2,50),"")</f>
        <v/>
      </c>
      <c r="G650" s="8" t="n"/>
      <c r="H650" s="8">
        <f>SUBSTITUTE(SUBSTITUTE(SUBSTITUTE(SUBSTITUTE(A650,"(",""),")","")," ",""),CHAR(29),"")</f>
        <v/>
      </c>
    </row>
    <row r="651">
      <c r="A651" s="4" t="n"/>
      <c r="B651" s="5">
        <f>IFERROR(MID(H651,FIND("01",H651)+2,14),"")</f>
        <v/>
      </c>
      <c r="C651" s="4">
        <f>IF(A651="","",IFERROR(VLOOKUP(B651,TblArticles,2,FALSE),"GTIN inconnu"))</f>
        <v/>
      </c>
      <c r="D651" s="5">
        <f>IF(A651="","",IFERROR(VLOOKUP(B651,TblArticles,3,FALSE),""))</f>
        <v/>
      </c>
      <c r="E651" s="6">
        <f>IFERROR(DATE(2000+VALUE(MID(H651,FIND("15",H651,FIND("01",H651)+16)+2,2)),VALUE(MID(H651,FIND("15",H651,FIND("01",H651)+16)+4,2)),VALUE(MID(H651,FIND("15",H651,FIND("01",H651)+16)+6,2))),"")</f>
        <v/>
      </c>
      <c r="F651" s="5">
        <f>IFERROR(MID(H651,FIND("10",H651,FIND("15",H651,FIND("01",H651)+16)+8)+2,50),"")</f>
        <v/>
      </c>
      <c r="G651" s="5" t="n"/>
      <c r="H651" s="5">
        <f>SUBSTITUTE(SUBSTITUTE(SUBSTITUTE(SUBSTITUTE(A651,"(",""),")","")," ",""),CHAR(29),"")</f>
        <v/>
      </c>
    </row>
    <row r="652">
      <c r="A652" s="7" t="n"/>
      <c r="B652" s="8">
        <f>IFERROR(MID(H652,FIND("01",H652)+2,14),"")</f>
        <v/>
      </c>
      <c r="C652" s="7">
        <f>IF(A652="","",IFERROR(VLOOKUP(B652,TblArticles,2,FALSE),"GTIN inconnu"))</f>
        <v/>
      </c>
      <c r="D652" s="8">
        <f>IF(A652="","",IFERROR(VLOOKUP(B652,TblArticles,3,FALSE),""))</f>
        <v/>
      </c>
      <c r="E652" s="9">
        <f>IFERROR(DATE(2000+VALUE(MID(H652,FIND("15",H652,FIND("01",H652)+16)+2,2)),VALUE(MID(H652,FIND("15",H652,FIND("01",H652)+16)+4,2)),VALUE(MID(H652,FIND("15",H652,FIND("01",H652)+16)+6,2))),"")</f>
        <v/>
      </c>
      <c r="F652" s="8">
        <f>IFERROR(MID(H652,FIND("10",H652,FIND("15",H652,FIND("01",H652)+16)+8)+2,50),"")</f>
        <v/>
      </c>
      <c r="G652" s="8" t="n"/>
      <c r="H652" s="8">
        <f>SUBSTITUTE(SUBSTITUTE(SUBSTITUTE(SUBSTITUTE(A652,"(",""),")","")," ",""),CHAR(29),"")</f>
        <v/>
      </c>
    </row>
    <row r="653">
      <c r="A653" s="4" t="n"/>
      <c r="B653" s="5">
        <f>IFERROR(MID(H653,FIND("01",H653)+2,14),"")</f>
        <v/>
      </c>
      <c r="C653" s="4">
        <f>IF(A653="","",IFERROR(VLOOKUP(B653,TblArticles,2,FALSE),"GTIN inconnu"))</f>
        <v/>
      </c>
      <c r="D653" s="5">
        <f>IF(A653="","",IFERROR(VLOOKUP(B653,TblArticles,3,FALSE),""))</f>
        <v/>
      </c>
      <c r="E653" s="6">
        <f>IFERROR(DATE(2000+VALUE(MID(H653,FIND("15",H653,FIND("01",H653)+16)+2,2)),VALUE(MID(H653,FIND("15",H653,FIND("01",H653)+16)+4,2)),VALUE(MID(H653,FIND("15",H653,FIND("01",H653)+16)+6,2))),"")</f>
        <v/>
      </c>
      <c r="F653" s="5">
        <f>IFERROR(MID(H653,FIND("10",H653,FIND("15",H653,FIND("01",H653)+16)+8)+2,50),"")</f>
        <v/>
      </c>
      <c r="G653" s="5" t="n"/>
      <c r="H653" s="5">
        <f>SUBSTITUTE(SUBSTITUTE(SUBSTITUTE(SUBSTITUTE(A653,"(",""),")","")," ",""),CHAR(29),"")</f>
        <v/>
      </c>
    </row>
    <row r="654">
      <c r="A654" s="7" t="n"/>
      <c r="B654" s="8">
        <f>IFERROR(MID(H654,FIND("01",H654)+2,14),"")</f>
        <v/>
      </c>
      <c r="C654" s="7">
        <f>IF(A654="","",IFERROR(VLOOKUP(B654,TblArticles,2,FALSE),"GTIN inconnu"))</f>
        <v/>
      </c>
      <c r="D654" s="8">
        <f>IF(A654="","",IFERROR(VLOOKUP(B654,TblArticles,3,FALSE),""))</f>
        <v/>
      </c>
      <c r="E654" s="9">
        <f>IFERROR(DATE(2000+VALUE(MID(H654,FIND("15",H654,FIND("01",H654)+16)+2,2)),VALUE(MID(H654,FIND("15",H654,FIND("01",H654)+16)+4,2)),VALUE(MID(H654,FIND("15",H654,FIND("01",H654)+16)+6,2))),"")</f>
        <v/>
      </c>
      <c r="F654" s="8">
        <f>IFERROR(MID(H654,FIND("10",H654,FIND("15",H654,FIND("01",H654)+16)+8)+2,50),"")</f>
        <v/>
      </c>
      <c r="G654" s="8" t="n"/>
      <c r="H654" s="8">
        <f>SUBSTITUTE(SUBSTITUTE(SUBSTITUTE(SUBSTITUTE(A654,"(",""),")","")," ",""),CHAR(29),"")</f>
        <v/>
      </c>
    </row>
    <row r="655">
      <c r="A655" s="4" t="n"/>
      <c r="B655" s="5">
        <f>IFERROR(MID(H655,FIND("01",H655)+2,14),"")</f>
        <v/>
      </c>
      <c r="C655" s="4">
        <f>IF(A655="","",IFERROR(VLOOKUP(B655,TblArticles,2,FALSE),"GTIN inconnu"))</f>
        <v/>
      </c>
      <c r="D655" s="5">
        <f>IF(A655="","",IFERROR(VLOOKUP(B655,TblArticles,3,FALSE),""))</f>
        <v/>
      </c>
      <c r="E655" s="6">
        <f>IFERROR(DATE(2000+VALUE(MID(H655,FIND("15",H655,FIND("01",H655)+16)+2,2)),VALUE(MID(H655,FIND("15",H655,FIND("01",H655)+16)+4,2)),VALUE(MID(H655,FIND("15",H655,FIND("01",H655)+16)+6,2))),"")</f>
        <v/>
      </c>
      <c r="F655" s="5">
        <f>IFERROR(MID(H655,FIND("10",H655,FIND("15",H655,FIND("01",H655)+16)+8)+2,50),"")</f>
        <v/>
      </c>
      <c r="G655" s="5" t="n"/>
      <c r="H655" s="5">
        <f>SUBSTITUTE(SUBSTITUTE(SUBSTITUTE(SUBSTITUTE(A655,"(",""),")","")," ",""),CHAR(29),"")</f>
        <v/>
      </c>
    </row>
    <row r="656">
      <c r="A656" s="7" t="n"/>
      <c r="B656" s="8">
        <f>IFERROR(MID(H656,FIND("01",H656)+2,14),"")</f>
        <v/>
      </c>
      <c r="C656" s="7">
        <f>IF(A656="","",IFERROR(VLOOKUP(B656,TblArticles,2,FALSE),"GTIN inconnu"))</f>
        <v/>
      </c>
      <c r="D656" s="8">
        <f>IF(A656="","",IFERROR(VLOOKUP(B656,TblArticles,3,FALSE),""))</f>
        <v/>
      </c>
      <c r="E656" s="9">
        <f>IFERROR(DATE(2000+VALUE(MID(H656,FIND("15",H656,FIND("01",H656)+16)+2,2)),VALUE(MID(H656,FIND("15",H656,FIND("01",H656)+16)+4,2)),VALUE(MID(H656,FIND("15",H656,FIND("01",H656)+16)+6,2))),"")</f>
        <v/>
      </c>
      <c r="F656" s="8">
        <f>IFERROR(MID(H656,FIND("10",H656,FIND("15",H656,FIND("01",H656)+16)+8)+2,50),"")</f>
        <v/>
      </c>
      <c r="G656" s="8" t="n"/>
      <c r="H656" s="8">
        <f>SUBSTITUTE(SUBSTITUTE(SUBSTITUTE(SUBSTITUTE(A656,"(",""),")","")," ",""),CHAR(29),"")</f>
        <v/>
      </c>
    </row>
    <row r="657">
      <c r="A657" s="4" t="n"/>
      <c r="B657" s="5">
        <f>IFERROR(MID(H657,FIND("01",H657)+2,14),"")</f>
        <v/>
      </c>
      <c r="C657" s="4">
        <f>IF(A657="","",IFERROR(VLOOKUP(B657,TblArticles,2,FALSE),"GTIN inconnu"))</f>
        <v/>
      </c>
      <c r="D657" s="5">
        <f>IF(A657="","",IFERROR(VLOOKUP(B657,TblArticles,3,FALSE),""))</f>
        <v/>
      </c>
      <c r="E657" s="6">
        <f>IFERROR(DATE(2000+VALUE(MID(H657,FIND("15",H657,FIND("01",H657)+16)+2,2)),VALUE(MID(H657,FIND("15",H657,FIND("01",H657)+16)+4,2)),VALUE(MID(H657,FIND("15",H657,FIND("01",H657)+16)+6,2))),"")</f>
        <v/>
      </c>
      <c r="F657" s="5">
        <f>IFERROR(MID(H657,FIND("10",H657,FIND("15",H657,FIND("01",H657)+16)+8)+2,50),"")</f>
        <v/>
      </c>
      <c r="G657" s="5" t="n"/>
      <c r="H657" s="5">
        <f>SUBSTITUTE(SUBSTITUTE(SUBSTITUTE(SUBSTITUTE(A657,"(",""),")","")," ",""),CHAR(29),"")</f>
        <v/>
      </c>
    </row>
    <row r="658">
      <c r="A658" s="7" t="n"/>
      <c r="B658" s="8">
        <f>IFERROR(MID(H658,FIND("01",H658)+2,14),"")</f>
        <v/>
      </c>
      <c r="C658" s="7">
        <f>IF(A658="","",IFERROR(VLOOKUP(B658,TblArticles,2,FALSE),"GTIN inconnu"))</f>
        <v/>
      </c>
      <c r="D658" s="8">
        <f>IF(A658="","",IFERROR(VLOOKUP(B658,TblArticles,3,FALSE),""))</f>
        <v/>
      </c>
      <c r="E658" s="9">
        <f>IFERROR(DATE(2000+VALUE(MID(H658,FIND("15",H658,FIND("01",H658)+16)+2,2)),VALUE(MID(H658,FIND("15",H658,FIND("01",H658)+16)+4,2)),VALUE(MID(H658,FIND("15",H658,FIND("01",H658)+16)+6,2))),"")</f>
        <v/>
      </c>
      <c r="F658" s="8">
        <f>IFERROR(MID(H658,FIND("10",H658,FIND("15",H658,FIND("01",H658)+16)+8)+2,50),"")</f>
        <v/>
      </c>
      <c r="G658" s="8" t="n"/>
      <c r="H658" s="8">
        <f>SUBSTITUTE(SUBSTITUTE(SUBSTITUTE(SUBSTITUTE(A658,"(",""),")","")," ",""),CHAR(29),"")</f>
        <v/>
      </c>
    </row>
    <row r="659">
      <c r="A659" s="4" t="n"/>
      <c r="B659" s="5">
        <f>IFERROR(MID(H659,FIND("01",H659)+2,14),"")</f>
        <v/>
      </c>
      <c r="C659" s="4">
        <f>IF(A659="","",IFERROR(VLOOKUP(B659,TblArticles,2,FALSE),"GTIN inconnu"))</f>
        <v/>
      </c>
      <c r="D659" s="5">
        <f>IF(A659="","",IFERROR(VLOOKUP(B659,TblArticles,3,FALSE),""))</f>
        <v/>
      </c>
      <c r="E659" s="6">
        <f>IFERROR(DATE(2000+VALUE(MID(H659,FIND("15",H659,FIND("01",H659)+16)+2,2)),VALUE(MID(H659,FIND("15",H659,FIND("01",H659)+16)+4,2)),VALUE(MID(H659,FIND("15",H659,FIND("01",H659)+16)+6,2))),"")</f>
        <v/>
      </c>
      <c r="F659" s="5">
        <f>IFERROR(MID(H659,FIND("10",H659,FIND("15",H659,FIND("01",H659)+16)+8)+2,50),"")</f>
        <v/>
      </c>
      <c r="G659" s="5" t="n"/>
      <c r="H659" s="5">
        <f>SUBSTITUTE(SUBSTITUTE(SUBSTITUTE(SUBSTITUTE(A659,"(",""),")","")," ",""),CHAR(29),"")</f>
        <v/>
      </c>
    </row>
    <row r="660">
      <c r="A660" s="7" t="n"/>
      <c r="B660" s="8">
        <f>IFERROR(MID(H660,FIND("01",H660)+2,14),"")</f>
        <v/>
      </c>
      <c r="C660" s="7">
        <f>IF(A660="","",IFERROR(VLOOKUP(B660,TblArticles,2,FALSE),"GTIN inconnu"))</f>
        <v/>
      </c>
      <c r="D660" s="8">
        <f>IF(A660="","",IFERROR(VLOOKUP(B660,TblArticles,3,FALSE),""))</f>
        <v/>
      </c>
      <c r="E660" s="9">
        <f>IFERROR(DATE(2000+VALUE(MID(H660,FIND("15",H660,FIND("01",H660)+16)+2,2)),VALUE(MID(H660,FIND("15",H660,FIND("01",H660)+16)+4,2)),VALUE(MID(H660,FIND("15",H660,FIND("01",H660)+16)+6,2))),"")</f>
        <v/>
      </c>
      <c r="F660" s="8">
        <f>IFERROR(MID(H660,FIND("10",H660,FIND("15",H660,FIND("01",H660)+16)+8)+2,50),"")</f>
        <v/>
      </c>
      <c r="G660" s="8" t="n"/>
      <c r="H660" s="8">
        <f>SUBSTITUTE(SUBSTITUTE(SUBSTITUTE(SUBSTITUTE(A660,"(",""),")","")," ",""),CHAR(29),"")</f>
        <v/>
      </c>
    </row>
    <row r="661">
      <c r="A661" s="4" t="n"/>
      <c r="B661" s="5">
        <f>IFERROR(MID(H661,FIND("01",H661)+2,14),"")</f>
        <v/>
      </c>
      <c r="C661" s="4">
        <f>IF(A661="","",IFERROR(VLOOKUP(B661,TblArticles,2,FALSE),"GTIN inconnu"))</f>
        <v/>
      </c>
      <c r="D661" s="5">
        <f>IF(A661="","",IFERROR(VLOOKUP(B661,TblArticles,3,FALSE),""))</f>
        <v/>
      </c>
      <c r="E661" s="6">
        <f>IFERROR(DATE(2000+VALUE(MID(H661,FIND("15",H661,FIND("01",H661)+16)+2,2)),VALUE(MID(H661,FIND("15",H661,FIND("01",H661)+16)+4,2)),VALUE(MID(H661,FIND("15",H661,FIND("01",H661)+16)+6,2))),"")</f>
        <v/>
      </c>
      <c r="F661" s="5">
        <f>IFERROR(MID(H661,FIND("10",H661,FIND("15",H661,FIND("01",H661)+16)+8)+2,50),"")</f>
        <v/>
      </c>
      <c r="G661" s="5" t="n"/>
      <c r="H661" s="5">
        <f>SUBSTITUTE(SUBSTITUTE(SUBSTITUTE(SUBSTITUTE(A661,"(",""),")","")," ",""),CHAR(29),"")</f>
        <v/>
      </c>
    </row>
    <row r="662">
      <c r="A662" s="7" t="n"/>
      <c r="B662" s="8">
        <f>IFERROR(MID(H662,FIND("01",H662)+2,14),"")</f>
        <v/>
      </c>
      <c r="C662" s="7">
        <f>IF(A662="","",IFERROR(VLOOKUP(B662,TblArticles,2,FALSE),"GTIN inconnu"))</f>
        <v/>
      </c>
      <c r="D662" s="8">
        <f>IF(A662="","",IFERROR(VLOOKUP(B662,TblArticles,3,FALSE),""))</f>
        <v/>
      </c>
      <c r="E662" s="9">
        <f>IFERROR(DATE(2000+VALUE(MID(H662,FIND("15",H662,FIND("01",H662)+16)+2,2)),VALUE(MID(H662,FIND("15",H662,FIND("01",H662)+16)+4,2)),VALUE(MID(H662,FIND("15",H662,FIND("01",H662)+16)+6,2))),"")</f>
        <v/>
      </c>
      <c r="F662" s="8">
        <f>IFERROR(MID(H662,FIND("10",H662,FIND("15",H662,FIND("01",H662)+16)+8)+2,50),"")</f>
        <v/>
      </c>
      <c r="G662" s="8" t="n"/>
      <c r="H662" s="8">
        <f>SUBSTITUTE(SUBSTITUTE(SUBSTITUTE(SUBSTITUTE(A662,"(",""),")","")," ",""),CHAR(29),"")</f>
        <v/>
      </c>
    </row>
    <row r="663">
      <c r="A663" s="4" t="n"/>
      <c r="B663" s="5">
        <f>IFERROR(MID(H663,FIND("01",H663)+2,14),"")</f>
        <v/>
      </c>
      <c r="C663" s="4">
        <f>IF(A663="","",IFERROR(VLOOKUP(B663,TblArticles,2,FALSE),"GTIN inconnu"))</f>
        <v/>
      </c>
      <c r="D663" s="5">
        <f>IF(A663="","",IFERROR(VLOOKUP(B663,TblArticles,3,FALSE),""))</f>
        <v/>
      </c>
      <c r="E663" s="6">
        <f>IFERROR(DATE(2000+VALUE(MID(H663,FIND("15",H663,FIND("01",H663)+16)+2,2)),VALUE(MID(H663,FIND("15",H663,FIND("01",H663)+16)+4,2)),VALUE(MID(H663,FIND("15",H663,FIND("01",H663)+16)+6,2))),"")</f>
        <v/>
      </c>
      <c r="F663" s="5">
        <f>IFERROR(MID(H663,FIND("10",H663,FIND("15",H663,FIND("01",H663)+16)+8)+2,50),"")</f>
        <v/>
      </c>
      <c r="G663" s="5" t="n"/>
      <c r="H663" s="5">
        <f>SUBSTITUTE(SUBSTITUTE(SUBSTITUTE(SUBSTITUTE(A663,"(",""),")","")," ",""),CHAR(29),"")</f>
        <v/>
      </c>
    </row>
    <row r="664">
      <c r="A664" s="7" t="n"/>
      <c r="B664" s="8">
        <f>IFERROR(MID(H664,FIND("01",H664)+2,14),"")</f>
        <v/>
      </c>
      <c r="C664" s="7">
        <f>IF(A664="","",IFERROR(VLOOKUP(B664,TblArticles,2,FALSE),"GTIN inconnu"))</f>
        <v/>
      </c>
      <c r="D664" s="8">
        <f>IF(A664="","",IFERROR(VLOOKUP(B664,TblArticles,3,FALSE),""))</f>
        <v/>
      </c>
      <c r="E664" s="9">
        <f>IFERROR(DATE(2000+VALUE(MID(H664,FIND("15",H664,FIND("01",H664)+16)+2,2)),VALUE(MID(H664,FIND("15",H664,FIND("01",H664)+16)+4,2)),VALUE(MID(H664,FIND("15",H664,FIND("01",H664)+16)+6,2))),"")</f>
        <v/>
      </c>
      <c r="F664" s="8">
        <f>IFERROR(MID(H664,FIND("10",H664,FIND("15",H664,FIND("01",H664)+16)+8)+2,50),"")</f>
        <v/>
      </c>
      <c r="G664" s="8" t="n"/>
      <c r="H664" s="8">
        <f>SUBSTITUTE(SUBSTITUTE(SUBSTITUTE(SUBSTITUTE(A664,"(",""),")","")," ",""),CHAR(29),"")</f>
        <v/>
      </c>
    </row>
    <row r="665">
      <c r="A665" s="4" t="n"/>
      <c r="B665" s="5">
        <f>IFERROR(MID(H665,FIND("01",H665)+2,14),"")</f>
        <v/>
      </c>
      <c r="C665" s="4">
        <f>IF(A665="","",IFERROR(VLOOKUP(B665,TblArticles,2,FALSE),"GTIN inconnu"))</f>
        <v/>
      </c>
      <c r="D665" s="5">
        <f>IF(A665="","",IFERROR(VLOOKUP(B665,TblArticles,3,FALSE),""))</f>
        <v/>
      </c>
      <c r="E665" s="6">
        <f>IFERROR(DATE(2000+VALUE(MID(H665,FIND("15",H665,FIND("01",H665)+16)+2,2)),VALUE(MID(H665,FIND("15",H665,FIND("01",H665)+16)+4,2)),VALUE(MID(H665,FIND("15",H665,FIND("01",H665)+16)+6,2))),"")</f>
        <v/>
      </c>
      <c r="F665" s="5">
        <f>IFERROR(MID(H665,FIND("10",H665,FIND("15",H665,FIND("01",H665)+16)+8)+2,50),"")</f>
        <v/>
      </c>
      <c r="G665" s="5" t="n"/>
      <c r="H665" s="5">
        <f>SUBSTITUTE(SUBSTITUTE(SUBSTITUTE(SUBSTITUTE(A665,"(",""),")","")," ",""),CHAR(29),"")</f>
        <v/>
      </c>
    </row>
    <row r="666">
      <c r="A666" s="7" t="n"/>
      <c r="B666" s="8">
        <f>IFERROR(MID(H666,FIND("01",H666)+2,14),"")</f>
        <v/>
      </c>
      <c r="C666" s="7">
        <f>IF(A666="","",IFERROR(VLOOKUP(B666,TblArticles,2,FALSE),"GTIN inconnu"))</f>
        <v/>
      </c>
      <c r="D666" s="8">
        <f>IF(A666="","",IFERROR(VLOOKUP(B666,TblArticles,3,FALSE),""))</f>
        <v/>
      </c>
      <c r="E666" s="9">
        <f>IFERROR(DATE(2000+VALUE(MID(H666,FIND("15",H666,FIND("01",H666)+16)+2,2)),VALUE(MID(H666,FIND("15",H666,FIND("01",H666)+16)+4,2)),VALUE(MID(H666,FIND("15",H666,FIND("01",H666)+16)+6,2))),"")</f>
        <v/>
      </c>
      <c r="F666" s="8">
        <f>IFERROR(MID(H666,FIND("10",H666,FIND("15",H666,FIND("01",H666)+16)+8)+2,50),"")</f>
        <v/>
      </c>
      <c r="G666" s="8" t="n"/>
      <c r="H666" s="8">
        <f>SUBSTITUTE(SUBSTITUTE(SUBSTITUTE(SUBSTITUTE(A666,"(",""),")","")," ",""),CHAR(29),"")</f>
        <v/>
      </c>
    </row>
    <row r="667">
      <c r="A667" s="4" t="n"/>
      <c r="B667" s="5">
        <f>IFERROR(MID(H667,FIND("01",H667)+2,14),"")</f>
        <v/>
      </c>
      <c r="C667" s="4">
        <f>IF(A667="","",IFERROR(VLOOKUP(B667,TblArticles,2,FALSE),"GTIN inconnu"))</f>
        <v/>
      </c>
      <c r="D667" s="5">
        <f>IF(A667="","",IFERROR(VLOOKUP(B667,TblArticles,3,FALSE),""))</f>
        <v/>
      </c>
      <c r="E667" s="6">
        <f>IFERROR(DATE(2000+VALUE(MID(H667,FIND("15",H667,FIND("01",H667)+16)+2,2)),VALUE(MID(H667,FIND("15",H667,FIND("01",H667)+16)+4,2)),VALUE(MID(H667,FIND("15",H667,FIND("01",H667)+16)+6,2))),"")</f>
        <v/>
      </c>
      <c r="F667" s="5">
        <f>IFERROR(MID(H667,FIND("10",H667,FIND("15",H667,FIND("01",H667)+16)+8)+2,50),"")</f>
        <v/>
      </c>
      <c r="G667" s="5" t="n"/>
      <c r="H667" s="5">
        <f>SUBSTITUTE(SUBSTITUTE(SUBSTITUTE(SUBSTITUTE(A667,"(",""),")","")," ",""),CHAR(29),"")</f>
        <v/>
      </c>
    </row>
    <row r="668">
      <c r="A668" s="7" t="n"/>
      <c r="B668" s="8">
        <f>IFERROR(MID(H668,FIND("01",H668)+2,14),"")</f>
        <v/>
      </c>
      <c r="C668" s="7">
        <f>IF(A668="","",IFERROR(VLOOKUP(B668,TblArticles,2,FALSE),"GTIN inconnu"))</f>
        <v/>
      </c>
      <c r="D668" s="8">
        <f>IF(A668="","",IFERROR(VLOOKUP(B668,TblArticles,3,FALSE),""))</f>
        <v/>
      </c>
      <c r="E668" s="9">
        <f>IFERROR(DATE(2000+VALUE(MID(H668,FIND("15",H668,FIND("01",H668)+16)+2,2)),VALUE(MID(H668,FIND("15",H668,FIND("01",H668)+16)+4,2)),VALUE(MID(H668,FIND("15",H668,FIND("01",H668)+16)+6,2))),"")</f>
        <v/>
      </c>
      <c r="F668" s="8">
        <f>IFERROR(MID(H668,FIND("10",H668,FIND("15",H668,FIND("01",H668)+16)+8)+2,50),"")</f>
        <v/>
      </c>
      <c r="G668" s="8" t="n"/>
      <c r="H668" s="8">
        <f>SUBSTITUTE(SUBSTITUTE(SUBSTITUTE(SUBSTITUTE(A668,"(",""),")","")," ",""),CHAR(29),"")</f>
        <v/>
      </c>
    </row>
    <row r="669">
      <c r="A669" s="4" t="n"/>
      <c r="B669" s="5">
        <f>IFERROR(MID(H669,FIND("01",H669)+2,14),"")</f>
        <v/>
      </c>
      <c r="C669" s="4">
        <f>IF(A669="","",IFERROR(VLOOKUP(B669,TblArticles,2,FALSE),"GTIN inconnu"))</f>
        <v/>
      </c>
      <c r="D669" s="5">
        <f>IF(A669="","",IFERROR(VLOOKUP(B669,TblArticles,3,FALSE),""))</f>
        <v/>
      </c>
      <c r="E669" s="6">
        <f>IFERROR(DATE(2000+VALUE(MID(H669,FIND("15",H669,FIND("01",H669)+16)+2,2)),VALUE(MID(H669,FIND("15",H669,FIND("01",H669)+16)+4,2)),VALUE(MID(H669,FIND("15",H669,FIND("01",H669)+16)+6,2))),"")</f>
        <v/>
      </c>
      <c r="F669" s="5">
        <f>IFERROR(MID(H669,FIND("10",H669,FIND("15",H669,FIND("01",H669)+16)+8)+2,50),"")</f>
        <v/>
      </c>
      <c r="G669" s="5" t="n"/>
      <c r="H669" s="5">
        <f>SUBSTITUTE(SUBSTITUTE(SUBSTITUTE(SUBSTITUTE(A669,"(",""),")","")," ",""),CHAR(29),"")</f>
        <v/>
      </c>
    </row>
    <row r="670">
      <c r="A670" s="7" t="n"/>
      <c r="B670" s="8">
        <f>IFERROR(MID(H670,FIND("01",H670)+2,14),"")</f>
        <v/>
      </c>
      <c r="C670" s="7">
        <f>IF(A670="","",IFERROR(VLOOKUP(B670,TblArticles,2,FALSE),"GTIN inconnu"))</f>
        <v/>
      </c>
      <c r="D670" s="8">
        <f>IF(A670="","",IFERROR(VLOOKUP(B670,TblArticles,3,FALSE),""))</f>
        <v/>
      </c>
      <c r="E670" s="9">
        <f>IFERROR(DATE(2000+VALUE(MID(H670,FIND("15",H670,FIND("01",H670)+16)+2,2)),VALUE(MID(H670,FIND("15",H670,FIND("01",H670)+16)+4,2)),VALUE(MID(H670,FIND("15",H670,FIND("01",H670)+16)+6,2))),"")</f>
        <v/>
      </c>
      <c r="F670" s="8">
        <f>IFERROR(MID(H670,FIND("10",H670,FIND("15",H670,FIND("01",H670)+16)+8)+2,50),"")</f>
        <v/>
      </c>
      <c r="G670" s="8" t="n"/>
      <c r="H670" s="8">
        <f>SUBSTITUTE(SUBSTITUTE(SUBSTITUTE(SUBSTITUTE(A670,"(",""),")","")," ",""),CHAR(29),"")</f>
        <v/>
      </c>
    </row>
    <row r="671">
      <c r="A671" s="4" t="n"/>
      <c r="B671" s="5">
        <f>IFERROR(MID(H671,FIND("01",H671)+2,14),"")</f>
        <v/>
      </c>
      <c r="C671" s="4">
        <f>IF(A671="","",IFERROR(VLOOKUP(B671,TblArticles,2,FALSE),"GTIN inconnu"))</f>
        <v/>
      </c>
      <c r="D671" s="5">
        <f>IF(A671="","",IFERROR(VLOOKUP(B671,TblArticles,3,FALSE),""))</f>
        <v/>
      </c>
      <c r="E671" s="6">
        <f>IFERROR(DATE(2000+VALUE(MID(H671,FIND("15",H671,FIND("01",H671)+16)+2,2)),VALUE(MID(H671,FIND("15",H671,FIND("01",H671)+16)+4,2)),VALUE(MID(H671,FIND("15",H671,FIND("01",H671)+16)+6,2))),"")</f>
        <v/>
      </c>
      <c r="F671" s="5">
        <f>IFERROR(MID(H671,FIND("10",H671,FIND("15",H671,FIND("01",H671)+16)+8)+2,50),"")</f>
        <v/>
      </c>
      <c r="G671" s="5" t="n"/>
      <c r="H671" s="5">
        <f>SUBSTITUTE(SUBSTITUTE(SUBSTITUTE(SUBSTITUTE(A671,"(",""),")","")," ",""),CHAR(29),"")</f>
        <v/>
      </c>
    </row>
    <row r="672">
      <c r="A672" s="7" t="n"/>
      <c r="B672" s="8">
        <f>IFERROR(MID(H672,FIND("01",H672)+2,14),"")</f>
        <v/>
      </c>
      <c r="C672" s="7">
        <f>IF(A672="","",IFERROR(VLOOKUP(B672,TblArticles,2,FALSE),"GTIN inconnu"))</f>
        <v/>
      </c>
      <c r="D672" s="8">
        <f>IF(A672="","",IFERROR(VLOOKUP(B672,TblArticles,3,FALSE),""))</f>
        <v/>
      </c>
      <c r="E672" s="9">
        <f>IFERROR(DATE(2000+VALUE(MID(H672,FIND("15",H672,FIND("01",H672)+16)+2,2)),VALUE(MID(H672,FIND("15",H672,FIND("01",H672)+16)+4,2)),VALUE(MID(H672,FIND("15",H672,FIND("01",H672)+16)+6,2))),"")</f>
        <v/>
      </c>
      <c r="F672" s="8">
        <f>IFERROR(MID(H672,FIND("10",H672,FIND("15",H672,FIND("01",H672)+16)+8)+2,50),"")</f>
        <v/>
      </c>
      <c r="G672" s="8" t="n"/>
      <c r="H672" s="8">
        <f>SUBSTITUTE(SUBSTITUTE(SUBSTITUTE(SUBSTITUTE(A672,"(",""),")","")," ",""),CHAR(29),"")</f>
        <v/>
      </c>
    </row>
    <row r="673">
      <c r="A673" s="4" t="n"/>
      <c r="B673" s="5">
        <f>IFERROR(MID(H673,FIND("01",H673)+2,14),"")</f>
        <v/>
      </c>
      <c r="C673" s="4">
        <f>IF(A673="","",IFERROR(VLOOKUP(B673,TblArticles,2,FALSE),"GTIN inconnu"))</f>
        <v/>
      </c>
      <c r="D673" s="5">
        <f>IF(A673="","",IFERROR(VLOOKUP(B673,TblArticles,3,FALSE),""))</f>
        <v/>
      </c>
      <c r="E673" s="6">
        <f>IFERROR(DATE(2000+VALUE(MID(H673,FIND("15",H673,FIND("01",H673)+16)+2,2)),VALUE(MID(H673,FIND("15",H673,FIND("01",H673)+16)+4,2)),VALUE(MID(H673,FIND("15",H673,FIND("01",H673)+16)+6,2))),"")</f>
        <v/>
      </c>
      <c r="F673" s="5">
        <f>IFERROR(MID(H673,FIND("10",H673,FIND("15",H673,FIND("01",H673)+16)+8)+2,50),"")</f>
        <v/>
      </c>
      <c r="G673" s="5" t="n"/>
      <c r="H673" s="5">
        <f>SUBSTITUTE(SUBSTITUTE(SUBSTITUTE(SUBSTITUTE(A673,"(",""),")","")," ",""),CHAR(29),"")</f>
        <v/>
      </c>
    </row>
    <row r="674">
      <c r="A674" s="7" t="n"/>
      <c r="B674" s="8">
        <f>IFERROR(MID(H674,FIND("01",H674)+2,14),"")</f>
        <v/>
      </c>
      <c r="C674" s="7">
        <f>IF(A674="","",IFERROR(VLOOKUP(B674,TblArticles,2,FALSE),"GTIN inconnu"))</f>
        <v/>
      </c>
      <c r="D674" s="8">
        <f>IF(A674="","",IFERROR(VLOOKUP(B674,TblArticles,3,FALSE),""))</f>
        <v/>
      </c>
      <c r="E674" s="9">
        <f>IFERROR(DATE(2000+VALUE(MID(H674,FIND("15",H674,FIND("01",H674)+16)+2,2)),VALUE(MID(H674,FIND("15",H674,FIND("01",H674)+16)+4,2)),VALUE(MID(H674,FIND("15",H674,FIND("01",H674)+16)+6,2))),"")</f>
        <v/>
      </c>
      <c r="F674" s="8">
        <f>IFERROR(MID(H674,FIND("10",H674,FIND("15",H674,FIND("01",H674)+16)+8)+2,50),"")</f>
        <v/>
      </c>
      <c r="G674" s="8" t="n"/>
      <c r="H674" s="8">
        <f>SUBSTITUTE(SUBSTITUTE(SUBSTITUTE(SUBSTITUTE(A674,"(",""),")","")," ",""),CHAR(29),"")</f>
        <v/>
      </c>
    </row>
    <row r="675">
      <c r="A675" s="4" t="n"/>
      <c r="B675" s="5">
        <f>IFERROR(MID(H675,FIND("01",H675)+2,14),"")</f>
        <v/>
      </c>
      <c r="C675" s="4">
        <f>IF(A675="","",IFERROR(VLOOKUP(B675,TblArticles,2,FALSE),"GTIN inconnu"))</f>
        <v/>
      </c>
      <c r="D675" s="5">
        <f>IF(A675="","",IFERROR(VLOOKUP(B675,TblArticles,3,FALSE),""))</f>
        <v/>
      </c>
      <c r="E675" s="6">
        <f>IFERROR(DATE(2000+VALUE(MID(H675,FIND("15",H675,FIND("01",H675)+16)+2,2)),VALUE(MID(H675,FIND("15",H675,FIND("01",H675)+16)+4,2)),VALUE(MID(H675,FIND("15",H675,FIND("01",H675)+16)+6,2))),"")</f>
        <v/>
      </c>
      <c r="F675" s="5">
        <f>IFERROR(MID(H675,FIND("10",H675,FIND("15",H675,FIND("01",H675)+16)+8)+2,50),"")</f>
        <v/>
      </c>
      <c r="G675" s="5" t="n"/>
      <c r="H675" s="5">
        <f>SUBSTITUTE(SUBSTITUTE(SUBSTITUTE(SUBSTITUTE(A675,"(",""),")","")," ",""),CHAR(29),"")</f>
        <v/>
      </c>
    </row>
    <row r="676">
      <c r="A676" s="7" t="n"/>
      <c r="B676" s="8">
        <f>IFERROR(MID(H676,FIND("01",H676)+2,14),"")</f>
        <v/>
      </c>
      <c r="C676" s="7">
        <f>IF(A676="","",IFERROR(VLOOKUP(B676,TblArticles,2,FALSE),"GTIN inconnu"))</f>
        <v/>
      </c>
      <c r="D676" s="8">
        <f>IF(A676="","",IFERROR(VLOOKUP(B676,TblArticles,3,FALSE),""))</f>
        <v/>
      </c>
      <c r="E676" s="9">
        <f>IFERROR(DATE(2000+VALUE(MID(H676,FIND("15",H676,FIND("01",H676)+16)+2,2)),VALUE(MID(H676,FIND("15",H676,FIND("01",H676)+16)+4,2)),VALUE(MID(H676,FIND("15",H676,FIND("01",H676)+16)+6,2))),"")</f>
        <v/>
      </c>
      <c r="F676" s="8">
        <f>IFERROR(MID(H676,FIND("10",H676,FIND("15",H676,FIND("01",H676)+16)+8)+2,50),"")</f>
        <v/>
      </c>
      <c r="G676" s="8" t="n"/>
      <c r="H676" s="8">
        <f>SUBSTITUTE(SUBSTITUTE(SUBSTITUTE(SUBSTITUTE(A676,"(",""),")","")," ",""),CHAR(29),"")</f>
        <v/>
      </c>
    </row>
    <row r="677">
      <c r="A677" s="4" t="n"/>
      <c r="B677" s="5">
        <f>IFERROR(MID(H677,FIND("01",H677)+2,14),"")</f>
        <v/>
      </c>
      <c r="C677" s="4">
        <f>IF(A677="","",IFERROR(VLOOKUP(B677,TblArticles,2,FALSE),"GTIN inconnu"))</f>
        <v/>
      </c>
      <c r="D677" s="5">
        <f>IF(A677="","",IFERROR(VLOOKUP(B677,TblArticles,3,FALSE),""))</f>
        <v/>
      </c>
      <c r="E677" s="6">
        <f>IFERROR(DATE(2000+VALUE(MID(H677,FIND("15",H677,FIND("01",H677)+16)+2,2)),VALUE(MID(H677,FIND("15",H677,FIND("01",H677)+16)+4,2)),VALUE(MID(H677,FIND("15",H677,FIND("01",H677)+16)+6,2))),"")</f>
        <v/>
      </c>
      <c r="F677" s="5">
        <f>IFERROR(MID(H677,FIND("10",H677,FIND("15",H677,FIND("01",H677)+16)+8)+2,50),"")</f>
        <v/>
      </c>
      <c r="G677" s="5" t="n"/>
      <c r="H677" s="5">
        <f>SUBSTITUTE(SUBSTITUTE(SUBSTITUTE(SUBSTITUTE(A677,"(",""),")","")," ",""),CHAR(29),"")</f>
        <v/>
      </c>
    </row>
    <row r="678">
      <c r="A678" s="7" t="n"/>
      <c r="B678" s="8">
        <f>IFERROR(MID(H678,FIND("01",H678)+2,14),"")</f>
        <v/>
      </c>
      <c r="C678" s="7">
        <f>IF(A678="","",IFERROR(VLOOKUP(B678,TblArticles,2,FALSE),"GTIN inconnu"))</f>
        <v/>
      </c>
      <c r="D678" s="8">
        <f>IF(A678="","",IFERROR(VLOOKUP(B678,TblArticles,3,FALSE),""))</f>
        <v/>
      </c>
      <c r="E678" s="9">
        <f>IFERROR(DATE(2000+VALUE(MID(H678,FIND("15",H678,FIND("01",H678)+16)+2,2)),VALUE(MID(H678,FIND("15",H678,FIND("01",H678)+16)+4,2)),VALUE(MID(H678,FIND("15",H678,FIND("01",H678)+16)+6,2))),"")</f>
        <v/>
      </c>
      <c r="F678" s="8">
        <f>IFERROR(MID(H678,FIND("10",H678,FIND("15",H678,FIND("01",H678)+16)+8)+2,50),"")</f>
        <v/>
      </c>
      <c r="G678" s="8" t="n"/>
      <c r="H678" s="8">
        <f>SUBSTITUTE(SUBSTITUTE(SUBSTITUTE(SUBSTITUTE(A678,"(",""),")","")," ",""),CHAR(29),"")</f>
        <v/>
      </c>
    </row>
    <row r="679">
      <c r="A679" s="4" t="n"/>
      <c r="B679" s="5">
        <f>IFERROR(MID(H679,FIND("01",H679)+2,14),"")</f>
        <v/>
      </c>
      <c r="C679" s="4">
        <f>IF(A679="","",IFERROR(VLOOKUP(B679,TblArticles,2,FALSE),"GTIN inconnu"))</f>
        <v/>
      </c>
      <c r="D679" s="5">
        <f>IF(A679="","",IFERROR(VLOOKUP(B679,TblArticles,3,FALSE),""))</f>
        <v/>
      </c>
      <c r="E679" s="6">
        <f>IFERROR(DATE(2000+VALUE(MID(H679,FIND("15",H679,FIND("01",H679)+16)+2,2)),VALUE(MID(H679,FIND("15",H679,FIND("01",H679)+16)+4,2)),VALUE(MID(H679,FIND("15",H679,FIND("01",H679)+16)+6,2))),"")</f>
        <v/>
      </c>
      <c r="F679" s="5">
        <f>IFERROR(MID(H679,FIND("10",H679,FIND("15",H679,FIND("01",H679)+16)+8)+2,50),"")</f>
        <v/>
      </c>
      <c r="G679" s="5" t="n"/>
      <c r="H679" s="5">
        <f>SUBSTITUTE(SUBSTITUTE(SUBSTITUTE(SUBSTITUTE(A679,"(",""),")","")," ",""),CHAR(29),"")</f>
        <v/>
      </c>
    </row>
    <row r="680">
      <c r="A680" s="7" t="n"/>
      <c r="B680" s="8">
        <f>IFERROR(MID(H680,FIND("01",H680)+2,14),"")</f>
        <v/>
      </c>
      <c r="C680" s="7">
        <f>IF(A680="","",IFERROR(VLOOKUP(B680,TblArticles,2,FALSE),"GTIN inconnu"))</f>
        <v/>
      </c>
      <c r="D680" s="8">
        <f>IF(A680="","",IFERROR(VLOOKUP(B680,TblArticles,3,FALSE),""))</f>
        <v/>
      </c>
      <c r="E680" s="9">
        <f>IFERROR(DATE(2000+VALUE(MID(H680,FIND("15",H680,FIND("01",H680)+16)+2,2)),VALUE(MID(H680,FIND("15",H680,FIND("01",H680)+16)+4,2)),VALUE(MID(H680,FIND("15",H680,FIND("01",H680)+16)+6,2))),"")</f>
        <v/>
      </c>
      <c r="F680" s="8">
        <f>IFERROR(MID(H680,FIND("10",H680,FIND("15",H680,FIND("01",H680)+16)+8)+2,50),"")</f>
        <v/>
      </c>
      <c r="G680" s="8" t="n"/>
      <c r="H680" s="8">
        <f>SUBSTITUTE(SUBSTITUTE(SUBSTITUTE(SUBSTITUTE(A680,"(",""),")","")," ",""),CHAR(29),"")</f>
        <v/>
      </c>
    </row>
    <row r="681">
      <c r="A681" s="4" t="n"/>
      <c r="B681" s="5">
        <f>IFERROR(MID(H681,FIND("01",H681)+2,14),"")</f>
        <v/>
      </c>
      <c r="C681" s="4">
        <f>IF(A681="","",IFERROR(VLOOKUP(B681,TblArticles,2,FALSE),"GTIN inconnu"))</f>
        <v/>
      </c>
      <c r="D681" s="5">
        <f>IF(A681="","",IFERROR(VLOOKUP(B681,TblArticles,3,FALSE),""))</f>
        <v/>
      </c>
      <c r="E681" s="6">
        <f>IFERROR(DATE(2000+VALUE(MID(H681,FIND("15",H681,FIND("01",H681)+16)+2,2)),VALUE(MID(H681,FIND("15",H681,FIND("01",H681)+16)+4,2)),VALUE(MID(H681,FIND("15",H681,FIND("01",H681)+16)+6,2))),"")</f>
        <v/>
      </c>
      <c r="F681" s="5">
        <f>IFERROR(MID(H681,FIND("10",H681,FIND("15",H681,FIND("01",H681)+16)+8)+2,50),"")</f>
        <v/>
      </c>
      <c r="G681" s="5" t="n"/>
      <c r="H681" s="5">
        <f>SUBSTITUTE(SUBSTITUTE(SUBSTITUTE(SUBSTITUTE(A681,"(",""),")","")," ",""),CHAR(29),"")</f>
        <v/>
      </c>
    </row>
    <row r="682">
      <c r="A682" s="7" t="n"/>
      <c r="B682" s="8">
        <f>IFERROR(MID(H682,FIND("01",H682)+2,14),"")</f>
        <v/>
      </c>
      <c r="C682" s="7">
        <f>IF(A682="","",IFERROR(VLOOKUP(B682,TblArticles,2,FALSE),"GTIN inconnu"))</f>
        <v/>
      </c>
      <c r="D682" s="8">
        <f>IF(A682="","",IFERROR(VLOOKUP(B682,TblArticles,3,FALSE),""))</f>
        <v/>
      </c>
      <c r="E682" s="9">
        <f>IFERROR(DATE(2000+VALUE(MID(H682,FIND("15",H682,FIND("01",H682)+16)+2,2)),VALUE(MID(H682,FIND("15",H682,FIND("01",H682)+16)+4,2)),VALUE(MID(H682,FIND("15",H682,FIND("01",H682)+16)+6,2))),"")</f>
        <v/>
      </c>
      <c r="F682" s="8">
        <f>IFERROR(MID(H682,FIND("10",H682,FIND("15",H682,FIND("01",H682)+16)+8)+2,50),"")</f>
        <v/>
      </c>
      <c r="G682" s="8" t="n"/>
      <c r="H682" s="8">
        <f>SUBSTITUTE(SUBSTITUTE(SUBSTITUTE(SUBSTITUTE(A682,"(",""),")","")," ",""),CHAR(29),"")</f>
        <v/>
      </c>
    </row>
    <row r="683">
      <c r="A683" s="4" t="n"/>
      <c r="B683" s="5">
        <f>IFERROR(MID(H683,FIND("01",H683)+2,14),"")</f>
        <v/>
      </c>
      <c r="C683" s="4">
        <f>IF(A683="","",IFERROR(VLOOKUP(B683,TblArticles,2,FALSE),"GTIN inconnu"))</f>
        <v/>
      </c>
      <c r="D683" s="5">
        <f>IF(A683="","",IFERROR(VLOOKUP(B683,TblArticles,3,FALSE),""))</f>
        <v/>
      </c>
      <c r="E683" s="6">
        <f>IFERROR(DATE(2000+VALUE(MID(H683,FIND("15",H683,FIND("01",H683)+16)+2,2)),VALUE(MID(H683,FIND("15",H683,FIND("01",H683)+16)+4,2)),VALUE(MID(H683,FIND("15",H683,FIND("01",H683)+16)+6,2))),"")</f>
        <v/>
      </c>
      <c r="F683" s="5">
        <f>IFERROR(MID(H683,FIND("10",H683,FIND("15",H683,FIND("01",H683)+16)+8)+2,50),"")</f>
        <v/>
      </c>
      <c r="G683" s="5" t="n"/>
      <c r="H683" s="5">
        <f>SUBSTITUTE(SUBSTITUTE(SUBSTITUTE(SUBSTITUTE(A683,"(",""),")","")," ",""),CHAR(29),"")</f>
        <v/>
      </c>
    </row>
    <row r="684">
      <c r="A684" s="7" t="n"/>
      <c r="B684" s="8">
        <f>IFERROR(MID(H684,FIND("01",H684)+2,14),"")</f>
        <v/>
      </c>
      <c r="C684" s="7">
        <f>IF(A684="","",IFERROR(VLOOKUP(B684,TblArticles,2,FALSE),"GTIN inconnu"))</f>
        <v/>
      </c>
      <c r="D684" s="8">
        <f>IF(A684="","",IFERROR(VLOOKUP(B684,TblArticles,3,FALSE),""))</f>
        <v/>
      </c>
      <c r="E684" s="9">
        <f>IFERROR(DATE(2000+VALUE(MID(H684,FIND("15",H684,FIND("01",H684)+16)+2,2)),VALUE(MID(H684,FIND("15",H684,FIND("01",H684)+16)+4,2)),VALUE(MID(H684,FIND("15",H684,FIND("01",H684)+16)+6,2))),"")</f>
        <v/>
      </c>
      <c r="F684" s="8">
        <f>IFERROR(MID(H684,FIND("10",H684,FIND("15",H684,FIND("01",H684)+16)+8)+2,50),"")</f>
        <v/>
      </c>
      <c r="G684" s="8" t="n"/>
      <c r="H684" s="8">
        <f>SUBSTITUTE(SUBSTITUTE(SUBSTITUTE(SUBSTITUTE(A684,"(",""),")","")," ",""),CHAR(29),"")</f>
        <v/>
      </c>
    </row>
    <row r="685">
      <c r="A685" s="4" t="n"/>
      <c r="B685" s="5">
        <f>IFERROR(MID(H685,FIND("01",H685)+2,14),"")</f>
        <v/>
      </c>
      <c r="C685" s="4">
        <f>IF(A685="","",IFERROR(VLOOKUP(B685,TblArticles,2,FALSE),"GTIN inconnu"))</f>
        <v/>
      </c>
      <c r="D685" s="5">
        <f>IF(A685="","",IFERROR(VLOOKUP(B685,TblArticles,3,FALSE),""))</f>
        <v/>
      </c>
      <c r="E685" s="6">
        <f>IFERROR(DATE(2000+VALUE(MID(H685,FIND("15",H685,FIND("01",H685)+16)+2,2)),VALUE(MID(H685,FIND("15",H685,FIND("01",H685)+16)+4,2)),VALUE(MID(H685,FIND("15",H685,FIND("01",H685)+16)+6,2))),"")</f>
        <v/>
      </c>
      <c r="F685" s="5">
        <f>IFERROR(MID(H685,FIND("10",H685,FIND("15",H685,FIND("01",H685)+16)+8)+2,50),"")</f>
        <v/>
      </c>
      <c r="G685" s="5" t="n"/>
      <c r="H685" s="5">
        <f>SUBSTITUTE(SUBSTITUTE(SUBSTITUTE(SUBSTITUTE(A685,"(",""),")","")," ",""),CHAR(29),"")</f>
        <v/>
      </c>
    </row>
    <row r="686">
      <c r="A686" s="7" t="n"/>
      <c r="B686" s="8">
        <f>IFERROR(MID(H686,FIND("01",H686)+2,14),"")</f>
        <v/>
      </c>
      <c r="C686" s="7">
        <f>IF(A686="","",IFERROR(VLOOKUP(B686,TblArticles,2,FALSE),"GTIN inconnu"))</f>
        <v/>
      </c>
      <c r="D686" s="8">
        <f>IF(A686="","",IFERROR(VLOOKUP(B686,TblArticles,3,FALSE),""))</f>
        <v/>
      </c>
      <c r="E686" s="9">
        <f>IFERROR(DATE(2000+VALUE(MID(H686,FIND("15",H686,FIND("01",H686)+16)+2,2)),VALUE(MID(H686,FIND("15",H686,FIND("01",H686)+16)+4,2)),VALUE(MID(H686,FIND("15",H686,FIND("01",H686)+16)+6,2))),"")</f>
        <v/>
      </c>
      <c r="F686" s="8">
        <f>IFERROR(MID(H686,FIND("10",H686,FIND("15",H686,FIND("01",H686)+16)+8)+2,50),"")</f>
        <v/>
      </c>
      <c r="G686" s="8" t="n"/>
      <c r="H686" s="8">
        <f>SUBSTITUTE(SUBSTITUTE(SUBSTITUTE(SUBSTITUTE(A686,"(",""),")","")," ",""),CHAR(29),"")</f>
        <v/>
      </c>
    </row>
    <row r="687">
      <c r="A687" s="4" t="n"/>
      <c r="B687" s="5">
        <f>IFERROR(MID(H687,FIND("01",H687)+2,14),"")</f>
        <v/>
      </c>
      <c r="C687" s="4">
        <f>IF(A687="","",IFERROR(VLOOKUP(B687,TblArticles,2,FALSE),"GTIN inconnu"))</f>
        <v/>
      </c>
      <c r="D687" s="5">
        <f>IF(A687="","",IFERROR(VLOOKUP(B687,TblArticles,3,FALSE),""))</f>
        <v/>
      </c>
      <c r="E687" s="6">
        <f>IFERROR(DATE(2000+VALUE(MID(H687,FIND("15",H687,FIND("01",H687)+16)+2,2)),VALUE(MID(H687,FIND("15",H687,FIND("01",H687)+16)+4,2)),VALUE(MID(H687,FIND("15",H687,FIND("01",H687)+16)+6,2))),"")</f>
        <v/>
      </c>
      <c r="F687" s="5">
        <f>IFERROR(MID(H687,FIND("10",H687,FIND("15",H687,FIND("01",H687)+16)+8)+2,50),"")</f>
        <v/>
      </c>
      <c r="G687" s="5" t="n"/>
      <c r="H687" s="5">
        <f>SUBSTITUTE(SUBSTITUTE(SUBSTITUTE(SUBSTITUTE(A687,"(",""),")","")," ",""),CHAR(29),"")</f>
        <v/>
      </c>
    </row>
    <row r="688">
      <c r="A688" s="7" t="n"/>
      <c r="B688" s="8">
        <f>IFERROR(MID(H688,FIND("01",H688)+2,14),"")</f>
        <v/>
      </c>
      <c r="C688" s="7">
        <f>IF(A688="","",IFERROR(VLOOKUP(B688,TblArticles,2,FALSE),"GTIN inconnu"))</f>
        <v/>
      </c>
      <c r="D688" s="8">
        <f>IF(A688="","",IFERROR(VLOOKUP(B688,TblArticles,3,FALSE),""))</f>
        <v/>
      </c>
      <c r="E688" s="9">
        <f>IFERROR(DATE(2000+VALUE(MID(H688,FIND("15",H688,FIND("01",H688)+16)+2,2)),VALUE(MID(H688,FIND("15",H688,FIND("01",H688)+16)+4,2)),VALUE(MID(H688,FIND("15",H688,FIND("01",H688)+16)+6,2))),"")</f>
        <v/>
      </c>
      <c r="F688" s="8">
        <f>IFERROR(MID(H688,FIND("10",H688,FIND("15",H688,FIND("01",H688)+16)+8)+2,50),"")</f>
        <v/>
      </c>
      <c r="G688" s="8" t="n"/>
      <c r="H688" s="8">
        <f>SUBSTITUTE(SUBSTITUTE(SUBSTITUTE(SUBSTITUTE(A688,"(",""),")","")," ",""),CHAR(29),"")</f>
        <v/>
      </c>
    </row>
    <row r="689">
      <c r="A689" s="4" t="n"/>
      <c r="B689" s="5">
        <f>IFERROR(MID(H689,FIND("01",H689)+2,14),"")</f>
        <v/>
      </c>
      <c r="C689" s="4">
        <f>IF(A689="","",IFERROR(VLOOKUP(B689,TblArticles,2,FALSE),"GTIN inconnu"))</f>
        <v/>
      </c>
      <c r="D689" s="5">
        <f>IF(A689="","",IFERROR(VLOOKUP(B689,TblArticles,3,FALSE),""))</f>
        <v/>
      </c>
      <c r="E689" s="6">
        <f>IFERROR(DATE(2000+VALUE(MID(H689,FIND("15",H689,FIND("01",H689)+16)+2,2)),VALUE(MID(H689,FIND("15",H689,FIND("01",H689)+16)+4,2)),VALUE(MID(H689,FIND("15",H689,FIND("01",H689)+16)+6,2))),"")</f>
        <v/>
      </c>
      <c r="F689" s="5">
        <f>IFERROR(MID(H689,FIND("10",H689,FIND("15",H689,FIND("01",H689)+16)+8)+2,50),"")</f>
        <v/>
      </c>
      <c r="G689" s="5" t="n"/>
      <c r="H689" s="5">
        <f>SUBSTITUTE(SUBSTITUTE(SUBSTITUTE(SUBSTITUTE(A689,"(",""),")","")," ",""),CHAR(29),"")</f>
        <v/>
      </c>
    </row>
    <row r="690">
      <c r="A690" s="7" t="n"/>
      <c r="B690" s="8">
        <f>IFERROR(MID(H690,FIND("01",H690)+2,14),"")</f>
        <v/>
      </c>
      <c r="C690" s="7">
        <f>IF(A690="","",IFERROR(VLOOKUP(B690,TblArticles,2,FALSE),"GTIN inconnu"))</f>
        <v/>
      </c>
      <c r="D690" s="8">
        <f>IF(A690="","",IFERROR(VLOOKUP(B690,TblArticles,3,FALSE),""))</f>
        <v/>
      </c>
      <c r="E690" s="9">
        <f>IFERROR(DATE(2000+VALUE(MID(H690,FIND("15",H690,FIND("01",H690)+16)+2,2)),VALUE(MID(H690,FIND("15",H690,FIND("01",H690)+16)+4,2)),VALUE(MID(H690,FIND("15",H690,FIND("01",H690)+16)+6,2))),"")</f>
        <v/>
      </c>
      <c r="F690" s="8">
        <f>IFERROR(MID(H690,FIND("10",H690,FIND("15",H690,FIND("01",H690)+16)+8)+2,50),"")</f>
        <v/>
      </c>
      <c r="G690" s="8" t="n"/>
      <c r="H690" s="8">
        <f>SUBSTITUTE(SUBSTITUTE(SUBSTITUTE(SUBSTITUTE(A690,"(",""),")","")," ",""),CHAR(29),"")</f>
        <v/>
      </c>
    </row>
    <row r="691">
      <c r="A691" s="4" t="n"/>
      <c r="B691" s="5">
        <f>IFERROR(MID(H691,FIND("01",H691)+2,14),"")</f>
        <v/>
      </c>
      <c r="C691" s="4">
        <f>IF(A691="","",IFERROR(VLOOKUP(B691,TblArticles,2,FALSE),"GTIN inconnu"))</f>
        <v/>
      </c>
      <c r="D691" s="5">
        <f>IF(A691="","",IFERROR(VLOOKUP(B691,TblArticles,3,FALSE),""))</f>
        <v/>
      </c>
      <c r="E691" s="6">
        <f>IFERROR(DATE(2000+VALUE(MID(H691,FIND("15",H691,FIND("01",H691)+16)+2,2)),VALUE(MID(H691,FIND("15",H691,FIND("01",H691)+16)+4,2)),VALUE(MID(H691,FIND("15",H691,FIND("01",H691)+16)+6,2))),"")</f>
        <v/>
      </c>
      <c r="F691" s="5">
        <f>IFERROR(MID(H691,FIND("10",H691,FIND("15",H691,FIND("01",H691)+16)+8)+2,50),"")</f>
        <v/>
      </c>
      <c r="G691" s="5" t="n"/>
      <c r="H691" s="5">
        <f>SUBSTITUTE(SUBSTITUTE(SUBSTITUTE(SUBSTITUTE(A691,"(",""),")","")," ",""),CHAR(29),"")</f>
        <v/>
      </c>
    </row>
    <row r="692">
      <c r="A692" s="7" t="n"/>
      <c r="B692" s="8">
        <f>IFERROR(MID(H692,FIND("01",H692)+2,14),"")</f>
        <v/>
      </c>
      <c r="C692" s="7">
        <f>IF(A692="","",IFERROR(VLOOKUP(B692,TblArticles,2,FALSE),"GTIN inconnu"))</f>
        <v/>
      </c>
      <c r="D692" s="8">
        <f>IF(A692="","",IFERROR(VLOOKUP(B692,TblArticles,3,FALSE),""))</f>
        <v/>
      </c>
      <c r="E692" s="9">
        <f>IFERROR(DATE(2000+VALUE(MID(H692,FIND("15",H692,FIND("01",H692)+16)+2,2)),VALUE(MID(H692,FIND("15",H692,FIND("01",H692)+16)+4,2)),VALUE(MID(H692,FIND("15",H692,FIND("01",H692)+16)+6,2))),"")</f>
        <v/>
      </c>
      <c r="F692" s="8">
        <f>IFERROR(MID(H692,FIND("10",H692,FIND("15",H692,FIND("01",H692)+16)+8)+2,50),"")</f>
        <v/>
      </c>
      <c r="G692" s="8" t="n"/>
      <c r="H692" s="8">
        <f>SUBSTITUTE(SUBSTITUTE(SUBSTITUTE(SUBSTITUTE(A692,"(",""),")","")," ",""),CHAR(29),"")</f>
        <v/>
      </c>
    </row>
    <row r="693">
      <c r="A693" s="4" t="n"/>
      <c r="B693" s="5">
        <f>IFERROR(MID(H693,FIND("01",H693)+2,14),"")</f>
        <v/>
      </c>
      <c r="C693" s="4">
        <f>IF(A693="","",IFERROR(VLOOKUP(B693,TblArticles,2,FALSE),"GTIN inconnu"))</f>
        <v/>
      </c>
      <c r="D693" s="5">
        <f>IF(A693="","",IFERROR(VLOOKUP(B693,TblArticles,3,FALSE),""))</f>
        <v/>
      </c>
      <c r="E693" s="6">
        <f>IFERROR(DATE(2000+VALUE(MID(H693,FIND("15",H693,FIND("01",H693)+16)+2,2)),VALUE(MID(H693,FIND("15",H693,FIND("01",H693)+16)+4,2)),VALUE(MID(H693,FIND("15",H693,FIND("01",H693)+16)+6,2))),"")</f>
        <v/>
      </c>
      <c r="F693" s="5">
        <f>IFERROR(MID(H693,FIND("10",H693,FIND("15",H693,FIND("01",H693)+16)+8)+2,50),"")</f>
        <v/>
      </c>
      <c r="G693" s="5" t="n"/>
      <c r="H693" s="5">
        <f>SUBSTITUTE(SUBSTITUTE(SUBSTITUTE(SUBSTITUTE(A693,"(",""),")","")," ",""),CHAR(29),"")</f>
        <v/>
      </c>
    </row>
    <row r="694">
      <c r="A694" s="7" t="n"/>
      <c r="B694" s="8">
        <f>IFERROR(MID(H694,FIND("01",H694)+2,14),"")</f>
        <v/>
      </c>
      <c r="C694" s="7">
        <f>IF(A694="","",IFERROR(VLOOKUP(B694,TblArticles,2,FALSE),"GTIN inconnu"))</f>
        <v/>
      </c>
      <c r="D694" s="8">
        <f>IF(A694="","",IFERROR(VLOOKUP(B694,TblArticles,3,FALSE),""))</f>
        <v/>
      </c>
      <c r="E694" s="9">
        <f>IFERROR(DATE(2000+VALUE(MID(H694,FIND("15",H694,FIND("01",H694)+16)+2,2)),VALUE(MID(H694,FIND("15",H694,FIND("01",H694)+16)+4,2)),VALUE(MID(H694,FIND("15",H694,FIND("01",H694)+16)+6,2))),"")</f>
        <v/>
      </c>
      <c r="F694" s="8">
        <f>IFERROR(MID(H694,FIND("10",H694,FIND("15",H694,FIND("01",H694)+16)+8)+2,50),"")</f>
        <v/>
      </c>
      <c r="G694" s="8" t="n"/>
      <c r="H694" s="8">
        <f>SUBSTITUTE(SUBSTITUTE(SUBSTITUTE(SUBSTITUTE(A694,"(",""),")","")," ",""),CHAR(29),"")</f>
        <v/>
      </c>
    </row>
    <row r="695">
      <c r="A695" s="4" t="n"/>
      <c r="B695" s="5">
        <f>IFERROR(MID(H695,FIND("01",H695)+2,14),"")</f>
        <v/>
      </c>
      <c r="C695" s="4">
        <f>IF(A695="","",IFERROR(VLOOKUP(B695,TblArticles,2,FALSE),"GTIN inconnu"))</f>
        <v/>
      </c>
      <c r="D695" s="5">
        <f>IF(A695="","",IFERROR(VLOOKUP(B695,TblArticles,3,FALSE),""))</f>
        <v/>
      </c>
      <c r="E695" s="6">
        <f>IFERROR(DATE(2000+VALUE(MID(H695,FIND("15",H695,FIND("01",H695)+16)+2,2)),VALUE(MID(H695,FIND("15",H695,FIND("01",H695)+16)+4,2)),VALUE(MID(H695,FIND("15",H695,FIND("01",H695)+16)+6,2))),"")</f>
        <v/>
      </c>
      <c r="F695" s="5">
        <f>IFERROR(MID(H695,FIND("10",H695,FIND("15",H695,FIND("01",H695)+16)+8)+2,50),"")</f>
        <v/>
      </c>
      <c r="G695" s="5" t="n"/>
      <c r="H695" s="5">
        <f>SUBSTITUTE(SUBSTITUTE(SUBSTITUTE(SUBSTITUTE(A695,"(",""),")","")," ",""),CHAR(29),"")</f>
        <v/>
      </c>
    </row>
    <row r="696">
      <c r="A696" s="7" t="n"/>
      <c r="B696" s="8">
        <f>IFERROR(MID(H696,FIND("01",H696)+2,14),"")</f>
        <v/>
      </c>
      <c r="C696" s="7">
        <f>IF(A696="","",IFERROR(VLOOKUP(B696,TblArticles,2,FALSE),"GTIN inconnu"))</f>
        <v/>
      </c>
      <c r="D696" s="8">
        <f>IF(A696="","",IFERROR(VLOOKUP(B696,TblArticles,3,FALSE),""))</f>
        <v/>
      </c>
      <c r="E696" s="9">
        <f>IFERROR(DATE(2000+VALUE(MID(H696,FIND("15",H696,FIND("01",H696)+16)+2,2)),VALUE(MID(H696,FIND("15",H696,FIND("01",H696)+16)+4,2)),VALUE(MID(H696,FIND("15",H696,FIND("01",H696)+16)+6,2))),"")</f>
        <v/>
      </c>
      <c r="F696" s="8">
        <f>IFERROR(MID(H696,FIND("10",H696,FIND("15",H696,FIND("01",H696)+16)+8)+2,50),"")</f>
        <v/>
      </c>
      <c r="G696" s="8" t="n"/>
      <c r="H696" s="8">
        <f>SUBSTITUTE(SUBSTITUTE(SUBSTITUTE(SUBSTITUTE(A696,"(",""),")","")," ",""),CHAR(29),"")</f>
        <v/>
      </c>
    </row>
    <row r="697">
      <c r="A697" s="4" t="n"/>
      <c r="B697" s="5">
        <f>IFERROR(MID(H697,FIND("01",H697)+2,14),"")</f>
        <v/>
      </c>
      <c r="C697" s="4">
        <f>IF(A697="","",IFERROR(VLOOKUP(B697,TblArticles,2,FALSE),"GTIN inconnu"))</f>
        <v/>
      </c>
      <c r="D697" s="5">
        <f>IF(A697="","",IFERROR(VLOOKUP(B697,TblArticles,3,FALSE),""))</f>
        <v/>
      </c>
      <c r="E697" s="6">
        <f>IFERROR(DATE(2000+VALUE(MID(H697,FIND("15",H697,FIND("01",H697)+16)+2,2)),VALUE(MID(H697,FIND("15",H697,FIND("01",H697)+16)+4,2)),VALUE(MID(H697,FIND("15",H697,FIND("01",H697)+16)+6,2))),"")</f>
        <v/>
      </c>
      <c r="F697" s="5">
        <f>IFERROR(MID(H697,FIND("10",H697,FIND("15",H697,FIND("01",H697)+16)+8)+2,50),"")</f>
        <v/>
      </c>
      <c r="G697" s="5" t="n"/>
      <c r="H697" s="5">
        <f>SUBSTITUTE(SUBSTITUTE(SUBSTITUTE(SUBSTITUTE(A697,"(",""),")","")," ",""),CHAR(29),"")</f>
        <v/>
      </c>
    </row>
    <row r="698">
      <c r="A698" s="7" t="n"/>
      <c r="B698" s="8">
        <f>IFERROR(MID(H698,FIND("01",H698)+2,14),"")</f>
        <v/>
      </c>
      <c r="C698" s="7">
        <f>IF(A698="","",IFERROR(VLOOKUP(B698,TblArticles,2,FALSE),"GTIN inconnu"))</f>
        <v/>
      </c>
      <c r="D698" s="8">
        <f>IF(A698="","",IFERROR(VLOOKUP(B698,TblArticles,3,FALSE),""))</f>
        <v/>
      </c>
      <c r="E698" s="9">
        <f>IFERROR(DATE(2000+VALUE(MID(H698,FIND("15",H698,FIND("01",H698)+16)+2,2)),VALUE(MID(H698,FIND("15",H698,FIND("01",H698)+16)+4,2)),VALUE(MID(H698,FIND("15",H698,FIND("01",H698)+16)+6,2))),"")</f>
        <v/>
      </c>
      <c r="F698" s="8">
        <f>IFERROR(MID(H698,FIND("10",H698,FIND("15",H698,FIND("01",H698)+16)+8)+2,50),"")</f>
        <v/>
      </c>
      <c r="G698" s="8" t="n"/>
      <c r="H698" s="8">
        <f>SUBSTITUTE(SUBSTITUTE(SUBSTITUTE(SUBSTITUTE(A698,"(",""),")","")," ",""),CHAR(29),"")</f>
        <v/>
      </c>
    </row>
    <row r="699">
      <c r="A699" s="4" t="n"/>
      <c r="B699" s="5">
        <f>IFERROR(MID(H699,FIND("01",H699)+2,14),"")</f>
        <v/>
      </c>
      <c r="C699" s="4">
        <f>IF(A699="","",IFERROR(VLOOKUP(B699,TblArticles,2,FALSE),"GTIN inconnu"))</f>
        <v/>
      </c>
      <c r="D699" s="5">
        <f>IF(A699="","",IFERROR(VLOOKUP(B699,TblArticles,3,FALSE),""))</f>
        <v/>
      </c>
      <c r="E699" s="6">
        <f>IFERROR(DATE(2000+VALUE(MID(H699,FIND("15",H699,FIND("01",H699)+16)+2,2)),VALUE(MID(H699,FIND("15",H699,FIND("01",H699)+16)+4,2)),VALUE(MID(H699,FIND("15",H699,FIND("01",H699)+16)+6,2))),"")</f>
        <v/>
      </c>
      <c r="F699" s="5">
        <f>IFERROR(MID(H699,FIND("10",H699,FIND("15",H699,FIND("01",H699)+16)+8)+2,50),"")</f>
        <v/>
      </c>
      <c r="G699" s="5" t="n"/>
      <c r="H699" s="5">
        <f>SUBSTITUTE(SUBSTITUTE(SUBSTITUTE(SUBSTITUTE(A699,"(",""),")","")," ",""),CHAR(29),"")</f>
        <v/>
      </c>
    </row>
    <row r="700">
      <c r="A700" s="7" t="n"/>
      <c r="B700" s="8">
        <f>IFERROR(MID(H700,FIND("01",H700)+2,14),"")</f>
        <v/>
      </c>
      <c r="C700" s="7">
        <f>IF(A700="","",IFERROR(VLOOKUP(B700,TblArticles,2,FALSE),"GTIN inconnu"))</f>
        <v/>
      </c>
      <c r="D700" s="8">
        <f>IF(A700="","",IFERROR(VLOOKUP(B700,TblArticles,3,FALSE),""))</f>
        <v/>
      </c>
      <c r="E700" s="9">
        <f>IFERROR(DATE(2000+VALUE(MID(H700,FIND("15",H700,FIND("01",H700)+16)+2,2)),VALUE(MID(H700,FIND("15",H700,FIND("01",H700)+16)+4,2)),VALUE(MID(H700,FIND("15",H700,FIND("01",H700)+16)+6,2))),"")</f>
        <v/>
      </c>
      <c r="F700" s="8">
        <f>IFERROR(MID(H700,FIND("10",H700,FIND("15",H700,FIND("01",H700)+16)+8)+2,50),"")</f>
        <v/>
      </c>
      <c r="G700" s="8" t="n"/>
      <c r="H700" s="8">
        <f>SUBSTITUTE(SUBSTITUTE(SUBSTITUTE(SUBSTITUTE(A700,"(",""),")","")," ",""),CHAR(29),"")</f>
        <v/>
      </c>
    </row>
    <row r="701">
      <c r="A701" s="4" t="n"/>
      <c r="B701" s="5">
        <f>IFERROR(MID(H701,FIND("01",H701)+2,14),"")</f>
        <v/>
      </c>
      <c r="C701" s="4">
        <f>IF(A701="","",IFERROR(VLOOKUP(B701,TblArticles,2,FALSE),"GTIN inconnu"))</f>
        <v/>
      </c>
      <c r="D701" s="5">
        <f>IF(A701="","",IFERROR(VLOOKUP(B701,TblArticles,3,FALSE),""))</f>
        <v/>
      </c>
      <c r="E701" s="6">
        <f>IFERROR(DATE(2000+VALUE(MID(H701,FIND("15",H701,FIND("01",H701)+16)+2,2)),VALUE(MID(H701,FIND("15",H701,FIND("01",H701)+16)+4,2)),VALUE(MID(H701,FIND("15",H701,FIND("01",H701)+16)+6,2))),"")</f>
        <v/>
      </c>
      <c r="F701" s="5">
        <f>IFERROR(MID(H701,FIND("10",H701,FIND("15",H701,FIND("01",H701)+16)+8)+2,50),"")</f>
        <v/>
      </c>
      <c r="G701" s="5" t="n"/>
      <c r="H701" s="5">
        <f>SUBSTITUTE(SUBSTITUTE(SUBSTITUTE(SUBSTITUTE(A701,"(",""),")","")," ",""),CHAR(29),"")</f>
        <v/>
      </c>
    </row>
    <row r="702">
      <c r="A702" s="7" t="n"/>
      <c r="B702" s="8">
        <f>IFERROR(MID(H702,FIND("01",H702)+2,14),"")</f>
        <v/>
      </c>
      <c r="C702" s="7">
        <f>IF(A702="","",IFERROR(VLOOKUP(B702,TblArticles,2,FALSE),"GTIN inconnu"))</f>
        <v/>
      </c>
      <c r="D702" s="8">
        <f>IF(A702="","",IFERROR(VLOOKUP(B702,TblArticles,3,FALSE),""))</f>
        <v/>
      </c>
      <c r="E702" s="9">
        <f>IFERROR(DATE(2000+VALUE(MID(H702,FIND("15",H702,FIND("01",H702)+16)+2,2)),VALUE(MID(H702,FIND("15",H702,FIND("01",H702)+16)+4,2)),VALUE(MID(H702,FIND("15",H702,FIND("01",H702)+16)+6,2))),"")</f>
        <v/>
      </c>
      <c r="F702" s="8">
        <f>IFERROR(MID(H702,FIND("10",H702,FIND("15",H702,FIND("01",H702)+16)+8)+2,50),"")</f>
        <v/>
      </c>
      <c r="G702" s="8" t="n"/>
      <c r="H702" s="8">
        <f>SUBSTITUTE(SUBSTITUTE(SUBSTITUTE(SUBSTITUTE(A702,"(",""),")","")," ",""),CHAR(29),"")</f>
        <v/>
      </c>
    </row>
    <row r="703">
      <c r="A703" s="4" t="n"/>
      <c r="B703" s="5">
        <f>IFERROR(MID(H703,FIND("01",H703)+2,14),"")</f>
        <v/>
      </c>
      <c r="C703" s="4">
        <f>IF(A703="","",IFERROR(VLOOKUP(B703,TblArticles,2,FALSE),"GTIN inconnu"))</f>
        <v/>
      </c>
      <c r="D703" s="5">
        <f>IF(A703="","",IFERROR(VLOOKUP(B703,TblArticles,3,FALSE),""))</f>
        <v/>
      </c>
      <c r="E703" s="6">
        <f>IFERROR(DATE(2000+VALUE(MID(H703,FIND("15",H703,FIND("01",H703)+16)+2,2)),VALUE(MID(H703,FIND("15",H703,FIND("01",H703)+16)+4,2)),VALUE(MID(H703,FIND("15",H703,FIND("01",H703)+16)+6,2))),"")</f>
        <v/>
      </c>
      <c r="F703" s="5">
        <f>IFERROR(MID(H703,FIND("10",H703,FIND("15",H703,FIND("01",H703)+16)+8)+2,50),"")</f>
        <v/>
      </c>
      <c r="G703" s="5" t="n"/>
      <c r="H703" s="5">
        <f>SUBSTITUTE(SUBSTITUTE(SUBSTITUTE(SUBSTITUTE(A703,"(",""),")","")," ",""),CHAR(29),"")</f>
        <v/>
      </c>
    </row>
    <row r="704">
      <c r="A704" s="7" t="n"/>
      <c r="B704" s="8">
        <f>IFERROR(MID(H704,FIND("01",H704)+2,14),"")</f>
        <v/>
      </c>
      <c r="C704" s="7">
        <f>IF(A704="","",IFERROR(VLOOKUP(B704,TblArticles,2,FALSE),"GTIN inconnu"))</f>
        <v/>
      </c>
      <c r="D704" s="8">
        <f>IF(A704="","",IFERROR(VLOOKUP(B704,TblArticles,3,FALSE),""))</f>
        <v/>
      </c>
      <c r="E704" s="9">
        <f>IFERROR(DATE(2000+VALUE(MID(H704,FIND("15",H704,FIND("01",H704)+16)+2,2)),VALUE(MID(H704,FIND("15",H704,FIND("01",H704)+16)+4,2)),VALUE(MID(H704,FIND("15",H704,FIND("01",H704)+16)+6,2))),"")</f>
        <v/>
      </c>
      <c r="F704" s="8">
        <f>IFERROR(MID(H704,FIND("10",H704,FIND("15",H704,FIND("01",H704)+16)+8)+2,50),"")</f>
        <v/>
      </c>
      <c r="G704" s="8" t="n"/>
      <c r="H704" s="8">
        <f>SUBSTITUTE(SUBSTITUTE(SUBSTITUTE(SUBSTITUTE(A704,"(",""),")","")," ",""),CHAR(29),"")</f>
        <v/>
      </c>
    </row>
    <row r="705">
      <c r="A705" s="4" t="n"/>
      <c r="B705" s="5">
        <f>IFERROR(MID(H705,FIND("01",H705)+2,14),"")</f>
        <v/>
      </c>
      <c r="C705" s="4">
        <f>IF(A705="","",IFERROR(VLOOKUP(B705,TblArticles,2,FALSE),"GTIN inconnu"))</f>
        <v/>
      </c>
      <c r="D705" s="5">
        <f>IF(A705="","",IFERROR(VLOOKUP(B705,TblArticles,3,FALSE),""))</f>
        <v/>
      </c>
      <c r="E705" s="6">
        <f>IFERROR(DATE(2000+VALUE(MID(H705,FIND("15",H705,FIND("01",H705)+16)+2,2)),VALUE(MID(H705,FIND("15",H705,FIND("01",H705)+16)+4,2)),VALUE(MID(H705,FIND("15",H705,FIND("01",H705)+16)+6,2))),"")</f>
        <v/>
      </c>
      <c r="F705" s="5">
        <f>IFERROR(MID(H705,FIND("10",H705,FIND("15",H705,FIND("01",H705)+16)+8)+2,50),"")</f>
        <v/>
      </c>
      <c r="G705" s="5" t="n"/>
      <c r="H705" s="5">
        <f>SUBSTITUTE(SUBSTITUTE(SUBSTITUTE(SUBSTITUTE(A705,"(",""),")","")," ",""),CHAR(29),"")</f>
        <v/>
      </c>
    </row>
    <row r="706">
      <c r="A706" s="7" t="n"/>
      <c r="B706" s="8">
        <f>IFERROR(MID(H706,FIND("01",H706)+2,14),"")</f>
        <v/>
      </c>
      <c r="C706" s="7">
        <f>IF(A706="","",IFERROR(VLOOKUP(B706,TblArticles,2,FALSE),"GTIN inconnu"))</f>
        <v/>
      </c>
      <c r="D706" s="8">
        <f>IF(A706="","",IFERROR(VLOOKUP(B706,TblArticles,3,FALSE),""))</f>
        <v/>
      </c>
      <c r="E706" s="9">
        <f>IFERROR(DATE(2000+VALUE(MID(H706,FIND("15",H706,FIND("01",H706)+16)+2,2)),VALUE(MID(H706,FIND("15",H706,FIND("01",H706)+16)+4,2)),VALUE(MID(H706,FIND("15",H706,FIND("01",H706)+16)+6,2))),"")</f>
        <v/>
      </c>
      <c r="F706" s="8">
        <f>IFERROR(MID(H706,FIND("10",H706,FIND("15",H706,FIND("01",H706)+16)+8)+2,50),"")</f>
        <v/>
      </c>
      <c r="G706" s="8" t="n"/>
      <c r="H706" s="8">
        <f>SUBSTITUTE(SUBSTITUTE(SUBSTITUTE(SUBSTITUTE(A706,"(",""),")","")," ",""),CHAR(29),"")</f>
        <v/>
      </c>
    </row>
    <row r="707">
      <c r="A707" s="4" t="n"/>
      <c r="B707" s="5">
        <f>IFERROR(MID(H707,FIND("01",H707)+2,14),"")</f>
        <v/>
      </c>
      <c r="C707" s="4">
        <f>IF(A707="","",IFERROR(VLOOKUP(B707,TblArticles,2,FALSE),"GTIN inconnu"))</f>
        <v/>
      </c>
      <c r="D707" s="5">
        <f>IF(A707="","",IFERROR(VLOOKUP(B707,TblArticles,3,FALSE),""))</f>
        <v/>
      </c>
      <c r="E707" s="6">
        <f>IFERROR(DATE(2000+VALUE(MID(H707,FIND("15",H707,FIND("01",H707)+16)+2,2)),VALUE(MID(H707,FIND("15",H707,FIND("01",H707)+16)+4,2)),VALUE(MID(H707,FIND("15",H707,FIND("01",H707)+16)+6,2))),"")</f>
        <v/>
      </c>
      <c r="F707" s="5">
        <f>IFERROR(MID(H707,FIND("10",H707,FIND("15",H707,FIND("01",H707)+16)+8)+2,50),"")</f>
        <v/>
      </c>
      <c r="G707" s="5" t="n"/>
      <c r="H707" s="5">
        <f>SUBSTITUTE(SUBSTITUTE(SUBSTITUTE(SUBSTITUTE(A707,"(",""),")","")," ",""),CHAR(29),"")</f>
        <v/>
      </c>
    </row>
    <row r="708">
      <c r="A708" s="7" t="n"/>
      <c r="B708" s="8">
        <f>IFERROR(MID(H708,FIND("01",H708)+2,14),"")</f>
        <v/>
      </c>
      <c r="C708" s="7">
        <f>IF(A708="","",IFERROR(VLOOKUP(B708,TblArticles,2,FALSE),"GTIN inconnu"))</f>
        <v/>
      </c>
      <c r="D708" s="8">
        <f>IF(A708="","",IFERROR(VLOOKUP(B708,TblArticles,3,FALSE),""))</f>
        <v/>
      </c>
      <c r="E708" s="9">
        <f>IFERROR(DATE(2000+VALUE(MID(H708,FIND("15",H708,FIND("01",H708)+16)+2,2)),VALUE(MID(H708,FIND("15",H708,FIND("01",H708)+16)+4,2)),VALUE(MID(H708,FIND("15",H708,FIND("01",H708)+16)+6,2))),"")</f>
        <v/>
      </c>
      <c r="F708" s="8">
        <f>IFERROR(MID(H708,FIND("10",H708,FIND("15",H708,FIND("01",H708)+16)+8)+2,50),"")</f>
        <v/>
      </c>
      <c r="G708" s="8" t="n"/>
      <c r="H708" s="8">
        <f>SUBSTITUTE(SUBSTITUTE(SUBSTITUTE(SUBSTITUTE(A708,"(",""),")","")," ",""),CHAR(29),"")</f>
        <v/>
      </c>
    </row>
    <row r="709">
      <c r="A709" s="4" t="n"/>
      <c r="B709" s="5">
        <f>IFERROR(MID(H709,FIND("01",H709)+2,14),"")</f>
        <v/>
      </c>
      <c r="C709" s="4">
        <f>IF(A709="","",IFERROR(VLOOKUP(B709,TblArticles,2,FALSE),"GTIN inconnu"))</f>
        <v/>
      </c>
      <c r="D709" s="5">
        <f>IF(A709="","",IFERROR(VLOOKUP(B709,TblArticles,3,FALSE),""))</f>
        <v/>
      </c>
      <c r="E709" s="6">
        <f>IFERROR(DATE(2000+VALUE(MID(H709,FIND("15",H709,FIND("01",H709)+16)+2,2)),VALUE(MID(H709,FIND("15",H709,FIND("01",H709)+16)+4,2)),VALUE(MID(H709,FIND("15",H709,FIND("01",H709)+16)+6,2))),"")</f>
        <v/>
      </c>
      <c r="F709" s="5">
        <f>IFERROR(MID(H709,FIND("10",H709,FIND("15",H709,FIND("01",H709)+16)+8)+2,50),"")</f>
        <v/>
      </c>
      <c r="G709" s="5" t="n"/>
      <c r="H709" s="5">
        <f>SUBSTITUTE(SUBSTITUTE(SUBSTITUTE(SUBSTITUTE(A709,"(",""),")","")," ",""),CHAR(29),"")</f>
        <v/>
      </c>
    </row>
    <row r="710">
      <c r="A710" s="7" t="n"/>
      <c r="B710" s="8">
        <f>IFERROR(MID(H710,FIND("01",H710)+2,14),"")</f>
        <v/>
      </c>
      <c r="C710" s="7">
        <f>IF(A710="","",IFERROR(VLOOKUP(B710,TblArticles,2,FALSE),"GTIN inconnu"))</f>
        <v/>
      </c>
      <c r="D710" s="8">
        <f>IF(A710="","",IFERROR(VLOOKUP(B710,TblArticles,3,FALSE),""))</f>
        <v/>
      </c>
      <c r="E710" s="9">
        <f>IFERROR(DATE(2000+VALUE(MID(H710,FIND("15",H710,FIND("01",H710)+16)+2,2)),VALUE(MID(H710,FIND("15",H710,FIND("01",H710)+16)+4,2)),VALUE(MID(H710,FIND("15",H710,FIND("01",H710)+16)+6,2))),"")</f>
        <v/>
      </c>
      <c r="F710" s="8">
        <f>IFERROR(MID(H710,FIND("10",H710,FIND("15",H710,FIND("01",H710)+16)+8)+2,50),"")</f>
        <v/>
      </c>
      <c r="G710" s="8" t="n"/>
      <c r="H710" s="8">
        <f>SUBSTITUTE(SUBSTITUTE(SUBSTITUTE(SUBSTITUTE(A710,"(",""),")","")," ",""),CHAR(29),"")</f>
        <v/>
      </c>
    </row>
    <row r="711">
      <c r="A711" s="4" t="n"/>
      <c r="B711" s="5">
        <f>IFERROR(MID(H711,FIND("01",H711)+2,14),"")</f>
        <v/>
      </c>
      <c r="C711" s="4">
        <f>IF(A711="","",IFERROR(VLOOKUP(B711,TblArticles,2,FALSE),"GTIN inconnu"))</f>
        <v/>
      </c>
      <c r="D711" s="5">
        <f>IF(A711="","",IFERROR(VLOOKUP(B711,TblArticles,3,FALSE),""))</f>
        <v/>
      </c>
      <c r="E711" s="6">
        <f>IFERROR(DATE(2000+VALUE(MID(H711,FIND("15",H711,FIND("01",H711)+16)+2,2)),VALUE(MID(H711,FIND("15",H711,FIND("01",H711)+16)+4,2)),VALUE(MID(H711,FIND("15",H711,FIND("01",H711)+16)+6,2))),"")</f>
        <v/>
      </c>
      <c r="F711" s="5">
        <f>IFERROR(MID(H711,FIND("10",H711,FIND("15",H711,FIND("01",H711)+16)+8)+2,50),"")</f>
        <v/>
      </c>
      <c r="G711" s="5" t="n"/>
      <c r="H711" s="5">
        <f>SUBSTITUTE(SUBSTITUTE(SUBSTITUTE(SUBSTITUTE(A711,"(",""),")","")," ",""),CHAR(29),"")</f>
        <v/>
      </c>
    </row>
    <row r="712">
      <c r="A712" s="7" t="n"/>
      <c r="B712" s="8">
        <f>IFERROR(MID(H712,FIND("01",H712)+2,14),"")</f>
        <v/>
      </c>
      <c r="C712" s="7">
        <f>IF(A712="","",IFERROR(VLOOKUP(B712,TblArticles,2,FALSE),"GTIN inconnu"))</f>
        <v/>
      </c>
      <c r="D712" s="8">
        <f>IF(A712="","",IFERROR(VLOOKUP(B712,TblArticles,3,FALSE),""))</f>
        <v/>
      </c>
      <c r="E712" s="9">
        <f>IFERROR(DATE(2000+VALUE(MID(H712,FIND("15",H712,FIND("01",H712)+16)+2,2)),VALUE(MID(H712,FIND("15",H712,FIND("01",H712)+16)+4,2)),VALUE(MID(H712,FIND("15",H712,FIND("01",H712)+16)+6,2))),"")</f>
        <v/>
      </c>
      <c r="F712" s="8">
        <f>IFERROR(MID(H712,FIND("10",H712,FIND("15",H712,FIND("01",H712)+16)+8)+2,50),"")</f>
        <v/>
      </c>
      <c r="G712" s="8" t="n"/>
      <c r="H712" s="8">
        <f>SUBSTITUTE(SUBSTITUTE(SUBSTITUTE(SUBSTITUTE(A712,"(",""),")","")," ",""),CHAR(29),"")</f>
        <v/>
      </c>
    </row>
    <row r="713">
      <c r="A713" s="4" t="n"/>
      <c r="B713" s="5">
        <f>IFERROR(MID(H713,FIND("01",H713)+2,14),"")</f>
        <v/>
      </c>
      <c r="C713" s="4">
        <f>IF(A713="","",IFERROR(VLOOKUP(B713,TblArticles,2,FALSE),"GTIN inconnu"))</f>
        <v/>
      </c>
      <c r="D713" s="5">
        <f>IF(A713="","",IFERROR(VLOOKUP(B713,TblArticles,3,FALSE),""))</f>
        <v/>
      </c>
      <c r="E713" s="6">
        <f>IFERROR(DATE(2000+VALUE(MID(H713,FIND("15",H713,FIND("01",H713)+16)+2,2)),VALUE(MID(H713,FIND("15",H713,FIND("01",H713)+16)+4,2)),VALUE(MID(H713,FIND("15",H713,FIND("01",H713)+16)+6,2))),"")</f>
        <v/>
      </c>
      <c r="F713" s="5">
        <f>IFERROR(MID(H713,FIND("10",H713,FIND("15",H713,FIND("01",H713)+16)+8)+2,50),"")</f>
        <v/>
      </c>
      <c r="G713" s="5" t="n"/>
      <c r="H713" s="5">
        <f>SUBSTITUTE(SUBSTITUTE(SUBSTITUTE(SUBSTITUTE(A713,"(",""),")","")," ",""),CHAR(29),"")</f>
        <v/>
      </c>
    </row>
    <row r="714">
      <c r="A714" s="7" t="n"/>
      <c r="B714" s="8">
        <f>IFERROR(MID(H714,FIND("01",H714)+2,14),"")</f>
        <v/>
      </c>
      <c r="C714" s="7">
        <f>IF(A714="","",IFERROR(VLOOKUP(B714,TblArticles,2,FALSE),"GTIN inconnu"))</f>
        <v/>
      </c>
      <c r="D714" s="8">
        <f>IF(A714="","",IFERROR(VLOOKUP(B714,TblArticles,3,FALSE),""))</f>
        <v/>
      </c>
      <c r="E714" s="9">
        <f>IFERROR(DATE(2000+VALUE(MID(H714,FIND("15",H714,FIND("01",H714)+16)+2,2)),VALUE(MID(H714,FIND("15",H714,FIND("01",H714)+16)+4,2)),VALUE(MID(H714,FIND("15",H714,FIND("01",H714)+16)+6,2))),"")</f>
        <v/>
      </c>
      <c r="F714" s="8">
        <f>IFERROR(MID(H714,FIND("10",H714,FIND("15",H714,FIND("01",H714)+16)+8)+2,50),"")</f>
        <v/>
      </c>
      <c r="G714" s="8" t="n"/>
      <c r="H714" s="8">
        <f>SUBSTITUTE(SUBSTITUTE(SUBSTITUTE(SUBSTITUTE(A714,"(",""),")","")," ",""),CHAR(29),"")</f>
        <v/>
      </c>
    </row>
    <row r="715">
      <c r="A715" s="4" t="n"/>
      <c r="B715" s="5">
        <f>IFERROR(MID(H715,FIND("01",H715)+2,14),"")</f>
        <v/>
      </c>
      <c r="C715" s="4">
        <f>IF(A715="","",IFERROR(VLOOKUP(B715,TblArticles,2,FALSE),"GTIN inconnu"))</f>
        <v/>
      </c>
      <c r="D715" s="5">
        <f>IF(A715="","",IFERROR(VLOOKUP(B715,TblArticles,3,FALSE),""))</f>
        <v/>
      </c>
      <c r="E715" s="6">
        <f>IFERROR(DATE(2000+VALUE(MID(H715,FIND("15",H715,FIND("01",H715)+16)+2,2)),VALUE(MID(H715,FIND("15",H715,FIND("01",H715)+16)+4,2)),VALUE(MID(H715,FIND("15",H715,FIND("01",H715)+16)+6,2))),"")</f>
        <v/>
      </c>
      <c r="F715" s="5">
        <f>IFERROR(MID(H715,FIND("10",H715,FIND("15",H715,FIND("01",H715)+16)+8)+2,50),"")</f>
        <v/>
      </c>
      <c r="G715" s="5" t="n"/>
      <c r="H715" s="5">
        <f>SUBSTITUTE(SUBSTITUTE(SUBSTITUTE(SUBSTITUTE(A715,"(",""),")","")," ",""),CHAR(29),"")</f>
        <v/>
      </c>
    </row>
    <row r="716">
      <c r="A716" s="7" t="n"/>
      <c r="B716" s="8">
        <f>IFERROR(MID(H716,FIND("01",H716)+2,14),"")</f>
        <v/>
      </c>
      <c r="C716" s="7">
        <f>IF(A716="","",IFERROR(VLOOKUP(B716,TblArticles,2,FALSE),"GTIN inconnu"))</f>
        <v/>
      </c>
      <c r="D716" s="8">
        <f>IF(A716="","",IFERROR(VLOOKUP(B716,TblArticles,3,FALSE),""))</f>
        <v/>
      </c>
      <c r="E716" s="9">
        <f>IFERROR(DATE(2000+VALUE(MID(H716,FIND("15",H716,FIND("01",H716)+16)+2,2)),VALUE(MID(H716,FIND("15",H716,FIND("01",H716)+16)+4,2)),VALUE(MID(H716,FIND("15",H716,FIND("01",H716)+16)+6,2))),"")</f>
        <v/>
      </c>
      <c r="F716" s="8">
        <f>IFERROR(MID(H716,FIND("10",H716,FIND("15",H716,FIND("01",H716)+16)+8)+2,50),"")</f>
        <v/>
      </c>
      <c r="G716" s="8" t="n"/>
      <c r="H716" s="8">
        <f>SUBSTITUTE(SUBSTITUTE(SUBSTITUTE(SUBSTITUTE(A716,"(",""),")","")," ",""),CHAR(29),"")</f>
        <v/>
      </c>
    </row>
    <row r="717">
      <c r="A717" s="4" t="n"/>
      <c r="B717" s="5">
        <f>IFERROR(MID(H717,FIND("01",H717)+2,14),"")</f>
        <v/>
      </c>
      <c r="C717" s="4">
        <f>IF(A717="","",IFERROR(VLOOKUP(B717,TblArticles,2,FALSE),"GTIN inconnu"))</f>
        <v/>
      </c>
      <c r="D717" s="5">
        <f>IF(A717="","",IFERROR(VLOOKUP(B717,TblArticles,3,FALSE),""))</f>
        <v/>
      </c>
      <c r="E717" s="6">
        <f>IFERROR(DATE(2000+VALUE(MID(H717,FIND("15",H717,FIND("01",H717)+16)+2,2)),VALUE(MID(H717,FIND("15",H717,FIND("01",H717)+16)+4,2)),VALUE(MID(H717,FIND("15",H717,FIND("01",H717)+16)+6,2))),"")</f>
        <v/>
      </c>
      <c r="F717" s="5">
        <f>IFERROR(MID(H717,FIND("10",H717,FIND("15",H717,FIND("01",H717)+16)+8)+2,50),"")</f>
        <v/>
      </c>
      <c r="G717" s="5" t="n"/>
      <c r="H717" s="5">
        <f>SUBSTITUTE(SUBSTITUTE(SUBSTITUTE(SUBSTITUTE(A717,"(",""),")","")," ",""),CHAR(29),"")</f>
        <v/>
      </c>
    </row>
    <row r="718">
      <c r="A718" s="7" t="n"/>
      <c r="B718" s="8">
        <f>IFERROR(MID(H718,FIND("01",H718)+2,14),"")</f>
        <v/>
      </c>
      <c r="C718" s="7">
        <f>IF(A718="","",IFERROR(VLOOKUP(B718,TblArticles,2,FALSE),"GTIN inconnu"))</f>
        <v/>
      </c>
      <c r="D718" s="8">
        <f>IF(A718="","",IFERROR(VLOOKUP(B718,TblArticles,3,FALSE),""))</f>
        <v/>
      </c>
      <c r="E718" s="9">
        <f>IFERROR(DATE(2000+VALUE(MID(H718,FIND("15",H718,FIND("01",H718)+16)+2,2)),VALUE(MID(H718,FIND("15",H718,FIND("01",H718)+16)+4,2)),VALUE(MID(H718,FIND("15",H718,FIND("01",H718)+16)+6,2))),"")</f>
        <v/>
      </c>
      <c r="F718" s="8">
        <f>IFERROR(MID(H718,FIND("10",H718,FIND("15",H718,FIND("01",H718)+16)+8)+2,50),"")</f>
        <v/>
      </c>
      <c r="G718" s="8" t="n"/>
      <c r="H718" s="8">
        <f>SUBSTITUTE(SUBSTITUTE(SUBSTITUTE(SUBSTITUTE(A718,"(",""),")","")," ",""),CHAR(29),"")</f>
        <v/>
      </c>
    </row>
    <row r="719">
      <c r="A719" s="4" t="n"/>
      <c r="B719" s="5">
        <f>IFERROR(MID(H719,FIND("01",H719)+2,14),"")</f>
        <v/>
      </c>
      <c r="C719" s="4">
        <f>IF(A719="","",IFERROR(VLOOKUP(B719,TblArticles,2,FALSE),"GTIN inconnu"))</f>
        <v/>
      </c>
      <c r="D719" s="5">
        <f>IF(A719="","",IFERROR(VLOOKUP(B719,TblArticles,3,FALSE),""))</f>
        <v/>
      </c>
      <c r="E719" s="6">
        <f>IFERROR(DATE(2000+VALUE(MID(H719,FIND("15",H719,FIND("01",H719)+16)+2,2)),VALUE(MID(H719,FIND("15",H719,FIND("01",H719)+16)+4,2)),VALUE(MID(H719,FIND("15",H719,FIND("01",H719)+16)+6,2))),"")</f>
        <v/>
      </c>
      <c r="F719" s="5">
        <f>IFERROR(MID(H719,FIND("10",H719,FIND("15",H719,FIND("01",H719)+16)+8)+2,50),"")</f>
        <v/>
      </c>
      <c r="G719" s="5" t="n"/>
      <c r="H719" s="5">
        <f>SUBSTITUTE(SUBSTITUTE(SUBSTITUTE(SUBSTITUTE(A719,"(",""),")","")," ",""),CHAR(29),"")</f>
        <v/>
      </c>
    </row>
    <row r="720">
      <c r="A720" s="7" t="n"/>
      <c r="B720" s="8">
        <f>IFERROR(MID(H720,FIND("01",H720)+2,14),"")</f>
        <v/>
      </c>
      <c r="C720" s="7">
        <f>IF(A720="","",IFERROR(VLOOKUP(B720,TblArticles,2,FALSE),"GTIN inconnu"))</f>
        <v/>
      </c>
      <c r="D720" s="8">
        <f>IF(A720="","",IFERROR(VLOOKUP(B720,TblArticles,3,FALSE),""))</f>
        <v/>
      </c>
      <c r="E720" s="9">
        <f>IFERROR(DATE(2000+VALUE(MID(H720,FIND("15",H720,FIND("01",H720)+16)+2,2)),VALUE(MID(H720,FIND("15",H720,FIND("01",H720)+16)+4,2)),VALUE(MID(H720,FIND("15",H720,FIND("01",H720)+16)+6,2))),"")</f>
        <v/>
      </c>
      <c r="F720" s="8">
        <f>IFERROR(MID(H720,FIND("10",H720,FIND("15",H720,FIND("01",H720)+16)+8)+2,50),"")</f>
        <v/>
      </c>
      <c r="G720" s="8" t="n"/>
      <c r="H720" s="8">
        <f>SUBSTITUTE(SUBSTITUTE(SUBSTITUTE(SUBSTITUTE(A720,"(",""),")","")," ",""),CHAR(29),"")</f>
        <v/>
      </c>
    </row>
    <row r="721">
      <c r="A721" s="4" t="n"/>
      <c r="B721" s="5">
        <f>IFERROR(MID(H721,FIND("01",H721)+2,14),"")</f>
        <v/>
      </c>
      <c r="C721" s="4">
        <f>IF(A721="","",IFERROR(VLOOKUP(B721,TblArticles,2,FALSE),"GTIN inconnu"))</f>
        <v/>
      </c>
      <c r="D721" s="5">
        <f>IF(A721="","",IFERROR(VLOOKUP(B721,TblArticles,3,FALSE),""))</f>
        <v/>
      </c>
      <c r="E721" s="6">
        <f>IFERROR(DATE(2000+VALUE(MID(H721,FIND("15",H721,FIND("01",H721)+16)+2,2)),VALUE(MID(H721,FIND("15",H721,FIND("01",H721)+16)+4,2)),VALUE(MID(H721,FIND("15",H721,FIND("01",H721)+16)+6,2))),"")</f>
        <v/>
      </c>
      <c r="F721" s="5">
        <f>IFERROR(MID(H721,FIND("10",H721,FIND("15",H721,FIND("01",H721)+16)+8)+2,50),"")</f>
        <v/>
      </c>
      <c r="G721" s="5" t="n"/>
      <c r="H721" s="5">
        <f>SUBSTITUTE(SUBSTITUTE(SUBSTITUTE(SUBSTITUTE(A721,"(",""),")","")," ",""),CHAR(29),"")</f>
        <v/>
      </c>
    </row>
    <row r="722">
      <c r="A722" s="7" t="n"/>
      <c r="B722" s="8">
        <f>IFERROR(MID(H722,FIND("01",H722)+2,14),"")</f>
        <v/>
      </c>
      <c r="C722" s="7">
        <f>IF(A722="","",IFERROR(VLOOKUP(B722,TblArticles,2,FALSE),"GTIN inconnu"))</f>
        <v/>
      </c>
      <c r="D722" s="8">
        <f>IF(A722="","",IFERROR(VLOOKUP(B722,TblArticles,3,FALSE),""))</f>
        <v/>
      </c>
      <c r="E722" s="9">
        <f>IFERROR(DATE(2000+VALUE(MID(H722,FIND("15",H722,FIND("01",H722)+16)+2,2)),VALUE(MID(H722,FIND("15",H722,FIND("01",H722)+16)+4,2)),VALUE(MID(H722,FIND("15",H722,FIND("01",H722)+16)+6,2))),"")</f>
        <v/>
      </c>
      <c r="F722" s="8">
        <f>IFERROR(MID(H722,FIND("10",H722,FIND("15",H722,FIND("01",H722)+16)+8)+2,50),"")</f>
        <v/>
      </c>
      <c r="G722" s="8" t="n"/>
      <c r="H722" s="8">
        <f>SUBSTITUTE(SUBSTITUTE(SUBSTITUTE(SUBSTITUTE(A722,"(",""),")","")," ",""),CHAR(29),"")</f>
        <v/>
      </c>
    </row>
    <row r="723">
      <c r="A723" s="4" t="n"/>
      <c r="B723" s="5">
        <f>IFERROR(MID(H723,FIND("01",H723)+2,14),"")</f>
        <v/>
      </c>
      <c r="C723" s="4">
        <f>IF(A723="","",IFERROR(VLOOKUP(B723,TblArticles,2,FALSE),"GTIN inconnu"))</f>
        <v/>
      </c>
      <c r="D723" s="5">
        <f>IF(A723="","",IFERROR(VLOOKUP(B723,TblArticles,3,FALSE),""))</f>
        <v/>
      </c>
      <c r="E723" s="6">
        <f>IFERROR(DATE(2000+VALUE(MID(H723,FIND("15",H723,FIND("01",H723)+16)+2,2)),VALUE(MID(H723,FIND("15",H723,FIND("01",H723)+16)+4,2)),VALUE(MID(H723,FIND("15",H723,FIND("01",H723)+16)+6,2))),"")</f>
        <v/>
      </c>
      <c r="F723" s="5">
        <f>IFERROR(MID(H723,FIND("10",H723,FIND("15",H723,FIND("01",H723)+16)+8)+2,50),"")</f>
        <v/>
      </c>
      <c r="G723" s="5" t="n"/>
      <c r="H723" s="5">
        <f>SUBSTITUTE(SUBSTITUTE(SUBSTITUTE(SUBSTITUTE(A723,"(",""),")","")," ",""),CHAR(29),"")</f>
        <v/>
      </c>
    </row>
    <row r="724">
      <c r="A724" s="7" t="n"/>
      <c r="B724" s="8">
        <f>IFERROR(MID(H724,FIND("01",H724)+2,14),"")</f>
        <v/>
      </c>
      <c r="C724" s="7">
        <f>IF(A724="","",IFERROR(VLOOKUP(B724,TblArticles,2,FALSE),"GTIN inconnu"))</f>
        <v/>
      </c>
      <c r="D724" s="8">
        <f>IF(A724="","",IFERROR(VLOOKUP(B724,TblArticles,3,FALSE),""))</f>
        <v/>
      </c>
      <c r="E724" s="9">
        <f>IFERROR(DATE(2000+VALUE(MID(H724,FIND("15",H724,FIND("01",H724)+16)+2,2)),VALUE(MID(H724,FIND("15",H724,FIND("01",H724)+16)+4,2)),VALUE(MID(H724,FIND("15",H724,FIND("01",H724)+16)+6,2))),"")</f>
        <v/>
      </c>
      <c r="F724" s="8">
        <f>IFERROR(MID(H724,FIND("10",H724,FIND("15",H724,FIND("01",H724)+16)+8)+2,50),"")</f>
        <v/>
      </c>
      <c r="G724" s="8" t="n"/>
      <c r="H724" s="8">
        <f>SUBSTITUTE(SUBSTITUTE(SUBSTITUTE(SUBSTITUTE(A724,"(",""),")","")," ",""),CHAR(29),"")</f>
        <v/>
      </c>
    </row>
    <row r="725">
      <c r="A725" s="4" t="n"/>
      <c r="B725" s="5">
        <f>IFERROR(MID(H725,FIND("01",H725)+2,14),"")</f>
        <v/>
      </c>
      <c r="C725" s="4">
        <f>IF(A725="","",IFERROR(VLOOKUP(B725,TblArticles,2,FALSE),"GTIN inconnu"))</f>
        <v/>
      </c>
      <c r="D725" s="5">
        <f>IF(A725="","",IFERROR(VLOOKUP(B725,TblArticles,3,FALSE),""))</f>
        <v/>
      </c>
      <c r="E725" s="6">
        <f>IFERROR(DATE(2000+VALUE(MID(H725,FIND("15",H725,FIND("01",H725)+16)+2,2)),VALUE(MID(H725,FIND("15",H725,FIND("01",H725)+16)+4,2)),VALUE(MID(H725,FIND("15",H725,FIND("01",H725)+16)+6,2))),"")</f>
        <v/>
      </c>
      <c r="F725" s="5">
        <f>IFERROR(MID(H725,FIND("10",H725,FIND("15",H725,FIND("01",H725)+16)+8)+2,50),"")</f>
        <v/>
      </c>
      <c r="G725" s="5" t="n"/>
      <c r="H725" s="5">
        <f>SUBSTITUTE(SUBSTITUTE(SUBSTITUTE(SUBSTITUTE(A725,"(",""),")","")," ",""),CHAR(29),"")</f>
        <v/>
      </c>
    </row>
    <row r="726">
      <c r="A726" s="7" t="n"/>
      <c r="B726" s="8">
        <f>IFERROR(MID(H726,FIND("01",H726)+2,14),"")</f>
        <v/>
      </c>
      <c r="C726" s="7">
        <f>IF(A726="","",IFERROR(VLOOKUP(B726,TblArticles,2,FALSE),"GTIN inconnu"))</f>
        <v/>
      </c>
      <c r="D726" s="8">
        <f>IF(A726="","",IFERROR(VLOOKUP(B726,TblArticles,3,FALSE),""))</f>
        <v/>
      </c>
      <c r="E726" s="9">
        <f>IFERROR(DATE(2000+VALUE(MID(H726,FIND("15",H726,FIND("01",H726)+16)+2,2)),VALUE(MID(H726,FIND("15",H726,FIND("01",H726)+16)+4,2)),VALUE(MID(H726,FIND("15",H726,FIND("01",H726)+16)+6,2))),"")</f>
        <v/>
      </c>
      <c r="F726" s="8">
        <f>IFERROR(MID(H726,FIND("10",H726,FIND("15",H726,FIND("01",H726)+16)+8)+2,50),"")</f>
        <v/>
      </c>
      <c r="G726" s="8" t="n"/>
      <c r="H726" s="8">
        <f>SUBSTITUTE(SUBSTITUTE(SUBSTITUTE(SUBSTITUTE(A726,"(",""),")","")," ",""),CHAR(29),"")</f>
        <v/>
      </c>
    </row>
    <row r="727">
      <c r="A727" s="4" t="n"/>
      <c r="B727" s="5">
        <f>IFERROR(MID(H727,FIND("01",H727)+2,14),"")</f>
        <v/>
      </c>
      <c r="C727" s="4">
        <f>IF(A727="","",IFERROR(VLOOKUP(B727,TblArticles,2,FALSE),"GTIN inconnu"))</f>
        <v/>
      </c>
      <c r="D727" s="5">
        <f>IF(A727="","",IFERROR(VLOOKUP(B727,TblArticles,3,FALSE),""))</f>
        <v/>
      </c>
      <c r="E727" s="6">
        <f>IFERROR(DATE(2000+VALUE(MID(H727,FIND("15",H727,FIND("01",H727)+16)+2,2)),VALUE(MID(H727,FIND("15",H727,FIND("01",H727)+16)+4,2)),VALUE(MID(H727,FIND("15",H727,FIND("01",H727)+16)+6,2))),"")</f>
        <v/>
      </c>
      <c r="F727" s="5">
        <f>IFERROR(MID(H727,FIND("10",H727,FIND("15",H727,FIND("01",H727)+16)+8)+2,50),"")</f>
        <v/>
      </c>
      <c r="G727" s="5" t="n"/>
      <c r="H727" s="5">
        <f>SUBSTITUTE(SUBSTITUTE(SUBSTITUTE(SUBSTITUTE(A727,"(",""),")","")," ",""),CHAR(29),"")</f>
        <v/>
      </c>
    </row>
    <row r="728">
      <c r="A728" s="7" t="n"/>
      <c r="B728" s="8">
        <f>IFERROR(MID(H728,FIND("01",H728)+2,14),"")</f>
        <v/>
      </c>
      <c r="C728" s="7">
        <f>IF(A728="","",IFERROR(VLOOKUP(B728,TblArticles,2,FALSE),"GTIN inconnu"))</f>
        <v/>
      </c>
      <c r="D728" s="8">
        <f>IF(A728="","",IFERROR(VLOOKUP(B728,TblArticles,3,FALSE),""))</f>
        <v/>
      </c>
      <c r="E728" s="9">
        <f>IFERROR(DATE(2000+VALUE(MID(H728,FIND("15",H728,FIND("01",H728)+16)+2,2)),VALUE(MID(H728,FIND("15",H728,FIND("01",H728)+16)+4,2)),VALUE(MID(H728,FIND("15",H728,FIND("01",H728)+16)+6,2))),"")</f>
        <v/>
      </c>
      <c r="F728" s="8">
        <f>IFERROR(MID(H728,FIND("10",H728,FIND("15",H728,FIND("01",H728)+16)+8)+2,50),"")</f>
        <v/>
      </c>
      <c r="G728" s="8" t="n"/>
      <c r="H728" s="8">
        <f>SUBSTITUTE(SUBSTITUTE(SUBSTITUTE(SUBSTITUTE(A728,"(",""),")","")," ",""),CHAR(29),"")</f>
        <v/>
      </c>
    </row>
    <row r="729">
      <c r="A729" s="4" t="n"/>
      <c r="B729" s="5">
        <f>IFERROR(MID(H729,FIND("01",H729)+2,14),"")</f>
        <v/>
      </c>
      <c r="C729" s="4">
        <f>IF(A729="","",IFERROR(VLOOKUP(B729,TblArticles,2,FALSE),"GTIN inconnu"))</f>
        <v/>
      </c>
      <c r="D729" s="5">
        <f>IF(A729="","",IFERROR(VLOOKUP(B729,TblArticles,3,FALSE),""))</f>
        <v/>
      </c>
      <c r="E729" s="6">
        <f>IFERROR(DATE(2000+VALUE(MID(H729,FIND("15",H729,FIND("01",H729)+16)+2,2)),VALUE(MID(H729,FIND("15",H729,FIND("01",H729)+16)+4,2)),VALUE(MID(H729,FIND("15",H729,FIND("01",H729)+16)+6,2))),"")</f>
        <v/>
      </c>
      <c r="F729" s="5">
        <f>IFERROR(MID(H729,FIND("10",H729,FIND("15",H729,FIND("01",H729)+16)+8)+2,50),"")</f>
        <v/>
      </c>
      <c r="G729" s="5" t="n"/>
      <c r="H729" s="5">
        <f>SUBSTITUTE(SUBSTITUTE(SUBSTITUTE(SUBSTITUTE(A729,"(",""),")","")," ",""),CHAR(29),"")</f>
        <v/>
      </c>
    </row>
    <row r="730">
      <c r="A730" s="7" t="n"/>
      <c r="B730" s="8">
        <f>IFERROR(MID(H730,FIND("01",H730)+2,14),"")</f>
        <v/>
      </c>
      <c r="C730" s="7">
        <f>IF(A730="","",IFERROR(VLOOKUP(B730,TblArticles,2,FALSE),"GTIN inconnu"))</f>
        <v/>
      </c>
      <c r="D730" s="8">
        <f>IF(A730="","",IFERROR(VLOOKUP(B730,TblArticles,3,FALSE),""))</f>
        <v/>
      </c>
      <c r="E730" s="9">
        <f>IFERROR(DATE(2000+VALUE(MID(H730,FIND("15",H730,FIND("01",H730)+16)+2,2)),VALUE(MID(H730,FIND("15",H730,FIND("01",H730)+16)+4,2)),VALUE(MID(H730,FIND("15",H730,FIND("01",H730)+16)+6,2))),"")</f>
        <v/>
      </c>
      <c r="F730" s="8">
        <f>IFERROR(MID(H730,FIND("10",H730,FIND("15",H730,FIND("01",H730)+16)+8)+2,50),"")</f>
        <v/>
      </c>
      <c r="G730" s="8" t="n"/>
      <c r="H730" s="8">
        <f>SUBSTITUTE(SUBSTITUTE(SUBSTITUTE(SUBSTITUTE(A730,"(",""),")","")," ",""),CHAR(29),"")</f>
        <v/>
      </c>
    </row>
    <row r="731">
      <c r="A731" s="4" t="n"/>
      <c r="B731" s="5">
        <f>IFERROR(MID(H731,FIND("01",H731)+2,14),"")</f>
        <v/>
      </c>
      <c r="C731" s="4">
        <f>IF(A731="","",IFERROR(VLOOKUP(B731,TblArticles,2,FALSE),"GTIN inconnu"))</f>
        <v/>
      </c>
      <c r="D731" s="5">
        <f>IF(A731="","",IFERROR(VLOOKUP(B731,TblArticles,3,FALSE),""))</f>
        <v/>
      </c>
      <c r="E731" s="6">
        <f>IFERROR(DATE(2000+VALUE(MID(H731,FIND("15",H731,FIND("01",H731)+16)+2,2)),VALUE(MID(H731,FIND("15",H731,FIND("01",H731)+16)+4,2)),VALUE(MID(H731,FIND("15",H731,FIND("01",H731)+16)+6,2))),"")</f>
        <v/>
      </c>
      <c r="F731" s="5">
        <f>IFERROR(MID(H731,FIND("10",H731,FIND("15",H731,FIND("01",H731)+16)+8)+2,50),"")</f>
        <v/>
      </c>
      <c r="G731" s="5" t="n"/>
      <c r="H731" s="5">
        <f>SUBSTITUTE(SUBSTITUTE(SUBSTITUTE(SUBSTITUTE(A731,"(",""),")","")," ",""),CHAR(29),"")</f>
        <v/>
      </c>
    </row>
    <row r="732">
      <c r="A732" s="7" t="n"/>
      <c r="B732" s="8">
        <f>IFERROR(MID(H732,FIND("01",H732)+2,14),"")</f>
        <v/>
      </c>
      <c r="C732" s="7">
        <f>IF(A732="","",IFERROR(VLOOKUP(B732,TblArticles,2,FALSE),"GTIN inconnu"))</f>
        <v/>
      </c>
      <c r="D732" s="8">
        <f>IF(A732="","",IFERROR(VLOOKUP(B732,TblArticles,3,FALSE),""))</f>
        <v/>
      </c>
      <c r="E732" s="9">
        <f>IFERROR(DATE(2000+VALUE(MID(H732,FIND("15",H732,FIND("01",H732)+16)+2,2)),VALUE(MID(H732,FIND("15",H732,FIND("01",H732)+16)+4,2)),VALUE(MID(H732,FIND("15",H732,FIND("01",H732)+16)+6,2))),"")</f>
        <v/>
      </c>
      <c r="F732" s="8">
        <f>IFERROR(MID(H732,FIND("10",H732,FIND("15",H732,FIND("01",H732)+16)+8)+2,50),"")</f>
        <v/>
      </c>
      <c r="G732" s="8" t="n"/>
      <c r="H732" s="8">
        <f>SUBSTITUTE(SUBSTITUTE(SUBSTITUTE(SUBSTITUTE(A732,"(",""),")","")," ",""),CHAR(29),"")</f>
        <v/>
      </c>
    </row>
    <row r="733">
      <c r="A733" s="4" t="n"/>
      <c r="B733" s="5">
        <f>IFERROR(MID(H733,FIND("01",H733)+2,14),"")</f>
        <v/>
      </c>
      <c r="C733" s="4">
        <f>IF(A733="","",IFERROR(VLOOKUP(B733,TblArticles,2,FALSE),"GTIN inconnu"))</f>
        <v/>
      </c>
      <c r="D733" s="5">
        <f>IF(A733="","",IFERROR(VLOOKUP(B733,TblArticles,3,FALSE),""))</f>
        <v/>
      </c>
      <c r="E733" s="6">
        <f>IFERROR(DATE(2000+VALUE(MID(H733,FIND("15",H733,FIND("01",H733)+16)+2,2)),VALUE(MID(H733,FIND("15",H733,FIND("01",H733)+16)+4,2)),VALUE(MID(H733,FIND("15",H733,FIND("01",H733)+16)+6,2))),"")</f>
        <v/>
      </c>
      <c r="F733" s="5">
        <f>IFERROR(MID(H733,FIND("10",H733,FIND("15",H733,FIND("01",H733)+16)+8)+2,50),"")</f>
        <v/>
      </c>
      <c r="G733" s="5" t="n"/>
      <c r="H733" s="5">
        <f>SUBSTITUTE(SUBSTITUTE(SUBSTITUTE(SUBSTITUTE(A733,"(",""),")","")," ",""),CHAR(29),"")</f>
        <v/>
      </c>
    </row>
    <row r="734">
      <c r="A734" s="7" t="n"/>
      <c r="B734" s="8">
        <f>IFERROR(MID(H734,FIND("01",H734)+2,14),"")</f>
        <v/>
      </c>
      <c r="C734" s="7">
        <f>IF(A734="","",IFERROR(VLOOKUP(B734,TblArticles,2,FALSE),"GTIN inconnu"))</f>
        <v/>
      </c>
      <c r="D734" s="8">
        <f>IF(A734="","",IFERROR(VLOOKUP(B734,TblArticles,3,FALSE),""))</f>
        <v/>
      </c>
      <c r="E734" s="9">
        <f>IFERROR(DATE(2000+VALUE(MID(H734,FIND("15",H734,FIND("01",H734)+16)+2,2)),VALUE(MID(H734,FIND("15",H734,FIND("01",H734)+16)+4,2)),VALUE(MID(H734,FIND("15",H734,FIND("01",H734)+16)+6,2))),"")</f>
        <v/>
      </c>
      <c r="F734" s="8">
        <f>IFERROR(MID(H734,FIND("10",H734,FIND("15",H734,FIND("01",H734)+16)+8)+2,50),"")</f>
        <v/>
      </c>
      <c r="G734" s="8" t="n"/>
      <c r="H734" s="8">
        <f>SUBSTITUTE(SUBSTITUTE(SUBSTITUTE(SUBSTITUTE(A734,"(",""),")","")," ",""),CHAR(29),"")</f>
        <v/>
      </c>
    </row>
    <row r="735">
      <c r="A735" s="4" t="n"/>
      <c r="B735" s="5">
        <f>IFERROR(MID(H735,FIND("01",H735)+2,14),"")</f>
        <v/>
      </c>
      <c r="C735" s="4">
        <f>IF(A735="","",IFERROR(VLOOKUP(B735,TblArticles,2,FALSE),"GTIN inconnu"))</f>
        <v/>
      </c>
      <c r="D735" s="5">
        <f>IF(A735="","",IFERROR(VLOOKUP(B735,TblArticles,3,FALSE),""))</f>
        <v/>
      </c>
      <c r="E735" s="6">
        <f>IFERROR(DATE(2000+VALUE(MID(H735,FIND("15",H735,FIND("01",H735)+16)+2,2)),VALUE(MID(H735,FIND("15",H735,FIND("01",H735)+16)+4,2)),VALUE(MID(H735,FIND("15",H735,FIND("01",H735)+16)+6,2))),"")</f>
        <v/>
      </c>
      <c r="F735" s="5">
        <f>IFERROR(MID(H735,FIND("10",H735,FIND("15",H735,FIND("01",H735)+16)+8)+2,50),"")</f>
        <v/>
      </c>
      <c r="G735" s="5" t="n"/>
      <c r="H735" s="5">
        <f>SUBSTITUTE(SUBSTITUTE(SUBSTITUTE(SUBSTITUTE(A735,"(",""),")","")," ",""),CHAR(29),"")</f>
        <v/>
      </c>
    </row>
    <row r="736">
      <c r="A736" s="7" t="n"/>
      <c r="B736" s="8">
        <f>IFERROR(MID(H736,FIND("01",H736)+2,14),"")</f>
        <v/>
      </c>
      <c r="C736" s="7">
        <f>IF(A736="","",IFERROR(VLOOKUP(B736,TblArticles,2,FALSE),"GTIN inconnu"))</f>
        <v/>
      </c>
      <c r="D736" s="8">
        <f>IF(A736="","",IFERROR(VLOOKUP(B736,TblArticles,3,FALSE),""))</f>
        <v/>
      </c>
      <c r="E736" s="9">
        <f>IFERROR(DATE(2000+VALUE(MID(H736,FIND("15",H736,FIND("01",H736)+16)+2,2)),VALUE(MID(H736,FIND("15",H736,FIND("01",H736)+16)+4,2)),VALUE(MID(H736,FIND("15",H736,FIND("01",H736)+16)+6,2))),"")</f>
        <v/>
      </c>
      <c r="F736" s="8">
        <f>IFERROR(MID(H736,FIND("10",H736,FIND("15",H736,FIND("01",H736)+16)+8)+2,50),"")</f>
        <v/>
      </c>
      <c r="G736" s="8" t="n"/>
      <c r="H736" s="8">
        <f>SUBSTITUTE(SUBSTITUTE(SUBSTITUTE(SUBSTITUTE(A736,"(",""),")","")," ",""),CHAR(29),"")</f>
        <v/>
      </c>
    </row>
    <row r="737">
      <c r="A737" s="4" t="n"/>
      <c r="B737" s="5">
        <f>IFERROR(MID(H737,FIND("01",H737)+2,14),"")</f>
        <v/>
      </c>
      <c r="C737" s="4">
        <f>IF(A737="","",IFERROR(VLOOKUP(B737,TblArticles,2,FALSE),"GTIN inconnu"))</f>
        <v/>
      </c>
      <c r="D737" s="5">
        <f>IF(A737="","",IFERROR(VLOOKUP(B737,TblArticles,3,FALSE),""))</f>
        <v/>
      </c>
      <c r="E737" s="6">
        <f>IFERROR(DATE(2000+VALUE(MID(H737,FIND("15",H737,FIND("01",H737)+16)+2,2)),VALUE(MID(H737,FIND("15",H737,FIND("01",H737)+16)+4,2)),VALUE(MID(H737,FIND("15",H737,FIND("01",H737)+16)+6,2))),"")</f>
        <v/>
      </c>
      <c r="F737" s="5">
        <f>IFERROR(MID(H737,FIND("10",H737,FIND("15",H737,FIND("01",H737)+16)+8)+2,50),"")</f>
        <v/>
      </c>
      <c r="G737" s="5" t="n"/>
      <c r="H737" s="5">
        <f>SUBSTITUTE(SUBSTITUTE(SUBSTITUTE(SUBSTITUTE(A737,"(",""),")","")," ",""),CHAR(29),"")</f>
        <v/>
      </c>
    </row>
    <row r="738">
      <c r="A738" s="7" t="n"/>
      <c r="B738" s="8">
        <f>IFERROR(MID(H738,FIND("01",H738)+2,14),"")</f>
        <v/>
      </c>
      <c r="C738" s="7">
        <f>IF(A738="","",IFERROR(VLOOKUP(B738,TblArticles,2,FALSE),"GTIN inconnu"))</f>
        <v/>
      </c>
      <c r="D738" s="8">
        <f>IF(A738="","",IFERROR(VLOOKUP(B738,TblArticles,3,FALSE),""))</f>
        <v/>
      </c>
      <c r="E738" s="9">
        <f>IFERROR(DATE(2000+VALUE(MID(H738,FIND("15",H738,FIND("01",H738)+16)+2,2)),VALUE(MID(H738,FIND("15",H738,FIND("01",H738)+16)+4,2)),VALUE(MID(H738,FIND("15",H738,FIND("01",H738)+16)+6,2))),"")</f>
        <v/>
      </c>
      <c r="F738" s="8">
        <f>IFERROR(MID(H738,FIND("10",H738,FIND("15",H738,FIND("01",H738)+16)+8)+2,50),"")</f>
        <v/>
      </c>
      <c r="G738" s="8" t="n"/>
      <c r="H738" s="8">
        <f>SUBSTITUTE(SUBSTITUTE(SUBSTITUTE(SUBSTITUTE(A738,"(",""),")","")," ",""),CHAR(29),"")</f>
        <v/>
      </c>
    </row>
    <row r="739">
      <c r="A739" s="4" t="n"/>
      <c r="B739" s="5">
        <f>IFERROR(MID(H739,FIND("01",H739)+2,14),"")</f>
        <v/>
      </c>
      <c r="C739" s="4">
        <f>IF(A739="","",IFERROR(VLOOKUP(B739,TblArticles,2,FALSE),"GTIN inconnu"))</f>
        <v/>
      </c>
      <c r="D739" s="5">
        <f>IF(A739="","",IFERROR(VLOOKUP(B739,TblArticles,3,FALSE),""))</f>
        <v/>
      </c>
      <c r="E739" s="6">
        <f>IFERROR(DATE(2000+VALUE(MID(H739,FIND("15",H739,FIND("01",H739)+16)+2,2)),VALUE(MID(H739,FIND("15",H739,FIND("01",H739)+16)+4,2)),VALUE(MID(H739,FIND("15",H739,FIND("01",H739)+16)+6,2))),"")</f>
        <v/>
      </c>
      <c r="F739" s="5">
        <f>IFERROR(MID(H739,FIND("10",H739,FIND("15",H739,FIND("01",H739)+16)+8)+2,50),"")</f>
        <v/>
      </c>
      <c r="G739" s="5" t="n"/>
      <c r="H739" s="5">
        <f>SUBSTITUTE(SUBSTITUTE(SUBSTITUTE(SUBSTITUTE(A739,"(",""),")","")," ",""),CHAR(29),"")</f>
        <v/>
      </c>
    </row>
    <row r="740">
      <c r="A740" s="7" t="n"/>
      <c r="B740" s="8">
        <f>IFERROR(MID(H740,FIND("01",H740)+2,14),"")</f>
        <v/>
      </c>
      <c r="C740" s="7">
        <f>IF(A740="","",IFERROR(VLOOKUP(B740,TblArticles,2,FALSE),"GTIN inconnu"))</f>
        <v/>
      </c>
      <c r="D740" s="8">
        <f>IF(A740="","",IFERROR(VLOOKUP(B740,TblArticles,3,FALSE),""))</f>
        <v/>
      </c>
      <c r="E740" s="9">
        <f>IFERROR(DATE(2000+VALUE(MID(H740,FIND("15",H740,FIND("01",H740)+16)+2,2)),VALUE(MID(H740,FIND("15",H740,FIND("01",H740)+16)+4,2)),VALUE(MID(H740,FIND("15",H740,FIND("01",H740)+16)+6,2))),"")</f>
        <v/>
      </c>
      <c r="F740" s="8">
        <f>IFERROR(MID(H740,FIND("10",H740,FIND("15",H740,FIND("01",H740)+16)+8)+2,50),"")</f>
        <v/>
      </c>
      <c r="G740" s="8" t="n"/>
      <c r="H740" s="8">
        <f>SUBSTITUTE(SUBSTITUTE(SUBSTITUTE(SUBSTITUTE(A740,"(",""),")","")," ",""),CHAR(29),"")</f>
        <v/>
      </c>
    </row>
    <row r="741">
      <c r="A741" s="4" t="n"/>
      <c r="B741" s="5">
        <f>IFERROR(MID(H741,FIND("01",H741)+2,14),"")</f>
        <v/>
      </c>
      <c r="C741" s="4">
        <f>IF(A741="","",IFERROR(VLOOKUP(B741,TblArticles,2,FALSE),"GTIN inconnu"))</f>
        <v/>
      </c>
      <c r="D741" s="5">
        <f>IF(A741="","",IFERROR(VLOOKUP(B741,TblArticles,3,FALSE),""))</f>
        <v/>
      </c>
      <c r="E741" s="6">
        <f>IFERROR(DATE(2000+VALUE(MID(H741,FIND("15",H741,FIND("01",H741)+16)+2,2)),VALUE(MID(H741,FIND("15",H741,FIND("01",H741)+16)+4,2)),VALUE(MID(H741,FIND("15",H741,FIND("01",H741)+16)+6,2))),"")</f>
        <v/>
      </c>
      <c r="F741" s="5">
        <f>IFERROR(MID(H741,FIND("10",H741,FIND("15",H741,FIND("01",H741)+16)+8)+2,50),"")</f>
        <v/>
      </c>
      <c r="G741" s="5" t="n"/>
      <c r="H741" s="5">
        <f>SUBSTITUTE(SUBSTITUTE(SUBSTITUTE(SUBSTITUTE(A741,"(",""),")","")," ",""),CHAR(29),"")</f>
        <v/>
      </c>
    </row>
    <row r="742">
      <c r="A742" s="7" t="n"/>
      <c r="B742" s="8">
        <f>IFERROR(MID(H742,FIND("01",H742)+2,14),"")</f>
        <v/>
      </c>
      <c r="C742" s="7">
        <f>IF(A742="","",IFERROR(VLOOKUP(B742,TblArticles,2,FALSE),"GTIN inconnu"))</f>
        <v/>
      </c>
      <c r="D742" s="8">
        <f>IF(A742="","",IFERROR(VLOOKUP(B742,TblArticles,3,FALSE),""))</f>
        <v/>
      </c>
      <c r="E742" s="9">
        <f>IFERROR(DATE(2000+VALUE(MID(H742,FIND("15",H742,FIND("01",H742)+16)+2,2)),VALUE(MID(H742,FIND("15",H742,FIND("01",H742)+16)+4,2)),VALUE(MID(H742,FIND("15",H742,FIND("01",H742)+16)+6,2))),"")</f>
        <v/>
      </c>
      <c r="F742" s="8">
        <f>IFERROR(MID(H742,FIND("10",H742,FIND("15",H742,FIND("01",H742)+16)+8)+2,50),"")</f>
        <v/>
      </c>
      <c r="G742" s="8" t="n"/>
      <c r="H742" s="8">
        <f>SUBSTITUTE(SUBSTITUTE(SUBSTITUTE(SUBSTITUTE(A742,"(",""),")","")," ",""),CHAR(29),"")</f>
        <v/>
      </c>
    </row>
    <row r="743">
      <c r="A743" s="4" t="n"/>
      <c r="B743" s="5">
        <f>IFERROR(MID(H743,FIND("01",H743)+2,14),"")</f>
        <v/>
      </c>
      <c r="C743" s="4">
        <f>IF(A743="","",IFERROR(VLOOKUP(B743,TblArticles,2,FALSE),"GTIN inconnu"))</f>
        <v/>
      </c>
      <c r="D743" s="5">
        <f>IF(A743="","",IFERROR(VLOOKUP(B743,TblArticles,3,FALSE),""))</f>
        <v/>
      </c>
      <c r="E743" s="6">
        <f>IFERROR(DATE(2000+VALUE(MID(H743,FIND("15",H743,FIND("01",H743)+16)+2,2)),VALUE(MID(H743,FIND("15",H743,FIND("01",H743)+16)+4,2)),VALUE(MID(H743,FIND("15",H743,FIND("01",H743)+16)+6,2))),"")</f>
        <v/>
      </c>
      <c r="F743" s="5">
        <f>IFERROR(MID(H743,FIND("10",H743,FIND("15",H743,FIND("01",H743)+16)+8)+2,50),"")</f>
        <v/>
      </c>
      <c r="G743" s="5" t="n"/>
      <c r="H743" s="5">
        <f>SUBSTITUTE(SUBSTITUTE(SUBSTITUTE(SUBSTITUTE(A743,"(",""),")","")," ",""),CHAR(29),"")</f>
        <v/>
      </c>
    </row>
    <row r="744">
      <c r="A744" s="7" t="n"/>
      <c r="B744" s="8">
        <f>IFERROR(MID(H744,FIND("01",H744)+2,14),"")</f>
        <v/>
      </c>
      <c r="C744" s="7">
        <f>IF(A744="","",IFERROR(VLOOKUP(B744,TblArticles,2,FALSE),"GTIN inconnu"))</f>
        <v/>
      </c>
      <c r="D744" s="8">
        <f>IF(A744="","",IFERROR(VLOOKUP(B744,TblArticles,3,FALSE),""))</f>
        <v/>
      </c>
      <c r="E744" s="9">
        <f>IFERROR(DATE(2000+VALUE(MID(H744,FIND("15",H744,FIND("01",H744)+16)+2,2)),VALUE(MID(H744,FIND("15",H744,FIND("01",H744)+16)+4,2)),VALUE(MID(H744,FIND("15",H744,FIND("01",H744)+16)+6,2))),"")</f>
        <v/>
      </c>
      <c r="F744" s="8">
        <f>IFERROR(MID(H744,FIND("10",H744,FIND("15",H744,FIND("01",H744)+16)+8)+2,50),"")</f>
        <v/>
      </c>
      <c r="G744" s="8" t="n"/>
      <c r="H744" s="8">
        <f>SUBSTITUTE(SUBSTITUTE(SUBSTITUTE(SUBSTITUTE(A744,"(",""),")","")," ",""),CHAR(29),"")</f>
        <v/>
      </c>
    </row>
    <row r="745">
      <c r="A745" s="4" t="n"/>
      <c r="B745" s="5">
        <f>IFERROR(MID(H745,FIND("01",H745)+2,14),"")</f>
        <v/>
      </c>
      <c r="C745" s="4">
        <f>IF(A745="","",IFERROR(VLOOKUP(B745,TblArticles,2,FALSE),"GTIN inconnu"))</f>
        <v/>
      </c>
      <c r="D745" s="5">
        <f>IF(A745="","",IFERROR(VLOOKUP(B745,TblArticles,3,FALSE),""))</f>
        <v/>
      </c>
      <c r="E745" s="6">
        <f>IFERROR(DATE(2000+VALUE(MID(H745,FIND("15",H745,FIND("01",H745)+16)+2,2)),VALUE(MID(H745,FIND("15",H745,FIND("01",H745)+16)+4,2)),VALUE(MID(H745,FIND("15",H745,FIND("01",H745)+16)+6,2))),"")</f>
        <v/>
      </c>
      <c r="F745" s="5">
        <f>IFERROR(MID(H745,FIND("10",H745,FIND("15",H745,FIND("01",H745)+16)+8)+2,50),"")</f>
        <v/>
      </c>
      <c r="G745" s="5" t="n"/>
      <c r="H745" s="5">
        <f>SUBSTITUTE(SUBSTITUTE(SUBSTITUTE(SUBSTITUTE(A745,"(",""),")","")," ",""),CHAR(29),"")</f>
        <v/>
      </c>
    </row>
    <row r="746">
      <c r="A746" s="7" t="n"/>
      <c r="B746" s="8">
        <f>IFERROR(MID(H746,FIND("01",H746)+2,14),"")</f>
        <v/>
      </c>
      <c r="C746" s="7">
        <f>IF(A746="","",IFERROR(VLOOKUP(B746,TblArticles,2,FALSE),"GTIN inconnu"))</f>
        <v/>
      </c>
      <c r="D746" s="8">
        <f>IF(A746="","",IFERROR(VLOOKUP(B746,TblArticles,3,FALSE),""))</f>
        <v/>
      </c>
      <c r="E746" s="9">
        <f>IFERROR(DATE(2000+VALUE(MID(H746,FIND("15",H746,FIND("01",H746)+16)+2,2)),VALUE(MID(H746,FIND("15",H746,FIND("01",H746)+16)+4,2)),VALUE(MID(H746,FIND("15",H746,FIND("01",H746)+16)+6,2))),"")</f>
        <v/>
      </c>
      <c r="F746" s="8">
        <f>IFERROR(MID(H746,FIND("10",H746,FIND("15",H746,FIND("01",H746)+16)+8)+2,50),"")</f>
        <v/>
      </c>
      <c r="G746" s="8" t="n"/>
      <c r="H746" s="8">
        <f>SUBSTITUTE(SUBSTITUTE(SUBSTITUTE(SUBSTITUTE(A746,"(",""),")","")," ",""),CHAR(29),"")</f>
        <v/>
      </c>
    </row>
    <row r="747">
      <c r="A747" s="4" t="n"/>
      <c r="B747" s="5">
        <f>IFERROR(MID(H747,FIND("01",H747)+2,14),"")</f>
        <v/>
      </c>
      <c r="C747" s="4">
        <f>IF(A747="","",IFERROR(VLOOKUP(B747,TblArticles,2,FALSE),"GTIN inconnu"))</f>
        <v/>
      </c>
      <c r="D747" s="5">
        <f>IF(A747="","",IFERROR(VLOOKUP(B747,TblArticles,3,FALSE),""))</f>
        <v/>
      </c>
      <c r="E747" s="6">
        <f>IFERROR(DATE(2000+VALUE(MID(H747,FIND("15",H747,FIND("01",H747)+16)+2,2)),VALUE(MID(H747,FIND("15",H747,FIND("01",H747)+16)+4,2)),VALUE(MID(H747,FIND("15",H747,FIND("01",H747)+16)+6,2))),"")</f>
        <v/>
      </c>
      <c r="F747" s="5">
        <f>IFERROR(MID(H747,FIND("10",H747,FIND("15",H747,FIND("01",H747)+16)+8)+2,50),"")</f>
        <v/>
      </c>
      <c r="G747" s="5" t="n"/>
      <c r="H747" s="5">
        <f>SUBSTITUTE(SUBSTITUTE(SUBSTITUTE(SUBSTITUTE(A747,"(",""),")","")," ",""),CHAR(29),"")</f>
        <v/>
      </c>
    </row>
    <row r="748">
      <c r="A748" s="7" t="n"/>
      <c r="B748" s="8">
        <f>IFERROR(MID(H748,FIND("01",H748)+2,14),"")</f>
        <v/>
      </c>
      <c r="C748" s="7">
        <f>IF(A748="","",IFERROR(VLOOKUP(B748,TblArticles,2,FALSE),"GTIN inconnu"))</f>
        <v/>
      </c>
      <c r="D748" s="8">
        <f>IF(A748="","",IFERROR(VLOOKUP(B748,TblArticles,3,FALSE),""))</f>
        <v/>
      </c>
      <c r="E748" s="9">
        <f>IFERROR(DATE(2000+VALUE(MID(H748,FIND("15",H748,FIND("01",H748)+16)+2,2)),VALUE(MID(H748,FIND("15",H748,FIND("01",H748)+16)+4,2)),VALUE(MID(H748,FIND("15",H748,FIND("01",H748)+16)+6,2))),"")</f>
        <v/>
      </c>
      <c r="F748" s="8">
        <f>IFERROR(MID(H748,FIND("10",H748,FIND("15",H748,FIND("01",H748)+16)+8)+2,50),"")</f>
        <v/>
      </c>
      <c r="G748" s="8" t="n"/>
      <c r="H748" s="8">
        <f>SUBSTITUTE(SUBSTITUTE(SUBSTITUTE(SUBSTITUTE(A748,"(",""),")","")," ",""),CHAR(29),"")</f>
        <v/>
      </c>
    </row>
    <row r="749">
      <c r="A749" s="4" t="n"/>
      <c r="B749" s="5">
        <f>IFERROR(MID(H749,FIND("01",H749)+2,14),"")</f>
        <v/>
      </c>
      <c r="C749" s="4">
        <f>IF(A749="","",IFERROR(VLOOKUP(B749,TblArticles,2,FALSE),"GTIN inconnu"))</f>
        <v/>
      </c>
      <c r="D749" s="5">
        <f>IF(A749="","",IFERROR(VLOOKUP(B749,TblArticles,3,FALSE),""))</f>
        <v/>
      </c>
      <c r="E749" s="6">
        <f>IFERROR(DATE(2000+VALUE(MID(H749,FIND("15",H749,FIND("01",H749)+16)+2,2)),VALUE(MID(H749,FIND("15",H749,FIND("01",H749)+16)+4,2)),VALUE(MID(H749,FIND("15",H749,FIND("01",H749)+16)+6,2))),"")</f>
        <v/>
      </c>
      <c r="F749" s="5">
        <f>IFERROR(MID(H749,FIND("10",H749,FIND("15",H749,FIND("01",H749)+16)+8)+2,50),"")</f>
        <v/>
      </c>
      <c r="G749" s="5" t="n"/>
      <c r="H749" s="5">
        <f>SUBSTITUTE(SUBSTITUTE(SUBSTITUTE(SUBSTITUTE(A749,"(",""),")","")," ",""),CHAR(29),"")</f>
        <v/>
      </c>
    </row>
    <row r="750">
      <c r="A750" s="7" t="n"/>
      <c r="B750" s="8">
        <f>IFERROR(MID(H750,FIND("01",H750)+2,14),"")</f>
        <v/>
      </c>
      <c r="C750" s="7">
        <f>IF(A750="","",IFERROR(VLOOKUP(B750,TblArticles,2,FALSE),"GTIN inconnu"))</f>
        <v/>
      </c>
      <c r="D750" s="8">
        <f>IF(A750="","",IFERROR(VLOOKUP(B750,TblArticles,3,FALSE),""))</f>
        <v/>
      </c>
      <c r="E750" s="9">
        <f>IFERROR(DATE(2000+VALUE(MID(H750,FIND("15",H750,FIND("01",H750)+16)+2,2)),VALUE(MID(H750,FIND("15",H750,FIND("01",H750)+16)+4,2)),VALUE(MID(H750,FIND("15",H750,FIND("01",H750)+16)+6,2))),"")</f>
        <v/>
      </c>
      <c r="F750" s="8">
        <f>IFERROR(MID(H750,FIND("10",H750,FIND("15",H750,FIND("01",H750)+16)+8)+2,50),"")</f>
        <v/>
      </c>
      <c r="G750" s="8" t="n"/>
      <c r="H750" s="8">
        <f>SUBSTITUTE(SUBSTITUTE(SUBSTITUTE(SUBSTITUTE(A750,"(",""),")","")," ",""),CHAR(29),"")</f>
        <v/>
      </c>
    </row>
    <row r="751">
      <c r="A751" s="4" t="n"/>
      <c r="B751" s="5">
        <f>IFERROR(MID(H751,FIND("01",H751)+2,14),"")</f>
        <v/>
      </c>
      <c r="C751" s="4">
        <f>IF(A751="","",IFERROR(VLOOKUP(B751,TblArticles,2,FALSE),"GTIN inconnu"))</f>
        <v/>
      </c>
      <c r="D751" s="5">
        <f>IF(A751="","",IFERROR(VLOOKUP(B751,TblArticles,3,FALSE),""))</f>
        <v/>
      </c>
      <c r="E751" s="6">
        <f>IFERROR(DATE(2000+VALUE(MID(H751,FIND("15",H751,FIND("01",H751)+16)+2,2)),VALUE(MID(H751,FIND("15",H751,FIND("01",H751)+16)+4,2)),VALUE(MID(H751,FIND("15",H751,FIND("01",H751)+16)+6,2))),"")</f>
        <v/>
      </c>
      <c r="F751" s="5">
        <f>IFERROR(MID(H751,FIND("10",H751,FIND("15",H751,FIND("01",H751)+16)+8)+2,50),"")</f>
        <v/>
      </c>
      <c r="G751" s="5" t="n"/>
      <c r="H751" s="5">
        <f>SUBSTITUTE(SUBSTITUTE(SUBSTITUTE(SUBSTITUTE(A751,"(",""),")","")," ",""),CHAR(29),"")</f>
        <v/>
      </c>
    </row>
    <row r="752">
      <c r="A752" s="7" t="n"/>
      <c r="B752" s="8">
        <f>IFERROR(MID(H752,FIND("01",H752)+2,14),"")</f>
        <v/>
      </c>
      <c r="C752" s="7">
        <f>IF(A752="","",IFERROR(VLOOKUP(B752,TblArticles,2,FALSE),"GTIN inconnu"))</f>
        <v/>
      </c>
      <c r="D752" s="8">
        <f>IF(A752="","",IFERROR(VLOOKUP(B752,TblArticles,3,FALSE),""))</f>
        <v/>
      </c>
      <c r="E752" s="9">
        <f>IFERROR(DATE(2000+VALUE(MID(H752,FIND("15",H752,FIND("01",H752)+16)+2,2)),VALUE(MID(H752,FIND("15",H752,FIND("01",H752)+16)+4,2)),VALUE(MID(H752,FIND("15",H752,FIND("01",H752)+16)+6,2))),"")</f>
        <v/>
      </c>
      <c r="F752" s="8">
        <f>IFERROR(MID(H752,FIND("10",H752,FIND("15",H752,FIND("01",H752)+16)+8)+2,50),"")</f>
        <v/>
      </c>
      <c r="G752" s="8" t="n"/>
      <c r="H752" s="8">
        <f>SUBSTITUTE(SUBSTITUTE(SUBSTITUTE(SUBSTITUTE(A752,"(",""),")","")," ",""),CHAR(29),"")</f>
        <v/>
      </c>
    </row>
    <row r="753">
      <c r="A753" s="4" t="n"/>
      <c r="B753" s="5">
        <f>IFERROR(MID(H753,FIND("01",H753)+2,14),"")</f>
        <v/>
      </c>
      <c r="C753" s="4">
        <f>IF(A753="","",IFERROR(VLOOKUP(B753,TblArticles,2,FALSE),"GTIN inconnu"))</f>
        <v/>
      </c>
      <c r="D753" s="5">
        <f>IF(A753="","",IFERROR(VLOOKUP(B753,TblArticles,3,FALSE),""))</f>
        <v/>
      </c>
      <c r="E753" s="6">
        <f>IFERROR(DATE(2000+VALUE(MID(H753,FIND("15",H753,FIND("01",H753)+16)+2,2)),VALUE(MID(H753,FIND("15",H753,FIND("01",H753)+16)+4,2)),VALUE(MID(H753,FIND("15",H753,FIND("01",H753)+16)+6,2))),"")</f>
        <v/>
      </c>
      <c r="F753" s="5">
        <f>IFERROR(MID(H753,FIND("10",H753,FIND("15",H753,FIND("01",H753)+16)+8)+2,50),"")</f>
        <v/>
      </c>
      <c r="G753" s="5" t="n"/>
      <c r="H753" s="5">
        <f>SUBSTITUTE(SUBSTITUTE(SUBSTITUTE(SUBSTITUTE(A753,"(",""),")","")," ",""),CHAR(29),"")</f>
        <v/>
      </c>
    </row>
    <row r="754">
      <c r="A754" s="7" t="n"/>
      <c r="B754" s="8">
        <f>IFERROR(MID(H754,FIND("01",H754)+2,14),"")</f>
        <v/>
      </c>
      <c r="C754" s="7">
        <f>IF(A754="","",IFERROR(VLOOKUP(B754,TblArticles,2,FALSE),"GTIN inconnu"))</f>
        <v/>
      </c>
      <c r="D754" s="8">
        <f>IF(A754="","",IFERROR(VLOOKUP(B754,TblArticles,3,FALSE),""))</f>
        <v/>
      </c>
      <c r="E754" s="9">
        <f>IFERROR(DATE(2000+VALUE(MID(H754,FIND("15",H754,FIND("01",H754)+16)+2,2)),VALUE(MID(H754,FIND("15",H754,FIND("01",H754)+16)+4,2)),VALUE(MID(H754,FIND("15",H754,FIND("01",H754)+16)+6,2))),"")</f>
        <v/>
      </c>
      <c r="F754" s="8">
        <f>IFERROR(MID(H754,FIND("10",H754,FIND("15",H754,FIND("01",H754)+16)+8)+2,50),"")</f>
        <v/>
      </c>
      <c r="G754" s="8" t="n"/>
      <c r="H754" s="8">
        <f>SUBSTITUTE(SUBSTITUTE(SUBSTITUTE(SUBSTITUTE(A754,"(",""),")","")," ",""),CHAR(29),"")</f>
        <v/>
      </c>
    </row>
    <row r="755">
      <c r="A755" s="4" t="n"/>
      <c r="B755" s="5">
        <f>IFERROR(MID(H755,FIND("01",H755)+2,14),"")</f>
        <v/>
      </c>
      <c r="C755" s="4">
        <f>IF(A755="","",IFERROR(VLOOKUP(B755,TblArticles,2,FALSE),"GTIN inconnu"))</f>
        <v/>
      </c>
      <c r="D755" s="5">
        <f>IF(A755="","",IFERROR(VLOOKUP(B755,TblArticles,3,FALSE),""))</f>
        <v/>
      </c>
      <c r="E755" s="6">
        <f>IFERROR(DATE(2000+VALUE(MID(H755,FIND("15",H755,FIND("01",H755)+16)+2,2)),VALUE(MID(H755,FIND("15",H755,FIND("01",H755)+16)+4,2)),VALUE(MID(H755,FIND("15",H755,FIND("01",H755)+16)+6,2))),"")</f>
        <v/>
      </c>
      <c r="F755" s="5">
        <f>IFERROR(MID(H755,FIND("10",H755,FIND("15",H755,FIND("01",H755)+16)+8)+2,50),"")</f>
        <v/>
      </c>
      <c r="G755" s="5" t="n"/>
      <c r="H755" s="5">
        <f>SUBSTITUTE(SUBSTITUTE(SUBSTITUTE(SUBSTITUTE(A755,"(",""),")","")," ",""),CHAR(29),"")</f>
        <v/>
      </c>
    </row>
    <row r="756">
      <c r="A756" s="7" t="n"/>
      <c r="B756" s="8">
        <f>IFERROR(MID(H756,FIND("01",H756)+2,14),"")</f>
        <v/>
      </c>
      <c r="C756" s="7">
        <f>IF(A756="","",IFERROR(VLOOKUP(B756,TblArticles,2,FALSE),"GTIN inconnu"))</f>
        <v/>
      </c>
      <c r="D756" s="8">
        <f>IF(A756="","",IFERROR(VLOOKUP(B756,TblArticles,3,FALSE),""))</f>
        <v/>
      </c>
      <c r="E756" s="9">
        <f>IFERROR(DATE(2000+VALUE(MID(H756,FIND("15",H756,FIND("01",H756)+16)+2,2)),VALUE(MID(H756,FIND("15",H756,FIND("01",H756)+16)+4,2)),VALUE(MID(H756,FIND("15",H756,FIND("01",H756)+16)+6,2))),"")</f>
        <v/>
      </c>
      <c r="F756" s="8">
        <f>IFERROR(MID(H756,FIND("10",H756,FIND("15",H756,FIND("01",H756)+16)+8)+2,50),"")</f>
        <v/>
      </c>
      <c r="G756" s="8" t="n"/>
      <c r="H756" s="8">
        <f>SUBSTITUTE(SUBSTITUTE(SUBSTITUTE(SUBSTITUTE(A756,"(",""),")","")," ",""),CHAR(29),"")</f>
        <v/>
      </c>
    </row>
    <row r="757">
      <c r="A757" s="4" t="n"/>
      <c r="B757" s="5">
        <f>IFERROR(MID(H757,FIND("01",H757)+2,14),"")</f>
        <v/>
      </c>
      <c r="C757" s="4">
        <f>IF(A757="","",IFERROR(VLOOKUP(B757,TblArticles,2,FALSE),"GTIN inconnu"))</f>
        <v/>
      </c>
      <c r="D757" s="5">
        <f>IF(A757="","",IFERROR(VLOOKUP(B757,TblArticles,3,FALSE),""))</f>
        <v/>
      </c>
      <c r="E757" s="6">
        <f>IFERROR(DATE(2000+VALUE(MID(H757,FIND("15",H757,FIND("01",H757)+16)+2,2)),VALUE(MID(H757,FIND("15",H757,FIND("01",H757)+16)+4,2)),VALUE(MID(H757,FIND("15",H757,FIND("01",H757)+16)+6,2))),"")</f>
        <v/>
      </c>
      <c r="F757" s="5">
        <f>IFERROR(MID(H757,FIND("10",H757,FIND("15",H757,FIND("01",H757)+16)+8)+2,50),"")</f>
        <v/>
      </c>
      <c r="G757" s="5" t="n"/>
      <c r="H757" s="5">
        <f>SUBSTITUTE(SUBSTITUTE(SUBSTITUTE(SUBSTITUTE(A757,"(",""),")","")," ",""),CHAR(29),"")</f>
        <v/>
      </c>
    </row>
    <row r="758">
      <c r="A758" s="7" t="n"/>
      <c r="B758" s="8">
        <f>IFERROR(MID(H758,FIND("01",H758)+2,14),"")</f>
        <v/>
      </c>
      <c r="C758" s="7">
        <f>IF(A758="","",IFERROR(VLOOKUP(B758,TblArticles,2,FALSE),"GTIN inconnu"))</f>
        <v/>
      </c>
      <c r="D758" s="8">
        <f>IF(A758="","",IFERROR(VLOOKUP(B758,TblArticles,3,FALSE),""))</f>
        <v/>
      </c>
      <c r="E758" s="9">
        <f>IFERROR(DATE(2000+VALUE(MID(H758,FIND("15",H758,FIND("01",H758)+16)+2,2)),VALUE(MID(H758,FIND("15",H758,FIND("01",H758)+16)+4,2)),VALUE(MID(H758,FIND("15",H758,FIND("01",H758)+16)+6,2))),"")</f>
        <v/>
      </c>
      <c r="F758" s="8">
        <f>IFERROR(MID(H758,FIND("10",H758,FIND("15",H758,FIND("01",H758)+16)+8)+2,50),"")</f>
        <v/>
      </c>
      <c r="G758" s="8" t="n"/>
      <c r="H758" s="8">
        <f>SUBSTITUTE(SUBSTITUTE(SUBSTITUTE(SUBSTITUTE(A758,"(",""),")","")," ",""),CHAR(29),"")</f>
        <v/>
      </c>
    </row>
    <row r="759">
      <c r="A759" s="4" t="n"/>
      <c r="B759" s="5">
        <f>IFERROR(MID(H759,FIND("01",H759)+2,14),"")</f>
        <v/>
      </c>
      <c r="C759" s="4">
        <f>IF(A759="","",IFERROR(VLOOKUP(B759,TblArticles,2,FALSE),"GTIN inconnu"))</f>
        <v/>
      </c>
      <c r="D759" s="5">
        <f>IF(A759="","",IFERROR(VLOOKUP(B759,TblArticles,3,FALSE),""))</f>
        <v/>
      </c>
      <c r="E759" s="6">
        <f>IFERROR(DATE(2000+VALUE(MID(H759,FIND("15",H759,FIND("01",H759)+16)+2,2)),VALUE(MID(H759,FIND("15",H759,FIND("01",H759)+16)+4,2)),VALUE(MID(H759,FIND("15",H759,FIND("01",H759)+16)+6,2))),"")</f>
        <v/>
      </c>
      <c r="F759" s="5">
        <f>IFERROR(MID(H759,FIND("10",H759,FIND("15",H759,FIND("01",H759)+16)+8)+2,50),"")</f>
        <v/>
      </c>
      <c r="G759" s="5" t="n"/>
      <c r="H759" s="5">
        <f>SUBSTITUTE(SUBSTITUTE(SUBSTITUTE(SUBSTITUTE(A759,"(",""),")","")," ",""),CHAR(29),"")</f>
        <v/>
      </c>
    </row>
    <row r="760">
      <c r="A760" s="7" t="n"/>
      <c r="B760" s="8">
        <f>IFERROR(MID(H760,FIND("01",H760)+2,14),"")</f>
        <v/>
      </c>
      <c r="C760" s="7">
        <f>IF(A760="","",IFERROR(VLOOKUP(B760,TblArticles,2,FALSE),"GTIN inconnu"))</f>
        <v/>
      </c>
      <c r="D760" s="8">
        <f>IF(A760="","",IFERROR(VLOOKUP(B760,TblArticles,3,FALSE),""))</f>
        <v/>
      </c>
      <c r="E760" s="9">
        <f>IFERROR(DATE(2000+VALUE(MID(H760,FIND("15",H760,FIND("01",H760)+16)+2,2)),VALUE(MID(H760,FIND("15",H760,FIND("01",H760)+16)+4,2)),VALUE(MID(H760,FIND("15",H760,FIND("01",H760)+16)+6,2))),"")</f>
        <v/>
      </c>
      <c r="F760" s="8">
        <f>IFERROR(MID(H760,FIND("10",H760,FIND("15",H760,FIND("01",H760)+16)+8)+2,50),"")</f>
        <v/>
      </c>
      <c r="G760" s="8" t="n"/>
      <c r="H760" s="8">
        <f>SUBSTITUTE(SUBSTITUTE(SUBSTITUTE(SUBSTITUTE(A760,"(",""),")","")," ",""),CHAR(29),"")</f>
        <v/>
      </c>
    </row>
    <row r="761">
      <c r="A761" s="4" t="n"/>
      <c r="B761" s="5">
        <f>IFERROR(MID(H761,FIND("01",H761)+2,14),"")</f>
        <v/>
      </c>
      <c r="C761" s="4">
        <f>IF(A761="","",IFERROR(VLOOKUP(B761,TblArticles,2,FALSE),"GTIN inconnu"))</f>
        <v/>
      </c>
      <c r="D761" s="5">
        <f>IF(A761="","",IFERROR(VLOOKUP(B761,TblArticles,3,FALSE),""))</f>
        <v/>
      </c>
      <c r="E761" s="6">
        <f>IFERROR(DATE(2000+VALUE(MID(H761,FIND("15",H761,FIND("01",H761)+16)+2,2)),VALUE(MID(H761,FIND("15",H761,FIND("01",H761)+16)+4,2)),VALUE(MID(H761,FIND("15",H761,FIND("01",H761)+16)+6,2))),"")</f>
        <v/>
      </c>
      <c r="F761" s="5">
        <f>IFERROR(MID(H761,FIND("10",H761,FIND("15",H761,FIND("01",H761)+16)+8)+2,50),"")</f>
        <v/>
      </c>
      <c r="G761" s="5" t="n"/>
      <c r="H761" s="5">
        <f>SUBSTITUTE(SUBSTITUTE(SUBSTITUTE(SUBSTITUTE(A761,"(",""),")","")," ",""),CHAR(29),"")</f>
        <v/>
      </c>
    </row>
    <row r="762">
      <c r="A762" s="7" t="n"/>
      <c r="B762" s="8">
        <f>IFERROR(MID(H762,FIND("01",H762)+2,14),"")</f>
        <v/>
      </c>
      <c r="C762" s="7">
        <f>IF(A762="","",IFERROR(VLOOKUP(B762,TblArticles,2,FALSE),"GTIN inconnu"))</f>
        <v/>
      </c>
      <c r="D762" s="8">
        <f>IF(A762="","",IFERROR(VLOOKUP(B762,TblArticles,3,FALSE),""))</f>
        <v/>
      </c>
      <c r="E762" s="9">
        <f>IFERROR(DATE(2000+VALUE(MID(H762,FIND("15",H762,FIND("01",H762)+16)+2,2)),VALUE(MID(H762,FIND("15",H762,FIND("01",H762)+16)+4,2)),VALUE(MID(H762,FIND("15",H762,FIND("01",H762)+16)+6,2))),"")</f>
        <v/>
      </c>
      <c r="F762" s="8">
        <f>IFERROR(MID(H762,FIND("10",H762,FIND("15",H762,FIND("01",H762)+16)+8)+2,50),"")</f>
        <v/>
      </c>
      <c r="G762" s="8" t="n"/>
      <c r="H762" s="8">
        <f>SUBSTITUTE(SUBSTITUTE(SUBSTITUTE(SUBSTITUTE(A762,"(",""),")","")," ",""),CHAR(29),"")</f>
        <v/>
      </c>
    </row>
    <row r="763">
      <c r="A763" s="4" t="n"/>
      <c r="B763" s="5">
        <f>IFERROR(MID(H763,FIND("01",H763)+2,14),"")</f>
        <v/>
      </c>
      <c r="C763" s="4">
        <f>IF(A763="","",IFERROR(VLOOKUP(B763,TblArticles,2,FALSE),"GTIN inconnu"))</f>
        <v/>
      </c>
      <c r="D763" s="5">
        <f>IF(A763="","",IFERROR(VLOOKUP(B763,TblArticles,3,FALSE),""))</f>
        <v/>
      </c>
      <c r="E763" s="6">
        <f>IFERROR(DATE(2000+VALUE(MID(H763,FIND("15",H763,FIND("01",H763)+16)+2,2)),VALUE(MID(H763,FIND("15",H763,FIND("01",H763)+16)+4,2)),VALUE(MID(H763,FIND("15",H763,FIND("01",H763)+16)+6,2))),"")</f>
        <v/>
      </c>
      <c r="F763" s="5">
        <f>IFERROR(MID(H763,FIND("10",H763,FIND("15",H763,FIND("01",H763)+16)+8)+2,50),"")</f>
        <v/>
      </c>
      <c r="G763" s="5" t="n"/>
      <c r="H763" s="5">
        <f>SUBSTITUTE(SUBSTITUTE(SUBSTITUTE(SUBSTITUTE(A763,"(",""),")","")," ",""),CHAR(29),"")</f>
        <v/>
      </c>
    </row>
    <row r="764">
      <c r="A764" s="7" t="n"/>
      <c r="B764" s="8">
        <f>IFERROR(MID(H764,FIND("01",H764)+2,14),"")</f>
        <v/>
      </c>
      <c r="C764" s="7">
        <f>IF(A764="","",IFERROR(VLOOKUP(B764,TblArticles,2,FALSE),"GTIN inconnu"))</f>
        <v/>
      </c>
      <c r="D764" s="8">
        <f>IF(A764="","",IFERROR(VLOOKUP(B764,TblArticles,3,FALSE),""))</f>
        <v/>
      </c>
      <c r="E764" s="9">
        <f>IFERROR(DATE(2000+VALUE(MID(H764,FIND("15",H764,FIND("01",H764)+16)+2,2)),VALUE(MID(H764,FIND("15",H764,FIND("01",H764)+16)+4,2)),VALUE(MID(H764,FIND("15",H764,FIND("01",H764)+16)+6,2))),"")</f>
        <v/>
      </c>
      <c r="F764" s="8">
        <f>IFERROR(MID(H764,FIND("10",H764,FIND("15",H764,FIND("01",H764)+16)+8)+2,50),"")</f>
        <v/>
      </c>
      <c r="G764" s="8" t="n"/>
      <c r="H764" s="8">
        <f>SUBSTITUTE(SUBSTITUTE(SUBSTITUTE(SUBSTITUTE(A764,"(",""),")","")," ",""),CHAR(29),"")</f>
        <v/>
      </c>
    </row>
    <row r="765">
      <c r="A765" s="4" t="n"/>
      <c r="B765" s="5">
        <f>IFERROR(MID(H765,FIND("01",H765)+2,14),"")</f>
        <v/>
      </c>
      <c r="C765" s="4">
        <f>IF(A765="","",IFERROR(VLOOKUP(B765,TblArticles,2,FALSE),"GTIN inconnu"))</f>
        <v/>
      </c>
      <c r="D765" s="5">
        <f>IF(A765="","",IFERROR(VLOOKUP(B765,TblArticles,3,FALSE),""))</f>
        <v/>
      </c>
      <c r="E765" s="6">
        <f>IFERROR(DATE(2000+VALUE(MID(H765,FIND("15",H765,FIND("01",H765)+16)+2,2)),VALUE(MID(H765,FIND("15",H765,FIND("01",H765)+16)+4,2)),VALUE(MID(H765,FIND("15",H765,FIND("01",H765)+16)+6,2))),"")</f>
        <v/>
      </c>
      <c r="F765" s="5">
        <f>IFERROR(MID(H765,FIND("10",H765,FIND("15",H765,FIND("01",H765)+16)+8)+2,50),"")</f>
        <v/>
      </c>
      <c r="G765" s="5" t="n"/>
      <c r="H765" s="5">
        <f>SUBSTITUTE(SUBSTITUTE(SUBSTITUTE(SUBSTITUTE(A765,"(",""),")","")," ",""),CHAR(29),"")</f>
        <v/>
      </c>
    </row>
    <row r="766">
      <c r="A766" s="7" t="n"/>
      <c r="B766" s="8">
        <f>IFERROR(MID(H766,FIND("01",H766)+2,14),"")</f>
        <v/>
      </c>
      <c r="C766" s="7">
        <f>IF(A766="","",IFERROR(VLOOKUP(B766,TblArticles,2,FALSE),"GTIN inconnu"))</f>
        <v/>
      </c>
      <c r="D766" s="8">
        <f>IF(A766="","",IFERROR(VLOOKUP(B766,TblArticles,3,FALSE),""))</f>
        <v/>
      </c>
      <c r="E766" s="9">
        <f>IFERROR(DATE(2000+VALUE(MID(H766,FIND("15",H766,FIND("01",H766)+16)+2,2)),VALUE(MID(H766,FIND("15",H766,FIND("01",H766)+16)+4,2)),VALUE(MID(H766,FIND("15",H766,FIND("01",H766)+16)+6,2))),"")</f>
        <v/>
      </c>
      <c r="F766" s="8">
        <f>IFERROR(MID(H766,FIND("10",H766,FIND("15",H766,FIND("01",H766)+16)+8)+2,50),"")</f>
        <v/>
      </c>
      <c r="G766" s="8" t="n"/>
      <c r="H766" s="8">
        <f>SUBSTITUTE(SUBSTITUTE(SUBSTITUTE(SUBSTITUTE(A766,"(",""),")","")," ",""),CHAR(29),"")</f>
        <v/>
      </c>
    </row>
    <row r="767">
      <c r="A767" s="4" t="n"/>
      <c r="B767" s="5">
        <f>IFERROR(MID(H767,FIND("01",H767)+2,14),"")</f>
        <v/>
      </c>
      <c r="C767" s="4">
        <f>IF(A767="","",IFERROR(VLOOKUP(B767,TblArticles,2,FALSE),"GTIN inconnu"))</f>
        <v/>
      </c>
      <c r="D767" s="5">
        <f>IF(A767="","",IFERROR(VLOOKUP(B767,TblArticles,3,FALSE),""))</f>
        <v/>
      </c>
      <c r="E767" s="6">
        <f>IFERROR(DATE(2000+VALUE(MID(H767,FIND("15",H767,FIND("01",H767)+16)+2,2)),VALUE(MID(H767,FIND("15",H767,FIND("01",H767)+16)+4,2)),VALUE(MID(H767,FIND("15",H767,FIND("01",H767)+16)+6,2))),"")</f>
        <v/>
      </c>
      <c r="F767" s="5">
        <f>IFERROR(MID(H767,FIND("10",H767,FIND("15",H767,FIND("01",H767)+16)+8)+2,50),"")</f>
        <v/>
      </c>
      <c r="G767" s="5" t="n"/>
      <c r="H767" s="5">
        <f>SUBSTITUTE(SUBSTITUTE(SUBSTITUTE(SUBSTITUTE(A767,"(",""),")","")," ",""),CHAR(29),"")</f>
        <v/>
      </c>
    </row>
    <row r="768">
      <c r="A768" s="7" t="n"/>
      <c r="B768" s="8">
        <f>IFERROR(MID(H768,FIND("01",H768)+2,14),"")</f>
        <v/>
      </c>
      <c r="C768" s="7">
        <f>IF(A768="","",IFERROR(VLOOKUP(B768,TblArticles,2,FALSE),"GTIN inconnu"))</f>
        <v/>
      </c>
      <c r="D768" s="8">
        <f>IF(A768="","",IFERROR(VLOOKUP(B768,TblArticles,3,FALSE),""))</f>
        <v/>
      </c>
      <c r="E768" s="9">
        <f>IFERROR(DATE(2000+VALUE(MID(H768,FIND("15",H768,FIND("01",H768)+16)+2,2)),VALUE(MID(H768,FIND("15",H768,FIND("01",H768)+16)+4,2)),VALUE(MID(H768,FIND("15",H768,FIND("01",H768)+16)+6,2))),"")</f>
        <v/>
      </c>
      <c r="F768" s="8">
        <f>IFERROR(MID(H768,FIND("10",H768,FIND("15",H768,FIND("01",H768)+16)+8)+2,50),"")</f>
        <v/>
      </c>
      <c r="G768" s="8" t="n"/>
      <c r="H768" s="8">
        <f>SUBSTITUTE(SUBSTITUTE(SUBSTITUTE(SUBSTITUTE(A768,"(",""),")","")," ",""),CHAR(29),"")</f>
        <v/>
      </c>
    </row>
    <row r="769">
      <c r="A769" s="4" t="n"/>
      <c r="B769" s="5">
        <f>IFERROR(MID(H769,FIND("01",H769)+2,14),"")</f>
        <v/>
      </c>
      <c r="C769" s="4">
        <f>IF(A769="","",IFERROR(VLOOKUP(B769,TblArticles,2,FALSE),"GTIN inconnu"))</f>
        <v/>
      </c>
      <c r="D769" s="5">
        <f>IF(A769="","",IFERROR(VLOOKUP(B769,TblArticles,3,FALSE),""))</f>
        <v/>
      </c>
      <c r="E769" s="6">
        <f>IFERROR(DATE(2000+VALUE(MID(H769,FIND("15",H769,FIND("01",H769)+16)+2,2)),VALUE(MID(H769,FIND("15",H769,FIND("01",H769)+16)+4,2)),VALUE(MID(H769,FIND("15",H769,FIND("01",H769)+16)+6,2))),"")</f>
        <v/>
      </c>
      <c r="F769" s="5">
        <f>IFERROR(MID(H769,FIND("10",H769,FIND("15",H769,FIND("01",H769)+16)+8)+2,50),"")</f>
        <v/>
      </c>
      <c r="G769" s="5" t="n"/>
      <c r="H769" s="5">
        <f>SUBSTITUTE(SUBSTITUTE(SUBSTITUTE(SUBSTITUTE(A769,"(",""),")","")," ",""),CHAR(29),"")</f>
        <v/>
      </c>
    </row>
    <row r="770">
      <c r="A770" s="7" t="n"/>
      <c r="B770" s="8">
        <f>IFERROR(MID(H770,FIND("01",H770)+2,14),"")</f>
        <v/>
      </c>
      <c r="C770" s="7">
        <f>IF(A770="","",IFERROR(VLOOKUP(B770,TblArticles,2,FALSE),"GTIN inconnu"))</f>
        <v/>
      </c>
      <c r="D770" s="8">
        <f>IF(A770="","",IFERROR(VLOOKUP(B770,TblArticles,3,FALSE),""))</f>
        <v/>
      </c>
      <c r="E770" s="9">
        <f>IFERROR(DATE(2000+VALUE(MID(H770,FIND("15",H770,FIND("01",H770)+16)+2,2)),VALUE(MID(H770,FIND("15",H770,FIND("01",H770)+16)+4,2)),VALUE(MID(H770,FIND("15",H770,FIND("01",H770)+16)+6,2))),"")</f>
        <v/>
      </c>
      <c r="F770" s="8">
        <f>IFERROR(MID(H770,FIND("10",H770,FIND("15",H770,FIND("01",H770)+16)+8)+2,50),"")</f>
        <v/>
      </c>
      <c r="G770" s="8" t="n"/>
      <c r="H770" s="8">
        <f>SUBSTITUTE(SUBSTITUTE(SUBSTITUTE(SUBSTITUTE(A770,"(",""),")","")," ",""),CHAR(29),"")</f>
        <v/>
      </c>
    </row>
    <row r="771">
      <c r="A771" s="4" t="n"/>
      <c r="B771" s="5">
        <f>IFERROR(MID(H771,FIND("01",H771)+2,14),"")</f>
        <v/>
      </c>
      <c r="C771" s="4">
        <f>IF(A771="","",IFERROR(VLOOKUP(B771,TblArticles,2,FALSE),"GTIN inconnu"))</f>
        <v/>
      </c>
      <c r="D771" s="5">
        <f>IF(A771="","",IFERROR(VLOOKUP(B771,TblArticles,3,FALSE),""))</f>
        <v/>
      </c>
      <c r="E771" s="6">
        <f>IFERROR(DATE(2000+VALUE(MID(H771,FIND("15",H771,FIND("01",H771)+16)+2,2)),VALUE(MID(H771,FIND("15",H771,FIND("01",H771)+16)+4,2)),VALUE(MID(H771,FIND("15",H771,FIND("01",H771)+16)+6,2))),"")</f>
        <v/>
      </c>
      <c r="F771" s="5">
        <f>IFERROR(MID(H771,FIND("10",H771,FIND("15",H771,FIND("01",H771)+16)+8)+2,50),"")</f>
        <v/>
      </c>
      <c r="G771" s="5" t="n"/>
      <c r="H771" s="5">
        <f>SUBSTITUTE(SUBSTITUTE(SUBSTITUTE(SUBSTITUTE(A771,"(",""),")","")," ",""),CHAR(29),"")</f>
        <v/>
      </c>
    </row>
    <row r="772">
      <c r="A772" s="7" t="n"/>
      <c r="B772" s="8">
        <f>IFERROR(MID(H772,FIND("01",H772)+2,14),"")</f>
        <v/>
      </c>
      <c r="C772" s="7">
        <f>IF(A772="","",IFERROR(VLOOKUP(B772,TblArticles,2,FALSE),"GTIN inconnu"))</f>
        <v/>
      </c>
      <c r="D772" s="8">
        <f>IF(A772="","",IFERROR(VLOOKUP(B772,TblArticles,3,FALSE),""))</f>
        <v/>
      </c>
      <c r="E772" s="9">
        <f>IFERROR(DATE(2000+VALUE(MID(H772,FIND("15",H772,FIND("01",H772)+16)+2,2)),VALUE(MID(H772,FIND("15",H772,FIND("01",H772)+16)+4,2)),VALUE(MID(H772,FIND("15",H772,FIND("01",H772)+16)+6,2))),"")</f>
        <v/>
      </c>
      <c r="F772" s="8">
        <f>IFERROR(MID(H772,FIND("10",H772,FIND("15",H772,FIND("01",H772)+16)+8)+2,50),"")</f>
        <v/>
      </c>
      <c r="G772" s="8" t="n"/>
      <c r="H772" s="8">
        <f>SUBSTITUTE(SUBSTITUTE(SUBSTITUTE(SUBSTITUTE(A772,"(",""),")","")," ",""),CHAR(29),"")</f>
        <v/>
      </c>
    </row>
    <row r="773">
      <c r="A773" s="4" t="n"/>
      <c r="B773" s="5">
        <f>IFERROR(MID(H773,FIND("01",H773)+2,14),"")</f>
        <v/>
      </c>
      <c r="C773" s="4">
        <f>IF(A773="","",IFERROR(VLOOKUP(B773,TblArticles,2,FALSE),"GTIN inconnu"))</f>
        <v/>
      </c>
      <c r="D773" s="5">
        <f>IF(A773="","",IFERROR(VLOOKUP(B773,TblArticles,3,FALSE),""))</f>
        <v/>
      </c>
      <c r="E773" s="6">
        <f>IFERROR(DATE(2000+VALUE(MID(H773,FIND("15",H773,FIND("01",H773)+16)+2,2)),VALUE(MID(H773,FIND("15",H773,FIND("01",H773)+16)+4,2)),VALUE(MID(H773,FIND("15",H773,FIND("01",H773)+16)+6,2))),"")</f>
        <v/>
      </c>
      <c r="F773" s="5">
        <f>IFERROR(MID(H773,FIND("10",H773,FIND("15",H773,FIND("01",H773)+16)+8)+2,50),"")</f>
        <v/>
      </c>
      <c r="G773" s="5" t="n"/>
      <c r="H773" s="5">
        <f>SUBSTITUTE(SUBSTITUTE(SUBSTITUTE(SUBSTITUTE(A773,"(",""),")","")," ",""),CHAR(29),"")</f>
        <v/>
      </c>
    </row>
    <row r="774">
      <c r="A774" s="7" t="n"/>
      <c r="B774" s="8">
        <f>IFERROR(MID(H774,FIND("01",H774)+2,14),"")</f>
        <v/>
      </c>
      <c r="C774" s="7">
        <f>IF(A774="","",IFERROR(VLOOKUP(B774,TblArticles,2,FALSE),"GTIN inconnu"))</f>
        <v/>
      </c>
      <c r="D774" s="8">
        <f>IF(A774="","",IFERROR(VLOOKUP(B774,TblArticles,3,FALSE),""))</f>
        <v/>
      </c>
      <c r="E774" s="9">
        <f>IFERROR(DATE(2000+VALUE(MID(H774,FIND("15",H774,FIND("01",H774)+16)+2,2)),VALUE(MID(H774,FIND("15",H774,FIND("01",H774)+16)+4,2)),VALUE(MID(H774,FIND("15",H774,FIND("01",H774)+16)+6,2))),"")</f>
        <v/>
      </c>
      <c r="F774" s="8">
        <f>IFERROR(MID(H774,FIND("10",H774,FIND("15",H774,FIND("01",H774)+16)+8)+2,50),"")</f>
        <v/>
      </c>
      <c r="G774" s="8" t="n"/>
      <c r="H774" s="8">
        <f>SUBSTITUTE(SUBSTITUTE(SUBSTITUTE(SUBSTITUTE(A774,"(",""),")","")," ",""),CHAR(29),"")</f>
        <v/>
      </c>
    </row>
    <row r="775">
      <c r="A775" s="4" t="n"/>
      <c r="B775" s="5">
        <f>IFERROR(MID(H775,FIND("01",H775)+2,14),"")</f>
        <v/>
      </c>
      <c r="C775" s="4">
        <f>IF(A775="","",IFERROR(VLOOKUP(B775,TblArticles,2,FALSE),"GTIN inconnu"))</f>
        <v/>
      </c>
      <c r="D775" s="5">
        <f>IF(A775="","",IFERROR(VLOOKUP(B775,TblArticles,3,FALSE),""))</f>
        <v/>
      </c>
      <c r="E775" s="6">
        <f>IFERROR(DATE(2000+VALUE(MID(H775,FIND("15",H775,FIND("01",H775)+16)+2,2)),VALUE(MID(H775,FIND("15",H775,FIND("01",H775)+16)+4,2)),VALUE(MID(H775,FIND("15",H775,FIND("01",H775)+16)+6,2))),"")</f>
        <v/>
      </c>
      <c r="F775" s="5">
        <f>IFERROR(MID(H775,FIND("10",H775,FIND("15",H775,FIND("01",H775)+16)+8)+2,50),"")</f>
        <v/>
      </c>
      <c r="G775" s="5" t="n"/>
      <c r="H775" s="5">
        <f>SUBSTITUTE(SUBSTITUTE(SUBSTITUTE(SUBSTITUTE(A775,"(",""),")","")," ",""),CHAR(29),"")</f>
        <v/>
      </c>
    </row>
    <row r="776">
      <c r="A776" s="7" t="n"/>
      <c r="B776" s="8">
        <f>IFERROR(MID(H776,FIND("01",H776)+2,14),"")</f>
        <v/>
      </c>
      <c r="C776" s="7">
        <f>IF(A776="","",IFERROR(VLOOKUP(B776,TblArticles,2,FALSE),"GTIN inconnu"))</f>
        <v/>
      </c>
      <c r="D776" s="8">
        <f>IF(A776="","",IFERROR(VLOOKUP(B776,TblArticles,3,FALSE),""))</f>
        <v/>
      </c>
      <c r="E776" s="9">
        <f>IFERROR(DATE(2000+VALUE(MID(H776,FIND("15",H776,FIND("01",H776)+16)+2,2)),VALUE(MID(H776,FIND("15",H776,FIND("01",H776)+16)+4,2)),VALUE(MID(H776,FIND("15",H776,FIND("01",H776)+16)+6,2))),"")</f>
        <v/>
      </c>
      <c r="F776" s="8">
        <f>IFERROR(MID(H776,FIND("10",H776,FIND("15",H776,FIND("01",H776)+16)+8)+2,50),"")</f>
        <v/>
      </c>
      <c r="G776" s="8" t="n"/>
      <c r="H776" s="8">
        <f>SUBSTITUTE(SUBSTITUTE(SUBSTITUTE(SUBSTITUTE(A776,"(",""),")","")," ",""),CHAR(29),"")</f>
        <v/>
      </c>
    </row>
    <row r="777">
      <c r="A777" s="4" t="n"/>
      <c r="B777" s="5">
        <f>IFERROR(MID(H777,FIND("01",H777)+2,14),"")</f>
        <v/>
      </c>
      <c r="C777" s="4">
        <f>IF(A777="","",IFERROR(VLOOKUP(B777,TblArticles,2,FALSE),"GTIN inconnu"))</f>
        <v/>
      </c>
      <c r="D777" s="5">
        <f>IF(A777="","",IFERROR(VLOOKUP(B777,TblArticles,3,FALSE),""))</f>
        <v/>
      </c>
      <c r="E777" s="6">
        <f>IFERROR(DATE(2000+VALUE(MID(H777,FIND("15",H777,FIND("01",H777)+16)+2,2)),VALUE(MID(H777,FIND("15",H777,FIND("01",H777)+16)+4,2)),VALUE(MID(H777,FIND("15",H777,FIND("01",H777)+16)+6,2))),"")</f>
        <v/>
      </c>
      <c r="F777" s="5">
        <f>IFERROR(MID(H777,FIND("10",H777,FIND("15",H777,FIND("01",H777)+16)+8)+2,50),"")</f>
        <v/>
      </c>
      <c r="G777" s="5" t="n"/>
      <c r="H777" s="5">
        <f>SUBSTITUTE(SUBSTITUTE(SUBSTITUTE(SUBSTITUTE(A777,"(",""),")","")," ",""),CHAR(29),"")</f>
        <v/>
      </c>
    </row>
    <row r="778">
      <c r="A778" s="7" t="n"/>
      <c r="B778" s="8">
        <f>IFERROR(MID(H778,FIND("01",H778)+2,14),"")</f>
        <v/>
      </c>
      <c r="C778" s="7">
        <f>IF(A778="","",IFERROR(VLOOKUP(B778,TblArticles,2,FALSE),"GTIN inconnu"))</f>
        <v/>
      </c>
      <c r="D778" s="8">
        <f>IF(A778="","",IFERROR(VLOOKUP(B778,TblArticles,3,FALSE),""))</f>
        <v/>
      </c>
      <c r="E778" s="9">
        <f>IFERROR(DATE(2000+VALUE(MID(H778,FIND("15",H778,FIND("01",H778)+16)+2,2)),VALUE(MID(H778,FIND("15",H778,FIND("01",H778)+16)+4,2)),VALUE(MID(H778,FIND("15",H778,FIND("01",H778)+16)+6,2))),"")</f>
        <v/>
      </c>
      <c r="F778" s="8">
        <f>IFERROR(MID(H778,FIND("10",H778,FIND("15",H778,FIND("01",H778)+16)+8)+2,50),"")</f>
        <v/>
      </c>
      <c r="G778" s="8" t="n"/>
      <c r="H778" s="8">
        <f>SUBSTITUTE(SUBSTITUTE(SUBSTITUTE(SUBSTITUTE(A778,"(",""),")","")," ",""),CHAR(29),"")</f>
        <v/>
      </c>
    </row>
    <row r="779">
      <c r="A779" s="4" t="n"/>
      <c r="B779" s="5">
        <f>IFERROR(MID(H779,FIND("01",H779)+2,14),"")</f>
        <v/>
      </c>
      <c r="C779" s="4">
        <f>IF(A779="","",IFERROR(VLOOKUP(B779,TblArticles,2,FALSE),"GTIN inconnu"))</f>
        <v/>
      </c>
      <c r="D779" s="5">
        <f>IF(A779="","",IFERROR(VLOOKUP(B779,TblArticles,3,FALSE),""))</f>
        <v/>
      </c>
      <c r="E779" s="6">
        <f>IFERROR(DATE(2000+VALUE(MID(H779,FIND("15",H779,FIND("01",H779)+16)+2,2)),VALUE(MID(H779,FIND("15",H779,FIND("01",H779)+16)+4,2)),VALUE(MID(H779,FIND("15",H779,FIND("01",H779)+16)+6,2))),"")</f>
        <v/>
      </c>
      <c r="F779" s="5">
        <f>IFERROR(MID(H779,FIND("10",H779,FIND("15",H779,FIND("01",H779)+16)+8)+2,50),"")</f>
        <v/>
      </c>
      <c r="G779" s="5" t="n"/>
      <c r="H779" s="5">
        <f>SUBSTITUTE(SUBSTITUTE(SUBSTITUTE(SUBSTITUTE(A779,"(",""),")","")," ",""),CHAR(29),"")</f>
        <v/>
      </c>
    </row>
    <row r="780">
      <c r="A780" s="7" t="n"/>
      <c r="B780" s="8">
        <f>IFERROR(MID(H780,FIND("01",H780)+2,14),"")</f>
        <v/>
      </c>
      <c r="C780" s="7">
        <f>IF(A780="","",IFERROR(VLOOKUP(B780,TblArticles,2,FALSE),"GTIN inconnu"))</f>
        <v/>
      </c>
      <c r="D780" s="8">
        <f>IF(A780="","",IFERROR(VLOOKUP(B780,TblArticles,3,FALSE),""))</f>
        <v/>
      </c>
      <c r="E780" s="9">
        <f>IFERROR(DATE(2000+VALUE(MID(H780,FIND("15",H780,FIND("01",H780)+16)+2,2)),VALUE(MID(H780,FIND("15",H780,FIND("01",H780)+16)+4,2)),VALUE(MID(H780,FIND("15",H780,FIND("01",H780)+16)+6,2))),"")</f>
        <v/>
      </c>
      <c r="F780" s="8">
        <f>IFERROR(MID(H780,FIND("10",H780,FIND("15",H780,FIND("01",H780)+16)+8)+2,50),"")</f>
        <v/>
      </c>
      <c r="G780" s="8" t="n"/>
      <c r="H780" s="8">
        <f>SUBSTITUTE(SUBSTITUTE(SUBSTITUTE(SUBSTITUTE(A780,"(",""),")","")," ",""),CHAR(29),"")</f>
        <v/>
      </c>
    </row>
    <row r="781">
      <c r="A781" s="4" t="n"/>
      <c r="B781" s="5">
        <f>IFERROR(MID(H781,FIND("01",H781)+2,14),"")</f>
        <v/>
      </c>
      <c r="C781" s="4">
        <f>IF(A781="","",IFERROR(VLOOKUP(B781,TblArticles,2,FALSE),"GTIN inconnu"))</f>
        <v/>
      </c>
      <c r="D781" s="5">
        <f>IF(A781="","",IFERROR(VLOOKUP(B781,TblArticles,3,FALSE),""))</f>
        <v/>
      </c>
      <c r="E781" s="6">
        <f>IFERROR(DATE(2000+VALUE(MID(H781,FIND("15",H781,FIND("01",H781)+16)+2,2)),VALUE(MID(H781,FIND("15",H781,FIND("01",H781)+16)+4,2)),VALUE(MID(H781,FIND("15",H781,FIND("01",H781)+16)+6,2))),"")</f>
        <v/>
      </c>
      <c r="F781" s="5">
        <f>IFERROR(MID(H781,FIND("10",H781,FIND("15",H781,FIND("01",H781)+16)+8)+2,50),"")</f>
        <v/>
      </c>
      <c r="G781" s="5" t="n"/>
      <c r="H781" s="5">
        <f>SUBSTITUTE(SUBSTITUTE(SUBSTITUTE(SUBSTITUTE(A781,"(",""),")","")," ",""),CHAR(29),"")</f>
        <v/>
      </c>
    </row>
    <row r="782">
      <c r="A782" s="7" t="n"/>
      <c r="B782" s="8">
        <f>IFERROR(MID(H782,FIND("01",H782)+2,14),"")</f>
        <v/>
      </c>
      <c r="C782" s="7">
        <f>IF(A782="","",IFERROR(VLOOKUP(B782,TblArticles,2,FALSE),"GTIN inconnu"))</f>
        <v/>
      </c>
      <c r="D782" s="8">
        <f>IF(A782="","",IFERROR(VLOOKUP(B782,TblArticles,3,FALSE),""))</f>
        <v/>
      </c>
      <c r="E782" s="9">
        <f>IFERROR(DATE(2000+VALUE(MID(H782,FIND("15",H782,FIND("01",H782)+16)+2,2)),VALUE(MID(H782,FIND("15",H782,FIND("01",H782)+16)+4,2)),VALUE(MID(H782,FIND("15",H782,FIND("01",H782)+16)+6,2))),"")</f>
        <v/>
      </c>
      <c r="F782" s="8">
        <f>IFERROR(MID(H782,FIND("10",H782,FIND("15",H782,FIND("01",H782)+16)+8)+2,50),"")</f>
        <v/>
      </c>
      <c r="G782" s="8" t="n"/>
      <c r="H782" s="8">
        <f>SUBSTITUTE(SUBSTITUTE(SUBSTITUTE(SUBSTITUTE(A782,"(",""),")","")," ",""),CHAR(29),"")</f>
        <v/>
      </c>
    </row>
    <row r="783">
      <c r="A783" s="4" t="n"/>
      <c r="B783" s="5">
        <f>IFERROR(MID(H783,FIND("01",H783)+2,14),"")</f>
        <v/>
      </c>
      <c r="C783" s="4">
        <f>IF(A783="","",IFERROR(VLOOKUP(B783,TblArticles,2,FALSE),"GTIN inconnu"))</f>
        <v/>
      </c>
      <c r="D783" s="5">
        <f>IF(A783="","",IFERROR(VLOOKUP(B783,TblArticles,3,FALSE),""))</f>
        <v/>
      </c>
      <c r="E783" s="6">
        <f>IFERROR(DATE(2000+VALUE(MID(H783,FIND("15",H783,FIND("01",H783)+16)+2,2)),VALUE(MID(H783,FIND("15",H783,FIND("01",H783)+16)+4,2)),VALUE(MID(H783,FIND("15",H783,FIND("01",H783)+16)+6,2))),"")</f>
        <v/>
      </c>
      <c r="F783" s="5">
        <f>IFERROR(MID(H783,FIND("10",H783,FIND("15",H783,FIND("01",H783)+16)+8)+2,50),"")</f>
        <v/>
      </c>
      <c r="G783" s="5" t="n"/>
      <c r="H783" s="5">
        <f>SUBSTITUTE(SUBSTITUTE(SUBSTITUTE(SUBSTITUTE(A783,"(",""),")","")," ",""),CHAR(29),"")</f>
        <v/>
      </c>
    </row>
    <row r="784">
      <c r="A784" s="7" t="n"/>
      <c r="B784" s="8">
        <f>IFERROR(MID(H784,FIND("01",H784)+2,14),"")</f>
        <v/>
      </c>
      <c r="C784" s="7">
        <f>IF(A784="","",IFERROR(VLOOKUP(B784,TblArticles,2,FALSE),"GTIN inconnu"))</f>
        <v/>
      </c>
      <c r="D784" s="8">
        <f>IF(A784="","",IFERROR(VLOOKUP(B784,TblArticles,3,FALSE),""))</f>
        <v/>
      </c>
      <c r="E784" s="9">
        <f>IFERROR(DATE(2000+VALUE(MID(H784,FIND("15",H784,FIND("01",H784)+16)+2,2)),VALUE(MID(H784,FIND("15",H784,FIND("01",H784)+16)+4,2)),VALUE(MID(H784,FIND("15",H784,FIND("01",H784)+16)+6,2))),"")</f>
        <v/>
      </c>
      <c r="F784" s="8">
        <f>IFERROR(MID(H784,FIND("10",H784,FIND("15",H784,FIND("01",H784)+16)+8)+2,50),"")</f>
        <v/>
      </c>
      <c r="G784" s="8" t="n"/>
      <c r="H784" s="8">
        <f>SUBSTITUTE(SUBSTITUTE(SUBSTITUTE(SUBSTITUTE(A784,"(",""),")","")," ",""),CHAR(29),"")</f>
        <v/>
      </c>
    </row>
    <row r="785">
      <c r="A785" s="4" t="n"/>
      <c r="B785" s="5">
        <f>IFERROR(MID(H785,FIND("01",H785)+2,14),"")</f>
        <v/>
      </c>
      <c r="C785" s="4">
        <f>IF(A785="","",IFERROR(VLOOKUP(B785,TblArticles,2,FALSE),"GTIN inconnu"))</f>
        <v/>
      </c>
      <c r="D785" s="5">
        <f>IF(A785="","",IFERROR(VLOOKUP(B785,TblArticles,3,FALSE),""))</f>
        <v/>
      </c>
      <c r="E785" s="6">
        <f>IFERROR(DATE(2000+VALUE(MID(H785,FIND("15",H785,FIND("01",H785)+16)+2,2)),VALUE(MID(H785,FIND("15",H785,FIND("01",H785)+16)+4,2)),VALUE(MID(H785,FIND("15",H785,FIND("01",H785)+16)+6,2))),"")</f>
        <v/>
      </c>
      <c r="F785" s="5">
        <f>IFERROR(MID(H785,FIND("10",H785,FIND("15",H785,FIND("01",H785)+16)+8)+2,50),"")</f>
        <v/>
      </c>
      <c r="G785" s="5" t="n"/>
      <c r="H785" s="5">
        <f>SUBSTITUTE(SUBSTITUTE(SUBSTITUTE(SUBSTITUTE(A785,"(",""),")","")," ",""),CHAR(29),"")</f>
        <v/>
      </c>
    </row>
    <row r="786">
      <c r="A786" s="7" t="n"/>
      <c r="B786" s="8">
        <f>IFERROR(MID(H786,FIND("01",H786)+2,14),"")</f>
        <v/>
      </c>
      <c r="C786" s="7">
        <f>IF(A786="","",IFERROR(VLOOKUP(B786,TblArticles,2,FALSE),"GTIN inconnu"))</f>
        <v/>
      </c>
      <c r="D786" s="8">
        <f>IF(A786="","",IFERROR(VLOOKUP(B786,TblArticles,3,FALSE),""))</f>
        <v/>
      </c>
      <c r="E786" s="9">
        <f>IFERROR(DATE(2000+VALUE(MID(H786,FIND("15",H786,FIND("01",H786)+16)+2,2)),VALUE(MID(H786,FIND("15",H786,FIND("01",H786)+16)+4,2)),VALUE(MID(H786,FIND("15",H786,FIND("01",H786)+16)+6,2))),"")</f>
        <v/>
      </c>
      <c r="F786" s="8">
        <f>IFERROR(MID(H786,FIND("10",H786,FIND("15",H786,FIND("01",H786)+16)+8)+2,50),"")</f>
        <v/>
      </c>
      <c r="G786" s="8" t="n"/>
      <c r="H786" s="8">
        <f>SUBSTITUTE(SUBSTITUTE(SUBSTITUTE(SUBSTITUTE(A786,"(",""),")","")," ",""),CHAR(29),"")</f>
        <v/>
      </c>
    </row>
    <row r="787">
      <c r="A787" s="4" t="n"/>
      <c r="B787" s="5">
        <f>IFERROR(MID(H787,FIND("01",H787)+2,14),"")</f>
        <v/>
      </c>
      <c r="C787" s="4">
        <f>IF(A787="","",IFERROR(VLOOKUP(B787,TblArticles,2,FALSE),"GTIN inconnu"))</f>
        <v/>
      </c>
      <c r="D787" s="5">
        <f>IF(A787="","",IFERROR(VLOOKUP(B787,TblArticles,3,FALSE),""))</f>
        <v/>
      </c>
      <c r="E787" s="6">
        <f>IFERROR(DATE(2000+VALUE(MID(H787,FIND("15",H787,FIND("01",H787)+16)+2,2)),VALUE(MID(H787,FIND("15",H787,FIND("01",H787)+16)+4,2)),VALUE(MID(H787,FIND("15",H787,FIND("01",H787)+16)+6,2))),"")</f>
        <v/>
      </c>
      <c r="F787" s="5">
        <f>IFERROR(MID(H787,FIND("10",H787,FIND("15",H787,FIND("01",H787)+16)+8)+2,50),"")</f>
        <v/>
      </c>
      <c r="G787" s="5" t="n"/>
      <c r="H787" s="5">
        <f>SUBSTITUTE(SUBSTITUTE(SUBSTITUTE(SUBSTITUTE(A787,"(",""),")","")," ",""),CHAR(29),"")</f>
        <v/>
      </c>
    </row>
    <row r="788">
      <c r="A788" s="7" t="n"/>
      <c r="B788" s="8">
        <f>IFERROR(MID(H788,FIND("01",H788)+2,14),"")</f>
        <v/>
      </c>
      <c r="C788" s="7">
        <f>IF(A788="","",IFERROR(VLOOKUP(B788,TblArticles,2,FALSE),"GTIN inconnu"))</f>
        <v/>
      </c>
      <c r="D788" s="8">
        <f>IF(A788="","",IFERROR(VLOOKUP(B788,TblArticles,3,FALSE),""))</f>
        <v/>
      </c>
      <c r="E788" s="9">
        <f>IFERROR(DATE(2000+VALUE(MID(H788,FIND("15",H788,FIND("01",H788)+16)+2,2)),VALUE(MID(H788,FIND("15",H788,FIND("01",H788)+16)+4,2)),VALUE(MID(H788,FIND("15",H788,FIND("01",H788)+16)+6,2))),"")</f>
        <v/>
      </c>
      <c r="F788" s="8">
        <f>IFERROR(MID(H788,FIND("10",H788,FIND("15",H788,FIND("01",H788)+16)+8)+2,50),"")</f>
        <v/>
      </c>
      <c r="G788" s="8" t="n"/>
      <c r="H788" s="8">
        <f>SUBSTITUTE(SUBSTITUTE(SUBSTITUTE(SUBSTITUTE(A788,"(",""),")","")," ",""),CHAR(29),"")</f>
        <v/>
      </c>
    </row>
    <row r="789">
      <c r="A789" s="4" t="n"/>
      <c r="B789" s="5">
        <f>IFERROR(MID(H789,FIND("01",H789)+2,14),"")</f>
        <v/>
      </c>
      <c r="C789" s="4">
        <f>IF(A789="","",IFERROR(VLOOKUP(B789,TblArticles,2,FALSE),"GTIN inconnu"))</f>
        <v/>
      </c>
      <c r="D789" s="5">
        <f>IF(A789="","",IFERROR(VLOOKUP(B789,TblArticles,3,FALSE),""))</f>
        <v/>
      </c>
      <c r="E789" s="6">
        <f>IFERROR(DATE(2000+VALUE(MID(H789,FIND("15",H789,FIND("01",H789)+16)+2,2)),VALUE(MID(H789,FIND("15",H789,FIND("01",H789)+16)+4,2)),VALUE(MID(H789,FIND("15",H789,FIND("01",H789)+16)+6,2))),"")</f>
        <v/>
      </c>
      <c r="F789" s="5">
        <f>IFERROR(MID(H789,FIND("10",H789,FIND("15",H789,FIND("01",H789)+16)+8)+2,50),"")</f>
        <v/>
      </c>
      <c r="G789" s="5" t="n"/>
      <c r="H789" s="5">
        <f>SUBSTITUTE(SUBSTITUTE(SUBSTITUTE(SUBSTITUTE(A789,"(",""),")","")," ",""),CHAR(29),"")</f>
        <v/>
      </c>
    </row>
    <row r="790">
      <c r="A790" s="7" t="n"/>
      <c r="B790" s="8">
        <f>IFERROR(MID(H790,FIND("01",H790)+2,14),"")</f>
        <v/>
      </c>
      <c r="C790" s="7">
        <f>IF(A790="","",IFERROR(VLOOKUP(B790,TblArticles,2,FALSE),"GTIN inconnu"))</f>
        <v/>
      </c>
      <c r="D790" s="8">
        <f>IF(A790="","",IFERROR(VLOOKUP(B790,TblArticles,3,FALSE),""))</f>
        <v/>
      </c>
      <c r="E790" s="9">
        <f>IFERROR(DATE(2000+VALUE(MID(H790,FIND("15",H790,FIND("01",H790)+16)+2,2)),VALUE(MID(H790,FIND("15",H790,FIND("01",H790)+16)+4,2)),VALUE(MID(H790,FIND("15",H790,FIND("01",H790)+16)+6,2))),"")</f>
        <v/>
      </c>
      <c r="F790" s="8">
        <f>IFERROR(MID(H790,FIND("10",H790,FIND("15",H790,FIND("01",H790)+16)+8)+2,50),"")</f>
        <v/>
      </c>
      <c r="G790" s="8" t="n"/>
      <c r="H790" s="8">
        <f>SUBSTITUTE(SUBSTITUTE(SUBSTITUTE(SUBSTITUTE(A790,"(",""),")","")," ",""),CHAR(29),"")</f>
        <v/>
      </c>
    </row>
    <row r="791">
      <c r="A791" s="4" t="n"/>
      <c r="B791" s="5">
        <f>IFERROR(MID(H791,FIND("01",H791)+2,14),"")</f>
        <v/>
      </c>
      <c r="C791" s="4">
        <f>IF(A791="","",IFERROR(VLOOKUP(B791,TblArticles,2,FALSE),"GTIN inconnu"))</f>
        <v/>
      </c>
      <c r="D791" s="5">
        <f>IF(A791="","",IFERROR(VLOOKUP(B791,TblArticles,3,FALSE),""))</f>
        <v/>
      </c>
      <c r="E791" s="6">
        <f>IFERROR(DATE(2000+VALUE(MID(H791,FIND("15",H791,FIND("01",H791)+16)+2,2)),VALUE(MID(H791,FIND("15",H791,FIND("01",H791)+16)+4,2)),VALUE(MID(H791,FIND("15",H791,FIND("01",H791)+16)+6,2))),"")</f>
        <v/>
      </c>
      <c r="F791" s="5">
        <f>IFERROR(MID(H791,FIND("10",H791,FIND("15",H791,FIND("01",H791)+16)+8)+2,50),"")</f>
        <v/>
      </c>
      <c r="G791" s="5" t="n"/>
      <c r="H791" s="5">
        <f>SUBSTITUTE(SUBSTITUTE(SUBSTITUTE(SUBSTITUTE(A791,"(",""),")","")," ",""),CHAR(29),"")</f>
        <v/>
      </c>
    </row>
    <row r="792">
      <c r="A792" s="7" t="n"/>
      <c r="B792" s="8">
        <f>IFERROR(MID(H792,FIND("01",H792)+2,14),"")</f>
        <v/>
      </c>
      <c r="C792" s="7">
        <f>IF(A792="","",IFERROR(VLOOKUP(B792,TblArticles,2,FALSE),"GTIN inconnu"))</f>
        <v/>
      </c>
      <c r="D792" s="8">
        <f>IF(A792="","",IFERROR(VLOOKUP(B792,TblArticles,3,FALSE),""))</f>
        <v/>
      </c>
      <c r="E792" s="9">
        <f>IFERROR(DATE(2000+VALUE(MID(H792,FIND("15",H792,FIND("01",H792)+16)+2,2)),VALUE(MID(H792,FIND("15",H792,FIND("01",H792)+16)+4,2)),VALUE(MID(H792,FIND("15",H792,FIND("01",H792)+16)+6,2))),"")</f>
        <v/>
      </c>
      <c r="F792" s="8">
        <f>IFERROR(MID(H792,FIND("10",H792,FIND("15",H792,FIND("01",H792)+16)+8)+2,50),"")</f>
        <v/>
      </c>
      <c r="G792" s="8" t="n"/>
      <c r="H792" s="8">
        <f>SUBSTITUTE(SUBSTITUTE(SUBSTITUTE(SUBSTITUTE(A792,"(",""),")","")," ",""),CHAR(29),"")</f>
        <v/>
      </c>
    </row>
    <row r="793">
      <c r="A793" s="4" t="n"/>
      <c r="B793" s="5">
        <f>IFERROR(MID(H793,FIND("01",H793)+2,14),"")</f>
        <v/>
      </c>
      <c r="C793" s="4">
        <f>IF(A793="","",IFERROR(VLOOKUP(B793,TblArticles,2,FALSE),"GTIN inconnu"))</f>
        <v/>
      </c>
      <c r="D793" s="5">
        <f>IF(A793="","",IFERROR(VLOOKUP(B793,TblArticles,3,FALSE),""))</f>
        <v/>
      </c>
      <c r="E793" s="6">
        <f>IFERROR(DATE(2000+VALUE(MID(H793,FIND("15",H793,FIND("01",H793)+16)+2,2)),VALUE(MID(H793,FIND("15",H793,FIND("01",H793)+16)+4,2)),VALUE(MID(H793,FIND("15",H793,FIND("01",H793)+16)+6,2))),"")</f>
        <v/>
      </c>
      <c r="F793" s="5">
        <f>IFERROR(MID(H793,FIND("10",H793,FIND("15",H793,FIND("01",H793)+16)+8)+2,50),"")</f>
        <v/>
      </c>
      <c r="G793" s="5" t="n"/>
      <c r="H793" s="5">
        <f>SUBSTITUTE(SUBSTITUTE(SUBSTITUTE(SUBSTITUTE(A793,"(",""),")","")," ",""),CHAR(29),"")</f>
        <v/>
      </c>
    </row>
    <row r="794">
      <c r="A794" s="7" t="n"/>
      <c r="B794" s="8">
        <f>IFERROR(MID(H794,FIND("01",H794)+2,14),"")</f>
        <v/>
      </c>
      <c r="C794" s="7">
        <f>IF(A794="","",IFERROR(VLOOKUP(B794,TblArticles,2,FALSE),"GTIN inconnu"))</f>
        <v/>
      </c>
      <c r="D794" s="8">
        <f>IF(A794="","",IFERROR(VLOOKUP(B794,TblArticles,3,FALSE),""))</f>
        <v/>
      </c>
      <c r="E794" s="9">
        <f>IFERROR(DATE(2000+VALUE(MID(H794,FIND("15",H794,FIND("01",H794)+16)+2,2)),VALUE(MID(H794,FIND("15",H794,FIND("01",H794)+16)+4,2)),VALUE(MID(H794,FIND("15",H794,FIND("01",H794)+16)+6,2))),"")</f>
        <v/>
      </c>
      <c r="F794" s="8">
        <f>IFERROR(MID(H794,FIND("10",H794,FIND("15",H794,FIND("01",H794)+16)+8)+2,50),"")</f>
        <v/>
      </c>
      <c r="G794" s="8" t="n"/>
      <c r="H794" s="8">
        <f>SUBSTITUTE(SUBSTITUTE(SUBSTITUTE(SUBSTITUTE(A794,"(",""),")","")," ",""),CHAR(29),"")</f>
        <v/>
      </c>
    </row>
    <row r="795">
      <c r="A795" s="4" t="n"/>
      <c r="B795" s="5">
        <f>IFERROR(MID(H795,FIND("01",H795)+2,14),"")</f>
        <v/>
      </c>
      <c r="C795" s="4">
        <f>IF(A795="","",IFERROR(VLOOKUP(B795,TblArticles,2,FALSE),"GTIN inconnu"))</f>
        <v/>
      </c>
      <c r="D795" s="5">
        <f>IF(A795="","",IFERROR(VLOOKUP(B795,TblArticles,3,FALSE),""))</f>
        <v/>
      </c>
      <c r="E795" s="6">
        <f>IFERROR(DATE(2000+VALUE(MID(H795,FIND("15",H795,FIND("01",H795)+16)+2,2)),VALUE(MID(H795,FIND("15",H795,FIND("01",H795)+16)+4,2)),VALUE(MID(H795,FIND("15",H795,FIND("01",H795)+16)+6,2))),"")</f>
        <v/>
      </c>
      <c r="F795" s="5">
        <f>IFERROR(MID(H795,FIND("10",H795,FIND("15",H795,FIND("01",H795)+16)+8)+2,50),"")</f>
        <v/>
      </c>
      <c r="G795" s="5" t="n"/>
      <c r="H795" s="5">
        <f>SUBSTITUTE(SUBSTITUTE(SUBSTITUTE(SUBSTITUTE(A795,"(",""),")","")," ",""),CHAR(29),"")</f>
        <v/>
      </c>
    </row>
    <row r="796">
      <c r="A796" s="7" t="n"/>
      <c r="B796" s="8">
        <f>IFERROR(MID(H796,FIND("01",H796)+2,14),"")</f>
        <v/>
      </c>
      <c r="C796" s="7">
        <f>IF(A796="","",IFERROR(VLOOKUP(B796,TblArticles,2,FALSE),"GTIN inconnu"))</f>
        <v/>
      </c>
      <c r="D796" s="8">
        <f>IF(A796="","",IFERROR(VLOOKUP(B796,TblArticles,3,FALSE),""))</f>
        <v/>
      </c>
      <c r="E796" s="9">
        <f>IFERROR(DATE(2000+VALUE(MID(H796,FIND("15",H796,FIND("01",H796)+16)+2,2)),VALUE(MID(H796,FIND("15",H796,FIND("01",H796)+16)+4,2)),VALUE(MID(H796,FIND("15",H796,FIND("01",H796)+16)+6,2))),"")</f>
        <v/>
      </c>
      <c r="F796" s="8">
        <f>IFERROR(MID(H796,FIND("10",H796,FIND("15",H796,FIND("01",H796)+16)+8)+2,50),"")</f>
        <v/>
      </c>
      <c r="G796" s="8" t="n"/>
      <c r="H796" s="8">
        <f>SUBSTITUTE(SUBSTITUTE(SUBSTITUTE(SUBSTITUTE(A796,"(",""),")","")," ",""),CHAR(29),"")</f>
        <v/>
      </c>
    </row>
    <row r="797">
      <c r="A797" s="4" t="n"/>
      <c r="B797" s="5">
        <f>IFERROR(MID(H797,FIND("01",H797)+2,14),"")</f>
        <v/>
      </c>
      <c r="C797" s="4">
        <f>IF(A797="","",IFERROR(VLOOKUP(B797,TblArticles,2,FALSE),"GTIN inconnu"))</f>
        <v/>
      </c>
      <c r="D797" s="5">
        <f>IF(A797="","",IFERROR(VLOOKUP(B797,TblArticles,3,FALSE),""))</f>
        <v/>
      </c>
      <c r="E797" s="6">
        <f>IFERROR(DATE(2000+VALUE(MID(H797,FIND("15",H797,FIND("01",H797)+16)+2,2)),VALUE(MID(H797,FIND("15",H797,FIND("01",H797)+16)+4,2)),VALUE(MID(H797,FIND("15",H797,FIND("01",H797)+16)+6,2))),"")</f>
        <v/>
      </c>
      <c r="F797" s="5">
        <f>IFERROR(MID(H797,FIND("10",H797,FIND("15",H797,FIND("01",H797)+16)+8)+2,50),"")</f>
        <v/>
      </c>
      <c r="G797" s="5" t="n"/>
      <c r="H797" s="5">
        <f>SUBSTITUTE(SUBSTITUTE(SUBSTITUTE(SUBSTITUTE(A797,"(",""),")","")," ",""),CHAR(29),"")</f>
        <v/>
      </c>
    </row>
    <row r="798">
      <c r="A798" s="7" t="n"/>
      <c r="B798" s="8">
        <f>IFERROR(MID(H798,FIND("01",H798)+2,14),"")</f>
        <v/>
      </c>
      <c r="C798" s="7">
        <f>IF(A798="","",IFERROR(VLOOKUP(B798,TblArticles,2,FALSE),"GTIN inconnu"))</f>
        <v/>
      </c>
      <c r="D798" s="8">
        <f>IF(A798="","",IFERROR(VLOOKUP(B798,TblArticles,3,FALSE),""))</f>
        <v/>
      </c>
      <c r="E798" s="9">
        <f>IFERROR(DATE(2000+VALUE(MID(H798,FIND("15",H798,FIND("01",H798)+16)+2,2)),VALUE(MID(H798,FIND("15",H798,FIND("01",H798)+16)+4,2)),VALUE(MID(H798,FIND("15",H798,FIND("01",H798)+16)+6,2))),"")</f>
        <v/>
      </c>
      <c r="F798" s="8">
        <f>IFERROR(MID(H798,FIND("10",H798,FIND("15",H798,FIND("01",H798)+16)+8)+2,50),"")</f>
        <v/>
      </c>
      <c r="G798" s="8" t="n"/>
      <c r="H798" s="8">
        <f>SUBSTITUTE(SUBSTITUTE(SUBSTITUTE(SUBSTITUTE(A798,"(",""),")","")," ",""),CHAR(29),"")</f>
        <v/>
      </c>
    </row>
    <row r="799">
      <c r="A799" s="4" t="n"/>
      <c r="B799" s="5">
        <f>IFERROR(MID(H799,FIND("01",H799)+2,14),"")</f>
        <v/>
      </c>
      <c r="C799" s="4">
        <f>IF(A799="","",IFERROR(VLOOKUP(B799,TblArticles,2,FALSE),"GTIN inconnu"))</f>
        <v/>
      </c>
      <c r="D799" s="5">
        <f>IF(A799="","",IFERROR(VLOOKUP(B799,TblArticles,3,FALSE),""))</f>
        <v/>
      </c>
      <c r="E799" s="6">
        <f>IFERROR(DATE(2000+VALUE(MID(H799,FIND("15",H799,FIND("01",H799)+16)+2,2)),VALUE(MID(H799,FIND("15",H799,FIND("01",H799)+16)+4,2)),VALUE(MID(H799,FIND("15",H799,FIND("01",H799)+16)+6,2))),"")</f>
        <v/>
      </c>
      <c r="F799" s="5">
        <f>IFERROR(MID(H799,FIND("10",H799,FIND("15",H799,FIND("01",H799)+16)+8)+2,50),"")</f>
        <v/>
      </c>
      <c r="G799" s="5" t="n"/>
      <c r="H799" s="5">
        <f>SUBSTITUTE(SUBSTITUTE(SUBSTITUTE(SUBSTITUTE(A799,"(",""),")","")," ",""),CHAR(29),"")</f>
        <v/>
      </c>
    </row>
    <row r="800">
      <c r="A800" s="7" t="n"/>
      <c r="B800" s="8">
        <f>IFERROR(MID(H800,FIND("01",H800)+2,14),"")</f>
        <v/>
      </c>
      <c r="C800" s="7">
        <f>IF(A800="","",IFERROR(VLOOKUP(B800,TblArticles,2,FALSE),"GTIN inconnu"))</f>
        <v/>
      </c>
      <c r="D800" s="8">
        <f>IF(A800="","",IFERROR(VLOOKUP(B800,TblArticles,3,FALSE),""))</f>
        <v/>
      </c>
      <c r="E800" s="9">
        <f>IFERROR(DATE(2000+VALUE(MID(H800,FIND("15",H800,FIND("01",H800)+16)+2,2)),VALUE(MID(H800,FIND("15",H800,FIND("01",H800)+16)+4,2)),VALUE(MID(H800,FIND("15",H800,FIND("01",H800)+16)+6,2))),"")</f>
        <v/>
      </c>
      <c r="F800" s="8">
        <f>IFERROR(MID(H800,FIND("10",H800,FIND("15",H800,FIND("01",H800)+16)+8)+2,50),"")</f>
        <v/>
      </c>
      <c r="G800" s="8" t="n"/>
      <c r="H800" s="8">
        <f>SUBSTITUTE(SUBSTITUTE(SUBSTITUTE(SUBSTITUTE(A800,"(",""),")","")," ",""),CHAR(29),"")</f>
        <v/>
      </c>
    </row>
    <row r="801">
      <c r="A801" s="4" t="n"/>
      <c r="B801" s="5">
        <f>IFERROR(MID(H801,FIND("01",H801)+2,14),"")</f>
        <v/>
      </c>
      <c r="C801" s="4">
        <f>IF(A801="","",IFERROR(VLOOKUP(B801,TblArticles,2,FALSE),"GTIN inconnu"))</f>
        <v/>
      </c>
      <c r="D801" s="5">
        <f>IF(A801="","",IFERROR(VLOOKUP(B801,TblArticles,3,FALSE),""))</f>
        <v/>
      </c>
      <c r="E801" s="6">
        <f>IFERROR(DATE(2000+VALUE(MID(H801,FIND("15",H801,FIND("01",H801)+16)+2,2)),VALUE(MID(H801,FIND("15",H801,FIND("01",H801)+16)+4,2)),VALUE(MID(H801,FIND("15",H801,FIND("01",H801)+16)+6,2))),"")</f>
        <v/>
      </c>
      <c r="F801" s="5">
        <f>IFERROR(MID(H801,FIND("10",H801,FIND("15",H801,FIND("01",H801)+16)+8)+2,50),"")</f>
        <v/>
      </c>
      <c r="G801" s="5" t="n"/>
      <c r="H801" s="5">
        <f>SUBSTITUTE(SUBSTITUTE(SUBSTITUTE(SUBSTITUTE(A801,"(",""),")","")," ",""),CHAR(29),"")</f>
        <v/>
      </c>
    </row>
    <row r="802">
      <c r="A802" s="7" t="n"/>
      <c r="B802" s="8">
        <f>IFERROR(MID(H802,FIND("01",H802)+2,14),"")</f>
        <v/>
      </c>
      <c r="C802" s="7">
        <f>IF(A802="","",IFERROR(VLOOKUP(B802,TblArticles,2,FALSE),"GTIN inconnu"))</f>
        <v/>
      </c>
      <c r="D802" s="8">
        <f>IF(A802="","",IFERROR(VLOOKUP(B802,TblArticles,3,FALSE),""))</f>
        <v/>
      </c>
      <c r="E802" s="9">
        <f>IFERROR(DATE(2000+VALUE(MID(H802,FIND("15",H802,FIND("01",H802)+16)+2,2)),VALUE(MID(H802,FIND("15",H802,FIND("01",H802)+16)+4,2)),VALUE(MID(H802,FIND("15",H802,FIND("01",H802)+16)+6,2))),"")</f>
        <v/>
      </c>
      <c r="F802" s="8">
        <f>IFERROR(MID(H802,FIND("10",H802,FIND("15",H802,FIND("01",H802)+16)+8)+2,50),"")</f>
        <v/>
      </c>
      <c r="G802" s="8" t="n"/>
      <c r="H802" s="8">
        <f>SUBSTITUTE(SUBSTITUTE(SUBSTITUTE(SUBSTITUTE(A802,"(",""),")","")," ",""),CHAR(29),"")</f>
        <v/>
      </c>
    </row>
    <row r="803">
      <c r="A803" s="4" t="n"/>
      <c r="B803" s="5">
        <f>IFERROR(MID(H803,FIND("01",H803)+2,14),"")</f>
        <v/>
      </c>
      <c r="C803" s="4">
        <f>IF(A803="","",IFERROR(VLOOKUP(B803,TblArticles,2,FALSE),"GTIN inconnu"))</f>
        <v/>
      </c>
      <c r="D803" s="5">
        <f>IF(A803="","",IFERROR(VLOOKUP(B803,TblArticles,3,FALSE),""))</f>
        <v/>
      </c>
      <c r="E803" s="6">
        <f>IFERROR(DATE(2000+VALUE(MID(H803,FIND("15",H803,FIND("01",H803)+16)+2,2)),VALUE(MID(H803,FIND("15",H803,FIND("01",H803)+16)+4,2)),VALUE(MID(H803,FIND("15",H803,FIND("01",H803)+16)+6,2))),"")</f>
        <v/>
      </c>
      <c r="F803" s="5">
        <f>IFERROR(MID(H803,FIND("10",H803,FIND("15",H803,FIND("01",H803)+16)+8)+2,50),"")</f>
        <v/>
      </c>
      <c r="G803" s="5" t="n"/>
      <c r="H803" s="5">
        <f>SUBSTITUTE(SUBSTITUTE(SUBSTITUTE(SUBSTITUTE(A803,"(",""),")","")," ",""),CHAR(29),"")</f>
        <v/>
      </c>
    </row>
    <row r="804">
      <c r="A804" s="7" t="n"/>
      <c r="B804" s="8">
        <f>IFERROR(MID(H804,FIND("01",H804)+2,14),"")</f>
        <v/>
      </c>
      <c r="C804" s="7">
        <f>IF(A804="","",IFERROR(VLOOKUP(B804,TblArticles,2,FALSE),"GTIN inconnu"))</f>
        <v/>
      </c>
      <c r="D804" s="8">
        <f>IF(A804="","",IFERROR(VLOOKUP(B804,TblArticles,3,FALSE),""))</f>
        <v/>
      </c>
      <c r="E804" s="9">
        <f>IFERROR(DATE(2000+VALUE(MID(H804,FIND("15",H804,FIND("01",H804)+16)+2,2)),VALUE(MID(H804,FIND("15",H804,FIND("01",H804)+16)+4,2)),VALUE(MID(H804,FIND("15",H804,FIND("01",H804)+16)+6,2))),"")</f>
        <v/>
      </c>
      <c r="F804" s="8">
        <f>IFERROR(MID(H804,FIND("10",H804,FIND("15",H804,FIND("01",H804)+16)+8)+2,50),"")</f>
        <v/>
      </c>
      <c r="G804" s="8" t="n"/>
      <c r="H804" s="8">
        <f>SUBSTITUTE(SUBSTITUTE(SUBSTITUTE(SUBSTITUTE(A804,"(",""),")","")," ",""),CHAR(29),"")</f>
        <v/>
      </c>
    </row>
    <row r="805">
      <c r="A805" s="4" t="n"/>
      <c r="B805" s="5">
        <f>IFERROR(MID(H805,FIND("01",H805)+2,14),"")</f>
        <v/>
      </c>
      <c r="C805" s="4">
        <f>IF(A805="","",IFERROR(VLOOKUP(B805,TblArticles,2,FALSE),"GTIN inconnu"))</f>
        <v/>
      </c>
      <c r="D805" s="5">
        <f>IF(A805="","",IFERROR(VLOOKUP(B805,TblArticles,3,FALSE),""))</f>
        <v/>
      </c>
      <c r="E805" s="6">
        <f>IFERROR(DATE(2000+VALUE(MID(H805,FIND("15",H805,FIND("01",H805)+16)+2,2)),VALUE(MID(H805,FIND("15",H805,FIND("01",H805)+16)+4,2)),VALUE(MID(H805,FIND("15",H805,FIND("01",H805)+16)+6,2))),"")</f>
        <v/>
      </c>
      <c r="F805" s="5">
        <f>IFERROR(MID(H805,FIND("10",H805,FIND("15",H805,FIND("01",H805)+16)+8)+2,50),"")</f>
        <v/>
      </c>
      <c r="G805" s="5" t="n"/>
      <c r="H805" s="5">
        <f>SUBSTITUTE(SUBSTITUTE(SUBSTITUTE(SUBSTITUTE(A805,"(",""),")","")," ",""),CHAR(29),"")</f>
        <v/>
      </c>
    </row>
    <row r="806">
      <c r="A806" s="7" t="n"/>
      <c r="B806" s="8">
        <f>IFERROR(MID(H806,FIND("01",H806)+2,14),"")</f>
        <v/>
      </c>
      <c r="C806" s="7">
        <f>IF(A806="","",IFERROR(VLOOKUP(B806,TblArticles,2,FALSE),"GTIN inconnu"))</f>
        <v/>
      </c>
      <c r="D806" s="8">
        <f>IF(A806="","",IFERROR(VLOOKUP(B806,TblArticles,3,FALSE),""))</f>
        <v/>
      </c>
      <c r="E806" s="9">
        <f>IFERROR(DATE(2000+VALUE(MID(H806,FIND("15",H806,FIND("01",H806)+16)+2,2)),VALUE(MID(H806,FIND("15",H806,FIND("01",H806)+16)+4,2)),VALUE(MID(H806,FIND("15",H806,FIND("01",H806)+16)+6,2))),"")</f>
        <v/>
      </c>
      <c r="F806" s="8">
        <f>IFERROR(MID(H806,FIND("10",H806,FIND("15",H806,FIND("01",H806)+16)+8)+2,50),"")</f>
        <v/>
      </c>
      <c r="G806" s="8" t="n"/>
      <c r="H806" s="8">
        <f>SUBSTITUTE(SUBSTITUTE(SUBSTITUTE(SUBSTITUTE(A806,"(",""),")","")," ",""),CHAR(29),"")</f>
        <v/>
      </c>
    </row>
    <row r="807">
      <c r="A807" s="4" t="n"/>
      <c r="B807" s="5">
        <f>IFERROR(MID(H807,FIND("01",H807)+2,14),"")</f>
        <v/>
      </c>
      <c r="C807" s="4">
        <f>IF(A807="","",IFERROR(VLOOKUP(B807,TblArticles,2,FALSE),"GTIN inconnu"))</f>
        <v/>
      </c>
      <c r="D807" s="5">
        <f>IF(A807="","",IFERROR(VLOOKUP(B807,TblArticles,3,FALSE),""))</f>
        <v/>
      </c>
      <c r="E807" s="6">
        <f>IFERROR(DATE(2000+VALUE(MID(H807,FIND("15",H807,FIND("01",H807)+16)+2,2)),VALUE(MID(H807,FIND("15",H807,FIND("01",H807)+16)+4,2)),VALUE(MID(H807,FIND("15",H807,FIND("01",H807)+16)+6,2))),"")</f>
        <v/>
      </c>
      <c r="F807" s="5">
        <f>IFERROR(MID(H807,FIND("10",H807,FIND("15",H807,FIND("01",H807)+16)+8)+2,50),"")</f>
        <v/>
      </c>
      <c r="G807" s="5" t="n"/>
      <c r="H807" s="5">
        <f>SUBSTITUTE(SUBSTITUTE(SUBSTITUTE(SUBSTITUTE(A807,"(",""),")","")," ",""),CHAR(29),"")</f>
        <v/>
      </c>
    </row>
    <row r="808">
      <c r="A808" s="7" t="n"/>
      <c r="B808" s="8">
        <f>IFERROR(MID(H808,FIND("01",H808)+2,14),"")</f>
        <v/>
      </c>
      <c r="C808" s="7">
        <f>IF(A808="","",IFERROR(VLOOKUP(B808,TblArticles,2,FALSE),"GTIN inconnu"))</f>
        <v/>
      </c>
      <c r="D808" s="8">
        <f>IF(A808="","",IFERROR(VLOOKUP(B808,TblArticles,3,FALSE),""))</f>
        <v/>
      </c>
      <c r="E808" s="9">
        <f>IFERROR(DATE(2000+VALUE(MID(H808,FIND("15",H808,FIND("01",H808)+16)+2,2)),VALUE(MID(H808,FIND("15",H808,FIND("01",H808)+16)+4,2)),VALUE(MID(H808,FIND("15",H808,FIND("01",H808)+16)+6,2))),"")</f>
        <v/>
      </c>
      <c r="F808" s="8">
        <f>IFERROR(MID(H808,FIND("10",H808,FIND("15",H808,FIND("01",H808)+16)+8)+2,50),"")</f>
        <v/>
      </c>
      <c r="G808" s="8" t="n"/>
      <c r="H808" s="8">
        <f>SUBSTITUTE(SUBSTITUTE(SUBSTITUTE(SUBSTITUTE(A808,"(",""),")","")," ",""),CHAR(29),"")</f>
        <v/>
      </c>
    </row>
    <row r="809">
      <c r="A809" s="4" t="n"/>
      <c r="B809" s="5">
        <f>IFERROR(MID(H809,FIND("01",H809)+2,14),"")</f>
        <v/>
      </c>
      <c r="C809" s="4">
        <f>IF(A809="","",IFERROR(VLOOKUP(B809,TblArticles,2,FALSE),"GTIN inconnu"))</f>
        <v/>
      </c>
      <c r="D809" s="5">
        <f>IF(A809="","",IFERROR(VLOOKUP(B809,TblArticles,3,FALSE),""))</f>
        <v/>
      </c>
      <c r="E809" s="6">
        <f>IFERROR(DATE(2000+VALUE(MID(H809,FIND("15",H809,FIND("01",H809)+16)+2,2)),VALUE(MID(H809,FIND("15",H809,FIND("01",H809)+16)+4,2)),VALUE(MID(H809,FIND("15",H809,FIND("01",H809)+16)+6,2))),"")</f>
        <v/>
      </c>
      <c r="F809" s="5">
        <f>IFERROR(MID(H809,FIND("10",H809,FIND("15",H809,FIND("01",H809)+16)+8)+2,50),"")</f>
        <v/>
      </c>
      <c r="G809" s="5" t="n"/>
      <c r="H809" s="5">
        <f>SUBSTITUTE(SUBSTITUTE(SUBSTITUTE(SUBSTITUTE(A809,"(",""),")","")," ",""),CHAR(29),"")</f>
        <v/>
      </c>
    </row>
    <row r="810">
      <c r="A810" s="7" t="n"/>
      <c r="B810" s="8">
        <f>IFERROR(MID(H810,FIND("01",H810)+2,14),"")</f>
        <v/>
      </c>
      <c r="C810" s="7">
        <f>IF(A810="","",IFERROR(VLOOKUP(B810,TblArticles,2,FALSE),"GTIN inconnu"))</f>
        <v/>
      </c>
      <c r="D810" s="8">
        <f>IF(A810="","",IFERROR(VLOOKUP(B810,TblArticles,3,FALSE),""))</f>
        <v/>
      </c>
      <c r="E810" s="9">
        <f>IFERROR(DATE(2000+VALUE(MID(H810,FIND("15",H810,FIND("01",H810)+16)+2,2)),VALUE(MID(H810,FIND("15",H810,FIND("01",H810)+16)+4,2)),VALUE(MID(H810,FIND("15",H810,FIND("01",H810)+16)+6,2))),"")</f>
        <v/>
      </c>
      <c r="F810" s="8">
        <f>IFERROR(MID(H810,FIND("10",H810,FIND("15",H810,FIND("01",H810)+16)+8)+2,50),"")</f>
        <v/>
      </c>
      <c r="G810" s="8" t="n"/>
      <c r="H810" s="8">
        <f>SUBSTITUTE(SUBSTITUTE(SUBSTITUTE(SUBSTITUTE(A810,"(",""),")","")," ",""),CHAR(29),"")</f>
        <v/>
      </c>
    </row>
    <row r="811">
      <c r="A811" s="4" t="n"/>
      <c r="B811" s="5">
        <f>IFERROR(MID(H811,FIND("01",H811)+2,14),"")</f>
        <v/>
      </c>
      <c r="C811" s="4">
        <f>IF(A811="","",IFERROR(VLOOKUP(B811,TblArticles,2,FALSE),"GTIN inconnu"))</f>
        <v/>
      </c>
      <c r="D811" s="5">
        <f>IF(A811="","",IFERROR(VLOOKUP(B811,TblArticles,3,FALSE),""))</f>
        <v/>
      </c>
      <c r="E811" s="6">
        <f>IFERROR(DATE(2000+VALUE(MID(H811,FIND("15",H811,FIND("01",H811)+16)+2,2)),VALUE(MID(H811,FIND("15",H811,FIND("01",H811)+16)+4,2)),VALUE(MID(H811,FIND("15",H811,FIND("01",H811)+16)+6,2))),"")</f>
        <v/>
      </c>
      <c r="F811" s="5">
        <f>IFERROR(MID(H811,FIND("10",H811,FIND("15",H811,FIND("01",H811)+16)+8)+2,50),"")</f>
        <v/>
      </c>
      <c r="G811" s="5" t="n"/>
      <c r="H811" s="5">
        <f>SUBSTITUTE(SUBSTITUTE(SUBSTITUTE(SUBSTITUTE(A811,"(",""),")","")," ",""),CHAR(29),"")</f>
        <v/>
      </c>
    </row>
    <row r="812">
      <c r="A812" s="7" t="n"/>
      <c r="B812" s="8">
        <f>IFERROR(MID(H812,FIND("01",H812)+2,14),"")</f>
        <v/>
      </c>
      <c r="C812" s="7">
        <f>IF(A812="","",IFERROR(VLOOKUP(B812,TblArticles,2,FALSE),"GTIN inconnu"))</f>
        <v/>
      </c>
      <c r="D812" s="8">
        <f>IF(A812="","",IFERROR(VLOOKUP(B812,TblArticles,3,FALSE),""))</f>
        <v/>
      </c>
      <c r="E812" s="9">
        <f>IFERROR(DATE(2000+VALUE(MID(H812,FIND("15",H812,FIND("01",H812)+16)+2,2)),VALUE(MID(H812,FIND("15",H812,FIND("01",H812)+16)+4,2)),VALUE(MID(H812,FIND("15",H812,FIND("01",H812)+16)+6,2))),"")</f>
        <v/>
      </c>
      <c r="F812" s="8">
        <f>IFERROR(MID(H812,FIND("10",H812,FIND("15",H812,FIND("01",H812)+16)+8)+2,50),"")</f>
        <v/>
      </c>
      <c r="G812" s="8" t="n"/>
      <c r="H812" s="8">
        <f>SUBSTITUTE(SUBSTITUTE(SUBSTITUTE(SUBSTITUTE(A812,"(",""),")","")," ",""),CHAR(29),"")</f>
        <v/>
      </c>
    </row>
    <row r="813">
      <c r="A813" s="4" t="n"/>
      <c r="B813" s="5">
        <f>IFERROR(MID(H813,FIND("01",H813)+2,14),"")</f>
        <v/>
      </c>
      <c r="C813" s="4">
        <f>IF(A813="","",IFERROR(VLOOKUP(B813,TblArticles,2,FALSE),"GTIN inconnu"))</f>
        <v/>
      </c>
      <c r="D813" s="5">
        <f>IF(A813="","",IFERROR(VLOOKUP(B813,TblArticles,3,FALSE),""))</f>
        <v/>
      </c>
      <c r="E813" s="6">
        <f>IFERROR(DATE(2000+VALUE(MID(H813,FIND("15",H813,FIND("01",H813)+16)+2,2)),VALUE(MID(H813,FIND("15",H813,FIND("01",H813)+16)+4,2)),VALUE(MID(H813,FIND("15",H813,FIND("01",H813)+16)+6,2))),"")</f>
        <v/>
      </c>
      <c r="F813" s="5">
        <f>IFERROR(MID(H813,FIND("10",H813,FIND("15",H813,FIND("01",H813)+16)+8)+2,50),"")</f>
        <v/>
      </c>
      <c r="G813" s="5" t="n"/>
      <c r="H813" s="5">
        <f>SUBSTITUTE(SUBSTITUTE(SUBSTITUTE(SUBSTITUTE(A813,"(",""),")","")," ",""),CHAR(29),"")</f>
        <v/>
      </c>
    </row>
    <row r="814">
      <c r="A814" s="7" t="n"/>
      <c r="B814" s="8">
        <f>IFERROR(MID(H814,FIND("01",H814)+2,14),"")</f>
        <v/>
      </c>
      <c r="C814" s="7">
        <f>IF(A814="","",IFERROR(VLOOKUP(B814,TblArticles,2,FALSE),"GTIN inconnu"))</f>
        <v/>
      </c>
      <c r="D814" s="8">
        <f>IF(A814="","",IFERROR(VLOOKUP(B814,TblArticles,3,FALSE),""))</f>
        <v/>
      </c>
      <c r="E814" s="9">
        <f>IFERROR(DATE(2000+VALUE(MID(H814,FIND("15",H814,FIND("01",H814)+16)+2,2)),VALUE(MID(H814,FIND("15",H814,FIND("01",H814)+16)+4,2)),VALUE(MID(H814,FIND("15",H814,FIND("01",H814)+16)+6,2))),"")</f>
        <v/>
      </c>
      <c r="F814" s="8">
        <f>IFERROR(MID(H814,FIND("10",H814,FIND("15",H814,FIND("01",H814)+16)+8)+2,50),"")</f>
        <v/>
      </c>
      <c r="G814" s="8" t="n"/>
      <c r="H814" s="8">
        <f>SUBSTITUTE(SUBSTITUTE(SUBSTITUTE(SUBSTITUTE(A814,"(",""),")","")," ",""),CHAR(29),"")</f>
        <v/>
      </c>
    </row>
    <row r="815">
      <c r="A815" s="4" t="n"/>
      <c r="B815" s="5">
        <f>IFERROR(MID(H815,FIND("01",H815)+2,14),"")</f>
        <v/>
      </c>
      <c r="C815" s="4">
        <f>IF(A815="","",IFERROR(VLOOKUP(B815,TblArticles,2,FALSE),"GTIN inconnu"))</f>
        <v/>
      </c>
      <c r="D815" s="5">
        <f>IF(A815="","",IFERROR(VLOOKUP(B815,TblArticles,3,FALSE),""))</f>
        <v/>
      </c>
      <c r="E815" s="6">
        <f>IFERROR(DATE(2000+VALUE(MID(H815,FIND("15",H815,FIND("01",H815)+16)+2,2)),VALUE(MID(H815,FIND("15",H815,FIND("01",H815)+16)+4,2)),VALUE(MID(H815,FIND("15",H815,FIND("01",H815)+16)+6,2))),"")</f>
        <v/>
      </c>
      <c r="F815" s="5">
        <f>IFERROR(MID(H815,FIND("10",H815,FIND("15",H815,FIND("01",H815)+16)+8)+2,50),"")</f>
        <v/>
      </c>
      <c r="G815" s="5" t="n"/>
      <c r="H815" s="5">
        <f>SUBSTITUTE(SUBSTITUTE(SUBSTITUTE(SUBSTITUTE(A815,"(",""),")","")," ",""),CHAR(29),"")</f>
        <v/>
      </c>
    </row>
    <row r="816">
      <c r="A816" s="7" t="n"/>
      <c r="B816" s="8">
        <f>IFERROR(MID(H816,FIND("01",H816)+2,14),"")</f>
        <v/>
      </c>
      <c r="C816" s="7">
        <f>IF(A816="","",IFERROR(VLOOKUP(B816,TblArticles,2,FALSE),"GTIN inconnu"))</f>
        <v/>
      </c>
      <c r="D816" s="8">
        <f>IF(A816="","",IFERROR(VLOOKUP(B816,TblArticles,3,FALSE),""))</f>
        <v/>
      </c>
      <c r="E816" s="9">
        <f>IFERROR(DATE(2000+VALUE(MID(H816,FIND("15",H816,FIND("01",H816)+16)+2,2)),VALUE(MID(H816,FIND("15",H816,FIND("01",H816)+16)+4,2)),VALUE(MID(H816,FIND("15",H816,FIND("01",H816)+16)+6,2))),"")</f>
        <v/>
      </c>
      <c r="F816" s="8">
        <f>IFERROR(MID(H816,FIND("10",H816,FIND("15",H816,FIND("01",H816)+16)+8)+2,50),"")</f>
        <v/>
      </c>
      <c r="G816" s="8" t="n"/>
      <c r="H816" s="8">
        <f>SUBSTITUTE(SUBSTITUTE(SUBSTITUTE(SUBSTITUTE(A816,"(",""),")","")," ",""),CHAR(29),"")</f>
        <v/>
      </c>
    </row>
    <row r="817">
      <c r="A817" s="4" t="n"/>
      <c r="B817" s="5">
        <f>IFERROR(MID(H817,FIND("01",H817)+2,14),"")</f>
        <v/>
      </c>
      <c r="C817" s="4">
        <f>IF(A817="","",IFERROR(VLOOKUP(B817,TblArticles,2,FALSE),"GTIN inconnu"))</f>
        <v/>
      </c>
      <c r="D817" s="5">
        <f>IF(A817="","",IFERROR(VLOOKUP(B817,TblArticles,3,FALSE),""))</f>
        <v/>
      </c>
      <c r="E817" s="6">
        <f>IFERROR(DATE(2000+VALUE(MID(H817,FIND("15",H817,FIND("01",H817)+16)+2,2)),VALUE(MID(H817,FIND("15",H817,FIND("01",H817)+16)+4,2)),VALUE(MID(H817,FIND("15",H817,FIND("01",H817)+16)+6,2))),"")</f>
        <v/>
      </c>
      <c r="F817" s="5">
        <f>IFERROR(MID(H817,FIND("10",H817,FIND("15",H817,FIND("01",H817)+16)+8)+2,50),"")</f>
        <v/>
      </c>
      <c r="G817" s="5" t="n"/>
      <c r="H817" s="5">
        <f>SUBSTITUTE(SUBSTITUTE(SUBSTITUTE(SUBSTITUTE(A817,"(",""),")","")," ",""),CHAR(29),"")</f>
        <v/>
      </c>
    </row>
    <row r="818">
      <c r="A818" s="7" t="n"/>
      <c r="B818" s="8">
        <f>IFERROR(MID(H818,FIND("01",H818)+2,14),"")</f>
        <v/>
      </c>
      <c r="C818" s="7">
        <f>IF(A818="","",IFERROR(VLOOKUP(B818,TblArticles,2,FALSE),"GTIN inconnu"))</f>
        <v/>
      </c>
      <c r="D818" s="8">
        <f>IF(A818="","",IFERROR(VLOOKUP(B818,TblArticles,3,FALSE),""))</f>
        <v/>
      </c>
      <c r="E818" s="9">
        <f>IFERROR(DATE(2000+VALUE(MID(H818,FIND("15",H818,FIND("01",H818)+16)+2,2)),VALUE(MID(H818,FIND("15",H818,FIND("01",H818)+16)+4,2)),VALUE(MID(H818,FIND("15",H818,FIND("01",H818)+16)+6,2))),"")</f>
        <v/>
      </c>
      <c r="F818" s="8">
        <f>IFERROR(MID(H818,FIND("10",H818,FIND("15",H818,FIND("01",H818)+16)+8)+2,50),"")</f>
        <v/>
      </c>
      <c r="G818" s="8" t="n"/>
      <c r="H818" s="8">
        <f>SUBSTITUTE(SUBSTITUTE(SUBSTITUTE(SUBSTITUTE(A818,"(",""),")","")," ",""),CHAR(29),"")</f>
        <v/>
      </c>
    </row>
    <row r="819">
      <c r="A819" s="4" t="n"/>
      <c r="B819" s="5">
        <f>IFERROR(MID(H819,FIND("01",H819)+2,14),"")</f>
        <v/>
      </c>
      <c r="C819" s="4">
        <f>IF(A819="","",IFERROR(VLOOKUP(B819,TblArticles,2,FALSE),"GTIN inconnu"))</f>
        <v/>
      </c>
      <c r="D819" s="5">
        <f>IF(A819="","",IFERROR(VLOOKUP(B819,TblArticles,3,FALSE),""))</f>
        <v/>
      </c>
      <c r="E819" s="6">
        <f>IFERROR(DATE(2000+VALUE(MID(H819,FIND("15",H819,FIND("01",H819)+16)+2,2)),VALUE(MID(H819,FIND("15",H819,FIND("01",H819)+16)+4,2)),VALUE(MID(H819,FIND("15",H819,FIND("01",H819)+16)+6,2))),"")</f>
        <v/>
      </c>
      <c r="F819" s="5">
        <f>IFERROR(MID(H819,FIND("10",H819,FIND("15",H819,FIND("01",H819)+16)+8)+2,50),"")</f>
        <v/>
      </c>
      <c r="G819" s="5" t="n"/>
      <c r="H819" s="5">
        <f>SUBSTITUTE(SUBSTITUTE(SUBSTITUTE(SUBSTITUTE(A819,"(",""),")","")," ",""),CHAR(29),"")</f>
        <v/>
      </c>
    </row>
    <row r="820">
      <c r="A820" s="7" t="n"/>
      <c r="B820" s="8">
        <f>IFERROR(MID(H820,FIND("01",H820)+2,14),"")</f>
        <v/>
      </c>
      <c r="C820" s="7">
        <f>IF(A820="","",IFERROR(VLOOKUP(B820,TblArticles,2,FALSE),"GTIN inconnu"))</f>
        <v/>
      </c>
      <c r="D820" s="8">
        <f>IF(A820="","",IFERROR(VLOOKUP(B820,TblArticles,3,FALSE),""))</f>
        <v/>
      </c>
      <c r="E820" s="9">
        <f>IFERROR(DATE(2000+VALUE(MID(H820,FIND("15",H820,FIND("01",H820)+16)+2,2)),VALUE(MID(H820,FIND("15",H820,FIND("01",H820)+16)+4,2)),VALUE(MID(H820,FIND("15",H820,FIND("01",H820)+16)+6,2))),"")</f>
        <v/>
      </c>
      <c r="F820" s="8">
        <f>IFERROR(MID(H820,FIND("10",H820,FIND("15",H820,FIND("01",H820)+16)+8)+2,50),"")</f>
        <v/>
      </c>
      <c r="G820" s="8" t="n"/>
      <c r="H820" s="8">
        <f>SUBSTITUTE(SUBSTITUTE(SUBSTITUTE(SUBSTITUTE(A820,"(",""),")","")," ",""),CHAR(29),"")</f>
        <v/>
      </c>
    </row>
    <row r="821">
      <c r="A821" s="4" t="n"/>
      <c r="B821" s="5">
        <f>IFERROR(MID(H821,FIND("01",H821)+2,14),"")</f>
        <v/>
      </c>
      <c r="C821" s="4">
        <f>IF(A821="","",IFERROR(VLOOKUP(B821,TblArticles,2,FALSE),"GTIN inconnu"))</f>
        <v/>
      </c>
      <c r="D821" s="5">
        <f>IF(A821="","",IFERROR(VLOOKUP(B821,TblArticles,3,FALSE),""))</f>
        <v/>
      </c>
      <c r="E821" s="6">
        <f>IFERROR(DATE(2000+VALUE(MID(H821,FIND("15",H821,FIND("01",H821)+16)+2,2)),VALUE(MID(H821,FIND("15",H821,FIND("01",H821)+16)+4,2)),VALUE(MID(H821,FIND("15",H821,FIND("01",H821)+16)+6,2))),"")</f>
        <v/>
      </c>
      <c r="F821" s="5">
        <f>IFERROR(MID(H821,FIND("10",H821,FIND("15",H821,FIND("01",H821)+16)+8)+2,50),"")</f>
        <v/>
      </c>
      <c r="G821" s="5" t="n"/>
      <c r="H821" s="5">
        <f>SUBSTITUTE(SUBSTITUTE(SUBSTITUTE(SUBSTITUTE(A821,"(",""),")","")," ",""),CHAR(29),"")</f>
        <v/>
      </c>
    </row>
    <row r="822">
      <c r="A822" s="7" t="n"/>
      <c r="B822" s="8">
        <f>IFERROR(MID(H822,FIND("01",H822)+2,14),"")</f>
        <v/>
      </c>
      <c r="C822" s="7">
        <f>IF(A822="","",IFERROR(VLOOKUP(B822,TblArticles,2,FALSE),"GTIN inconnu"))</f>
        <v/>
      </c>
      <c r="D822" s="8">
        <f>IF(A822="","",IFERROR(VLOOKUP(B822,TblArticles,3,FALSE),""))</f>
        <v/>
      </c>
      <c r="E822" s="9">
        <f>IFERROR(DATE(2000+VALUE(MID(H822,FIND("15",H822,FIND("01",H822)+16)+2,2)),VALUE(MID(H822,FIND("15",H822,FIND("01",H822)+16)+4,2)),VALUE(MID(H822,FIND("15",H822,FIND("01",H822)+16)+6,2))),"")</f>
        <v/>
      </c>
      <c r="F822" s="8">
        <f>IFERROR(MID(H822,FIND("10",H822,FIND("15",H822,FIND("01",H822)+16)+8)+2,50),"")</f>
        <v/>
      </c>
      <c r="G822" s="8" t="n"/>
      <c r="H822" s="8">
        <f>SUBSTITUTE(SUBSTITUTE(SUBSTITUTE(SUBSTITUTE(A822,"(",""),")","")," ",""),CHAR(29),"")</f>
        <v/>
      </c>
    </row>
    <row r="823">
      <c r="A823" s="4" t="n"/>
      <c r="B823" s="5">
        <f>IFERROR(MID(H823,FIND("01",H823)+2,14),"")</f>
        <v/>
      </c>
      <c r="C823" s="4">
        <f>IF(A823="","",IFERROR(VLOOKUP(B823,TblArticles,2,FALSE),"GTIN inconnu"))</f>
        <v/>
      </c>
      <c r="D823" s="5">
        <f>IF(A823="","",IFERROR(VLOOKUP(B823,TblArticles,3,FALSE),""))</f>
        <v/>
      </c>
      <c r="E823" s="6">
        <f>IFERROR(DATE(2000+VALUE(MID(H823,FIND("15",H823,FIND("01",H823)+16)+2,2)),VALUE(MID(H823,FIND("15",H823,FIND("01",H823)+16)+4,2)),VALUE(MID(H823,FIND("15",H823,FIND("01",H823)+16)+6,2))),"")</f>
        <v/>
      </c>
      <c r="F823" s="5">
        <f>IFERROR(MID(H823,FIND("10",H823,FIND("15",H823,FIND("01",H823)+16)+8)+2,50),"")</f>
        <v/>
      </c>
      <c r="G823" s="5" t="n"/>
      <c r="H823" s="5">
        <f>SUBSTITUTE(SUBSTITUTE(SUBSTITUTE(SUBSTITUTE(A823,"(",""),")","")," ",""),CHAR(29),"")</f>
        <v/>
      </c>
    </row>
    <row r="824">
      <c r="A824" s="7" t="n"/>
      <c r="B824" s="8">
        <f>IFERROR(MID(H824,FIND("01",H824)+2,14),"")</f>
        <v/>
      </c>
      <c r="C824" s="7">
        <f>IF(A824="","",IFERROR(VLOOKUP(B824,TblArticles,2,FALSE),"GTIN inconnu"))</f>
        <v/>
      </c>
      <c r="D824" s="8">
        <f>IF(A824="","",IFERROR(VLOOKUP(B824,TblArticles,3,FALSE),""))</f>
        <v/>
      </c>
      <c r="E824" s="9">
        <f>IFERROR(DATE(2000+VALUE(MID(H824,FIND("15",H824,FIND("01",H824)+16)+2,2)),VALUE(MID(H824,FIND("15",H824,FIND("01",H824)+16)+4,2)),VALUE(MID(H824,FIND("15",H824,FIND("01",H824)+16)+6,2))),"")</f>
        <v/>
      </c>
      <c r="F824" s="8">
        <f>IFERROR(MID(H824,FIND("10",H824,FIND("15",H824,FIND("01",H824)+16)+8)+2,50),"")</f>
        <v/>
      </c>
      <c r="G824" s="8" t="n"/>
      <c r="H824" s="8">
        <f>SUBSTITUTE(SUBSTITUTE(SUBSTITUTE(SUBSTITUTE(A824,"(",""),")","")," ",""),CHAR(29),"")</f>
        <v/>
      </c>
    </row>
    <row r="825">
      <c r="A825" s="4" t="n"/>
      <c r="B825" s="5">
        <f>IFERROR(MID(H825,FIND("01",H825)+2,14),"")</f>
        <v/>
      </c>
      <c r="C825" s="4">
        <f>IF(A825="","",IFERROR(VLOOKUP(B825,TblArticles,2,FALSE),"GTIN inconnu"))</f>
        <v/>
      </c>
      <c r="D825" s="5">
        <f>IF(A825="","",IFERROR(VLOOKUP(B825,TblArticles,3,FALSE),""))</f>
        <v/>
      </c>
      <c r="E825" s="6">
        <f>IFERROR(DATE(2000+VALUE(MID(H825,FIND("15",H825,FIND("01",H825)+16)+2,2)),VALUE(MID(H825,FIND("15",H825,FIND("01",H825)+16)+4,2)),VALUE(MID(H825,FIND("15",H825,FIND("01",H825)+16)+6,2))),"")</f>
        <v/>
      </c>
      <c r="F825" s="5">
        <f>IFERROR(MID(H825,FIND("10",H825,FIND("15",H825,FIND("01",H825)+16)+8)+2,50),"")</f>
        <v/>
      </c>
      <c r="G825" s="5" t="n"/>
      <c r="H825" s="5">
        <f>SUBSTITUTE(SUBSTITUTE(SUBSTITUTE(SUBSTITUTE(A825,"(",""),")","")," ",""),CHAR(29),"")</f>
        <v/>
      </c>
    </row>
    <row r="826">
      <c r="A826" s="7" t="n"/>
      <c r="B826" s="8">
        <f>IFERROR(MID(H826,FIND("01",H826)+2,14),"")</f>
        <v/>
      </c>
      <c r="C826" s="7">
        <f>IF(A826="","",IFERROR(VLOOKUP(B826,TblArticles,2,FALSE),"GTIN inconnu"))</f>
        <v/>
      </c>
      <c r="D826" s="8">
        <f>IF(A826="","",IFERROR(VLOOKUP(B826,TblArticles,3,FALSE),""))</f>
        <v/>
      </c>
      <c r="E826" s="9">
        <f>IFERROR(DATE(2000+VALUE(MID(H826,FIND("15",H826,FIND("01",H826)+16)+2,2)),VALUE(MID(H826,FIND("15",H826,FIND("01",H826)+16)+4,2)),VALUE(MID(H826,FIND("15",H826,FIND("01",H826)+16)+6,2))),"")</f>
        <v/>
      </c>
      <c r="F826" s="8">
        <f>IFERROR(MID(H826,FIND("10",H826,FIND("15",H826,FIND("01",H826)+16)+8)+2,50),"")</f>
        <v/>
      </c>
      <c r="G826" s="8" t="n"/>
      <c r="H826" s="8">
        <f>SUBSTITUTE(SUBSTITUTE(SUBSTITUTE(SUBSTITUTE(A826,"(",""),")","")," ",""),CHAR(29),"")</f>
        <v/>
      </c>
    </row>
    <row r="827">
      <c r="A827" s="4" t="n"/>
      <c r="B827" s="5">
        <f>IFERROR(MID(H827,FIND("01",H827)+2,14),"")</f>
        <v/>
      </c>
      <c r="C827" s="4">
        <f>IF(A827="","",IFERROR(VLOOKUP(B827,TblArticles,2,FALSE),"GTIN inconnu"))</f>
        <v/>
      </c>
      <c r="D827" s="5">
        <f>IF(A827="","",IFERROR(VLOOKUP(B827,TblArticles,3,FALSE),""))</f>
        <v/>
      </c>
      <c r="E827" s="6">
        <f>IFERROR(DATE(2000+VALUE(MID(H827,FIND("15",H827,FIND("01",H827)+16)+2,2)),VALUE(MID(H827,FIND("15",H827,FIND("01",H827)+16)+4,2)),VALUE(MID(H827,FIND("15",H827,FIND("01",H827)+16)+6,2))),"")</f>
        <v/>
      </c>
      <c r="F827" s="5">
        <f>IFERROR(MID(H827,FIND("10",H827,FIND("15",H827,FIND("01",H827)+16)+8)+2,50),"")</f>
        <v/>
      </c>
      <c r="G827" s="5" t="n"/>
      <c r="H827" s="5">
        <f>SUBSTITUTE(SUBSTITUTE(SUBSTITUTE(SUBSTITUTE(A827,"(",""),")","")," ",""),CHAR(29),"")</f>
        <v/>
      </c>
    </row>
    <row r="828">
      <c r="A828" s="7" t="n"/>
      <c r="B828" s="8">
        <f>IFERROR(MID(H828,FIND("01",H828)+2,14),"")</f>
        <v/>
      </c>
      <c r="C828" s="7">
        <f>IF(A828="","",IFERROR(VLOOKUP(B828,TblArticles,2,FALSE),"GTIN inconnu"))</f>
        <v/>
      </c>
      <c r="D828" s="8">
        <f>IF(A828="","",IFERROR(VLOOKUP(B828,TblArticles,3,FALSE),""))</f>
        <v/>
      </c>
      <c r="E828" s="9">
        <f>IFERROR(DATE(2000+VALUE(MID(H828,FIND("15",H828,FIND("01",H828)+16)+2,2)),VALUE(MID(H828,FIND("15",H828,FIND("01",H828)+16)+4,2)),VALUE(MID(H828,FIND("15",H828,FIND("01",H828)+16)+6,2))),"")</f>
        <v/>
      </c>
      <c r="F828" s="8">
        <f>IFERROR(MID(H828,FIND("10",H828,FIND("15",H828,FIND("01",H828)+16)+8)+2,50),"")</f>
        <v/>
      </c>
      <c r="G828" s="8" t="n"/>
      <c r="H828" s="8">
        <f>SUBSTITUTE(SUBSTITUTE(SUBSTITUTE(SUBSTITUTE(A828,"(",""),")","")," ",""),CHAR(29),"")</f>
        <v/>
      </c>
    </row>
    <row r="829">
      <c r="A829" s="4" t="n"/>
      <c r="B829" s="5">
        <f>IFERROR(MID(H829,FIND("01",H829)+2,14),"")</f>
        <v/>
      </c>
      <c r="C829" s="4">
        <f>IF(A829="","",IFERROR(VLOOKUP(B829,TblArticles,2,FALSE),"GTIN inconnu"))</f>
        <v/>
      </c>
      <c r="D829" s="5">
        <f>IF(A829="","",IFERROR(VLOOKUP(B829,TblArticles,3,FALSE),""))</f>
        <v/>
      </c>
      <c r="E829" s="6">
        <f>IFERROR(DATE(2000+VALUE(MID(H829,FIND("15",H829,FIND("01",H829)+16)+2,2)),VALUE(MID(H829,FIND("15",H829,FIND("01",H829)+16)+4,2)),VALUE(MID(H829,FIND("15",H829,FIND("01",H829)+16)+6,2))),"")</f>
        <v/>
      </c>
      <c r="F829" s="5">
        <f>IFERROR(MID(H829,FIND("10",H829,FIND("15",H829,FIND("01",H829)+16)+8)+2,50),"")</f>
        <v/>
      </c>
      <c r="G829" s="5" t="n"/>
      <c r="H829" s="5">
        <f>SUBSTITUTE(SUBSTITUTE(SUBSTITUTE(SUBSTITUTE(A829,"(",""),")","")," ",""),CHAR(29),"")</f>
        <v/>
      </c>
    </row>
    <row r="830">
      <c r="A830" s="7" t="n"/>
      <c r="B830" s="8">
        <f>IFERROR(MID(H830,FIND("01",H830)+2,14),"")</f>
        <v/>
      </c>
      <c r="C830" s="7">
        <f>IF(A830="","",IFERROR(VLOOKUP(B830,TblArticles,2,FALSE),"GTIN inconnu"))</f>
        <v/>
      </c>
      <c r="D830" s="8">
        <f>IF(A830="","",IFERROR(VLOOKUP(B830,TblArticles,3,FALSE),""))</f>
        <v/>
      </c>
      <c r="E830" s="9">
        <f>IFERROR(DATE(2000+VALUE(MID(H830,FIND("15",H830,FIND("01",H830)+16)+2,2)),VALUE(MID(H830,FIND("15",H830,FIND("01",H830)+16)+4,2)),VALUE(MID(H830,FIND("15",H830,FIND("01",H830)+16)+6,2))),"")</f>
        <v/>
      </c>
      <c r="F830" s="8">
        <f>IFERROR(MID(H830,FIND("10",H830,FIND("15",H830,FIND("01",H830)+16)+8)+2,50),"")</f>
        <v/>
      </c>
      <c r="G830" s="8" t="n"/>
      <c r="H830" s="8">
        <f>SUBSTITUTE(SUBSTITUTE(SUBSTITUTE(SUBSTITUTE(A830,"(",""),")","")," ",""),CHAR(29),"")</f>
        <v/>
      </c>
    </row>
    <row r="831">
      <c r="A831" s="4" t="n"/>
      <c r="B831" s="5">
        <f>IFERROR(MID(H831,FIND("01",H831)+2,14),"")</f>
        <v/>
      </c>
      <c r="C831" s="4">
        <f>IF(A831="","",IFERROR(VLOOKUP(B831,TblArticles,2,FALSE),"GTIN inconnu"))</f>
        <v/>
      </c>
      <c r="D831" s="5">
        <f>IF(A831="","",IFERROR(VLOOKUP(B831,TblArticles,3,FALSE),""))</f>
        <v/>
      </c>
      <c r="E831" s="6">
        <f>IFERROR(DATE(2000+VALUE(MID(H831,FIND("15",H831,FIND("01",H831)+16)+2,2)),VALUE(MID(H831,FIND("15",H831,FIND("01",H831)+16)+4,2)),VALUE(MID(H831,FIND("15",H831,FIND("01",H831)+16)+6,2))),"")</f>
        <v/>
      </c>
      <c r="F831" s="5">
        <f>IFERROR(MID(H831,FIND("10",H831,FIND("15",H831,FIND("01",H831)+16)+8)+2,50),"")</f>
        <v/>
      </c>
      <c r="G831" s="5" t="n"/>
      <c r="H831" s="5">
        <f>SUBSTITUTE(SUBSTITUTE(SUBSTITUTE(SUBSTITUTE(A831,"(",""),")","")," ",""),CHAR(29),"")</f>
        <v/>
      </c>
    </row>
    <row r="832">
      <c r="A832" s="7" t="n"/>
      <c r="B832" s="8">
        <f>IFERROR(MID(H832,FIND("01",H832)+2,14),"")</f>
        <v/>
      </c>
      <c r="C832" s="7">
        <f>IF(A832="","",IFERROR(VLOOKUP(B832,TblArticles,2,FALSE),"GTIN inconnu"))</f>
        <v/>
      </c>
      <c r="D832" s="8">
        <f>IF(A832="","",IFERROR(VLOOKUP(B832,TblArticles,3,FALSE),""))</f>
        <v/>
      </c>
      <c r="E832" s="9">
        <f>IFERROR(DATE(2000+VALUE(MID(H832,FIND("15",H832,FIND("01",H832)+16)+2,2)),VALUE(MID(H832,FIND("15",H832,FIND("01",H832)+16)+4,2)),VALUE(MID(H832,FIND("15",H832,FIND("01",H832)+16)+6,2))),"")</f>
        <v/>
      </c>
      <c r="F832" s="8">
        <f>IFERROR(MID(H832,FIND("10",H832,FIND("15",H832,FIND("01",H832)+16)+8)+2,50),"")</f>
        <v/>
      </c>
      <c r="G832" s="8" t="n"/>
      <c r="H832" s="8">
        <f>SUBSTITUTE(SUBSTITUTE(SUBSTITUTE(SUBSTITUTE(A832,"(",""),")","")," ",""),CHAR(29),"")</f>
        <v/>
      </c>
    </row>
    <row r="833">
      <c r="A833" s="4" t="n"/>
      <c r="B833" s="5">
        <f>IFERROR(MID(H833,FIND("01",H833)+2,14),"")</f>
        <v/>
      </c>
      <c r="C833" s="4">
        <f>IF(A833="","",IFERROR(VLOOKUP(B833,TblArticles,2,FALSE),"GTIN inconnu"))</f>
        <v/>
      </c>
      <c r="D833" s="5">
        <f>IF(A833="","",IFERROR(VLOOKUP(B833,TblArticles,3,FALSE),""))</f>
        <v/>
      </c>
      <c r="E833" s="6">
        <f>IFERROR(DATE(2000+VALUE(MID(H833,FIND("15",H833,FIND("01",H833)+16)+2,2)),VALUE(MID(H833,FIND("15",H833,FIND("01",H833)+16)+4,2)),VALUE(MID(H833,FIND("15",H833,FIND("01",H833)+16)+6,2))),"")</f>
        <v/>
      </c>
      <c r="F833" s="5">
        <f>IFERROR(MID(H833,FIND("10",H833,FIND("15",H833,FIND("01",H833)+16)+8)+2,50),"")</f>
        <v/>
      </c>
      <c r="G833" s="5" t="n"/>
      <c r="H833" s="5">
        <f>SUBSTITUTE(SUBSTITUTE(SUBSTITUTE(SUBSTITUTE(A833,"(",""),")","")," ",""),CHAR(29),"")</f>
        <v/>
      </c>
    </row>
    <row r="834">
      <c r="A834" s="7" t="n"/>
      <c r="B834" s="8">
        <f>IFERROR(MID(H834,FIND("01",H834)+2,14),"")</f>
        <v/>
      </c>
      <c r="C834" s="7">
        <f>IF(A834="","",IFERROR(VLOOKUP(B834,TblArticles,2,FALSE),"GTIN inconnu"))</f>
        <v/>
      </c>
      <c r="D834" s="8">
        <f>IF(A834="","",IFERROR(VLOOKUP(B834,TblArticles,3,FALSE),""))</f>
        <v/>
      </c>
      <c r="E834" s="9">
        <f>IFERROR(DATE(2000+VALUE(MID(H834,FIND("15",H834,FIND("01",H834)+16)+2,2)),VALUE(MID(H834,FIND("15",H834,FIND("01",H834)+16)+4,2)),VALUE(MID(H834,FIND("15",H834,FIND("01",H834)+16)+6,2))),"")</f>
        <v/>
      </c>
      <c r="F834" s="8">
        <f>IFERROR(MID(H834,FIND("10",H834,FIND("15",H834,FIND("01",H834)+16)+8)+2,50),"")</f>
        <v/>
      </c>
      <c r="G834" s="8" t="n"/>
      <c r="H834" s="8">
        <f>SUBSTITUTE(SUBSTITUTE(SUBSTITUTE(SUBSTITUTE(A834,"(",""),")","")," ",""),CHAR(29),"")</f>
        <v/>
      </c>
    </row>
    <row r="835">
      <c r="A835" s="4" t="n"/>
      <c r="B835" s="5">
        <f>IFERROR(MID(H835,FIND("01",H835)+2,14),"")</f>
        <v/>
      </c>
      <c r="C835" s="4">
        <f>IF(A835="","",IFERROR(VLOOKUP(B835,TblArticles,2,FALSE),"GTIN inconnu"))</f>
        <v/>
      </c>
      <c r="D835" s="5">
        <f>IF(A835="","",IFERROR(VLOOKUP(B835,TblArticles,3,FALSE),""))</f>
        <v/>
      </c>
      <c r="E835" s="6">
        <f>IFERROR(DATE(2000+VALUE(MID(H835,FIND("15",H835,FIND("01",H835)+16)+2,2)),VALUE(MID(H835,FIND("15",H835,FIND("01",H835)+16)+4,2)),VALUE(MID(H835,FIND("15",H835,FIND("01",H835)+16)+6,2))),"")</f>
        <v/>
      </c>
      <c r="F835" s="5">
        <f>IFERROR(MID(H835,FIND("10",H835,FIND("15",H835,FIND("01",H835)+16)+8)+2,50),"")</f>
        <v/>
      </c>
      <c r="G835" s="5" t="n"/>
      <c r="H835" s="5">
        <f>SUBSTITUTE(SUBSTITUTE(SUBSTITUTE(SUBSTITUTE(A835,"(",""),")","")," ",""),CHAR(29),"")</f>
        <v/>
      </c>
    </row>
    <row r="836">
      <c r="A836" s="7" t="n"/>
      <c r="B836" s="8">
        <f>IFERROR(MID(H836,FIND("01",H836)+2,14),"")</f>
        <v/>
      </c>
      <c r="C836" s="7">
        <f>IF(A836="","",IFERROR(VLOOKUP(B836,TblArticles,2,FALSE),"GTIN inconnu"))</f>
        <v/>
      </c>
      <c r="D836" s="8">
        <f>IF(A836="","",IFERROR(VLOOKUP(B836,TblArticles,3,FALSE),""))</f>
        <v/>
      </c>
      <c r="E836" s="9">
        <f>IFERROR(DATE(2000+VALUE(MID(H836,FIND("15",H836,FIND("01",H836)+16)+2,2)),VALUE(MID(H836,FIND("15",H836,FIND("01",H836)+16)+4,2)),VALUE(MID(H836,FIND("15",H836,FIND("01",H836)+16)+6,2))),"")</f>
        <v/>
      </c>
      <c r="F836" s="8">
        <f>IFERROR(MID(H836,FIND("10",H836,FIND("15",H836,FIND("01",H836)+16)+8)+2,50),"")</f>
        <v/>
      </c>
      <c r="G836" s="8" t="n"/>
      <c r="H836" s="8">
        <f>SUBSTITUTE(SUBSTITUTE(SUBSTITUTE(SUBSTITUTE(A836,"(",""),")","")," ",""),CHAR(29),"")</f>
        <v/>
      </c>
    </row>
    <row r="837">
      <c r="A837" s="4" t="n"/>
      <c r="B837" s="5">
        <f>IFERROR(MID(H837,FIND("01",H837)+2,14),"")</f>
        <v/>
      </c>
      <c r="C837" s="4">
        <f>IF(A837="","",IFERROR(VLOOKUP(B837,TblArticles,2,FALSE),"GTIN inconnu"))</f>
        <v/>
      </c>
      <c r="D837" s="5">
        <f>IF(A837="","",IFERROR(VLOOKUP(B837,TblArticles,3,FALSE),""))</f>
        <v/>
      </c>
      <c r="E837" s="6">
        <f>IFERROR(DATE(2000+VALUE(MID(H837,FIND("15",H837,FIND("01",H837)+16)+2,2)),VALUE(MID(H837,FIND("15",H837,FIND("01",H837)+16)+4,2)),VALUE(MID(H837,FIND("15",H837,FIND("01",H837)+16)+6,2))),"")</f>
        <v/>
      </c>
      <c r="F837" s="5">
        <f>IFERROR(MID(H837,FIND("10",H837,FIND("15",H837,FIND("01",H837)+16)+8)+2,50),"")</f>
        <v/>
      </c>
      <c r="G837" s="5" t="n"/>
      <c r="H837" s="5">
        <f>SUBSTITUTE(SUBSTITUTE(SUBSTITUTE(SUBSTITUTE(A837,"(",""),")","")," ",""),CHAR(29),"")</f>
        <v/>
      </c>
    </row>
    <row r="838">
      <c r="A838" s="7" t="n"/>
      <c r="B838" s="8">
        <f>IFERROR(MID(H838,FIND("01",H838)+2,14),"")</f>
        <v/>
      </c>
      <c r="C838" s="7">
        <f>IF(A838="","",IFERROR(VLOOKUP(B838,TblArticles,2,FALSE),"GTIN inconnu"))</f>
        <v/>
      </c>
      <c r="D838" s="8">
        <f>IF(A838="","",IFERROR(VLOOKUP(B838,TblArticles,3,FALSE),""))</f>
        <v/>
      </c>
      <c r="E838" s="9">
        <f>IFERROR(DATE(2000+VALUE(MID(H838,FIND("15",H838,FIND("01",H838)+16)+2,2)),VALUE(MID(H838,FIND("15",H838,FIND("01",H838)+16)+4,2)),VALUE(MID(H838,FIND("15",H838,FIND("01",H838)+16)+6,2))),"")</f>
        <v/>
      </c>
      <c r="F838" s="8">
        <f>IFERROR(MID(H838,FIND("10",H838,FIND("15",H838,FIND("01",H838)+16)+8)+2,50),"")</f>
        <v/>
      </c>
      <c r="G838" s="8" t="n"/>
      <c r="H838" s="8">
        <f>SUBSTITUTE(SUBSTITUTE(SUBSTITUTE(SUBSTITUTE(A838,"(",""),")","")," ",""),CHAR(29),"")</f>
        <v/>
      </c>
    </row>
    <row r="839">
      <c r="A839" s="4" t="n"/>
      <c r="B839" s="5">
        <f>IFERROR(MID(H839,FIND("01",H839)+2,14),"")</f>
        <v/>
      </c>
      <c r="C839" s="4">
        <f>IF(A839="","",IFERROR(VLOOKUP(B839,TblArticles,2,FALSE),"GTIN inconnu"))</f>
        <v/>
      </c>
      <c r="D839" s="5">
        <f>IF(A839="","",IFERROR(VLOOKUP(B839,TblArticles,3,FALSE),""))</f>
        <v/>
      </c>
      <c r="E839" s="6">
        <f>IFERROR(DATE(2000+VALUE(MID(H839,FIND("15",H839,FIND("01",H839)+16)+2,2)),VALUE(MID(H839,FIND("15",H839,FIND("01",H839)+16)+4,2)),VALUE(MID(H839,FIND("15",H839,FIND("01",H839)+16)+6,2))),"")</f>
        <v/>
      </c>
      <c r="F839" s="5">
        <f>IFERROR(MID(H839,FIND("10",H839,FIND("15",H839,FIND("01",H839)+16)+8)+2,50),"")</f>
        <v/>
      </c>
      <c r="G839" s="5" t="n"/>
      <c r="H839" s="5">
        <f>SUBSTITUTE(SUBSTITUTE(SUBSTITUTE(SUBSTITUTE(A839,"(",""),")","")," ",""),CHAR(29),"")</f>
        <v/>
      </c>
    </row>
    <row r="840">
      <c r="A840" s="7" t="n"/>
      <c r="B840" s="8">
        <f>IFERROR(MID(H840,FIND("01",H840)+2,14),"")</f>
        <v/>
      </c>
      <c r="C840" s="7">
        <f>IF(A840="","",IFERROR(VLOOKUP(B840,TblArticles,2,FALSE),"GTIN inconnu"))</f>
        <v/>
      </c>
      <c r="D840" s="8">
        <f>IF(A840="","",IFERROR(VLOOKUP(B840,TblArticles,3,FALSE),""))</f>
        <v/>
      </c>
      <c r="E840" s="9">
        <f>IFERROR(DATE(2000+VALUE(MID(H840,FIND("15",H840,FIND("01",H840)+16)+2,2)),VALUE(MID(H840,FIND("15",H840,FIND("01",H840)+16)+4,2)),VALUE(MID(H840,FIND("15",H840,FIND("01",H840)+16)+6,2))),"")</f>
        <v/>
      </c>
      <c r="F840" s="8">
        <f>IFERROR(MID(H840,FIND("10",H840,FIND("15",H840,FIND("01",H840)+16)+8)+2,50),"")</f>
        <v/>
      </c>
      <c r="G840" s="8" t="n"/>
      <c r="H840" s="8">
        <f>SUBSTITUTE(SUBSTITUTE(SUBSTITUTE(SUBSTITUTE(A840,"(",""),")","")," ",""),CHAR(29),"")</f>
        <v/>
      </c>
    </row>
    <row r="841">
      <c r="A841" s="4" t="n"/>
      <c r="B841" s="5">
        <f>IFERROR(MID(H841,FIND("01",H841)+2,14),"")</f>
        <v/>
      </c>
      <c r="C841" s="4">
        <f>IF(A841="","",IFERROR(VLOOKUP(B841,TblArticles,2,FALSE),"GTIN inconnu"))</f>
        <v/>
      </c>
      <c r="D841" s="5">
        <f>IF(A841="","",IFERROR(VLOOKUP(B841,TblArticles,3,FALSE),""))</f>
        <v/>
      </c>
      <c r="E841" s="6">
        <f>IFERROR(DATE(2000+VALUE(MID(H841,FIND("15",H841,FIND("01",H841)+16)+2,2)),VALUE(MID(H841,FIND("15",H841,FIND("01",H841)+16)+4,2)),VALUE(MID(H841,FIND("15",H841,FIND("01",H841)+16)+6,2))),"")</f>
        <v/>
      </c>
      <c r="F841" s="5">
        <f>IFERROR(MID(H841,FIND("10",H841,FIND("15",H841,FIND("01",H841)+16)+8)+2,50),"")</f>
        <v/>
      </c>
      <c r="G841" s="5" t="n"/>
      <c r="H841" s="5">
        <f>SUBSTITUTE(SUBSTITUTE(SUBSTITUTE(SUBSTITUTE(A841,"(",""),")","")," ",""),CHAR(29),"")</f>
        <v/>
      </c>
    </row>
    <row r="842">
      <c r="A842" s="7" t="n"/>
      <c r="B842" s="8">
        <f>IFERROR(MID(H842,FIND("01",H842)+2,14),"")</f>
        <v/>
      </c>
      <c r="C842" s="7">
        <f>IF(A842="","",IFERROR(VLOOKUP(B842,TblArticles,2,FALSE),"GTIN inconnu"))</f>
        <v/>
      </c>
      <c r="D842" s="8">
        <f>IF(A842="","",IFERROR(VLOOKUP(B842,TblArticles,3,FALSE),""))</f>
        <v/>
      </c>
      <c r="E842" s="9">
        <f>IFERROR(DATE(2000+VALUE(MID(H842,FIND("15",H842,FIND("01",H842)+16)+2,2)),VALUE(MID(H842,FIND("15",H842,FIND("01",H842)+16)+4,2)),VALUE(MID(H842,FIND("15",H842,FIND("01",H842)+16)+6,2))),"")</f>
        <v/>
      </c>
      <c r="F842" s="8">
        <f>IFERROR(MID(H842,FIND("10",H842,FIND("15",H842,FIND("01",H842)+16)+8)+2,50),"")</f>
        <v/>
      </c>
      <c r="G842" s="8" t="n"/>
      <c r="H842" s="8">
        <f>SUBSTITUTE(SUBSTITUTE(SUBSTITUTE(SUBSTITUTE(A842,"(",""),")","")," ",""),CHAR(29),"")</f>
        <v/>
      </c>
    </row>
    <row r="843">
      <c r="A843" s="4" t="n"/>
      <c r="B843" s="5">
        <f>IFERROR(MID(H843,FIND("01",H843)+2,14),"")</f>
        <v/>
      </c>
      <c r="C843" s="4">
        <f>IF(A843="","",IFERROR(VLOOKUP(B843,TblArticles,2,FALSE),"GTIN inconnu"))</f>
        <v/>
      </c>
      <c r="D843" s="5">
        <f>IF(A843="","",IFERROR(VLOOKUP(B843,TblArticles,3,FALSE),""))</f>
        <v/>
      </c>
      <c r="E843" s="6">
        <f>IFERROR(DATE(2000+VALUE(MID(H843,FIND("15",H843,FIND("01",H843)+16)+2,2)),VALUE(MID(H843,FIND("15",H843,FIND("01",H843)+16)+4,2)),VALUE(MID(H843,FIND("15",H843,FIND("01",H843)+16)+6,2))),"")</f>
        <v/>
      </c>
      <c r="F843" s="5">
        <f>IFERROR(MID(H843,FIND("10",H843,FIND("15",H843,FIND("01",H843)+16)+8)+2,50),"")</f>
        <v/>
      </c>
      <c r="G843" s="5" t="n"/>
      <c r="H843" s="5">
        <f>SUBSTITUTE(SUBSTITUTE(SUBSTITUTE(SUBSTITUTE(A843,"(",""),")","")," ",""),CHAR(29),"")</f>
        <v/>
      </c>
    </row>
    <row r="844">
      <c r="A844" s="7" t="n"/>
      <c r="B844" s="8">
        <f>IFERROR(MID(H844,FIND("01",H844)+2,14),"")</f>
        <v/>
      </c>
      <c r="C844" s="7">
        <f>IF(A844="","",IFERROR(VLOOKUP(B844,TblArticles,2,FALSE),"GTIN inconnu"))</f>
        <v/>
      </c>
      <c r="D844" s="8">
        <f>IF(A844="","",IFERROR(VLOOKUP(B844,TblArticles,3,FALSE),""))</f>
        <v/>
      </c>
      <c r="E844" s="9">
        <f>IFERROR(DATE(2000+VALUE(MID(H844,FIND("15",H844,FIND("01",H844)+16)+2,2)),VALUE(MID(H844,FIND("15",H844,FIND("01",H844)+16)+4,2)),VALUE(MID(H844,FIND("15",H844,FIND("01",H844)+16)+6,2))),"")</f>
        <v/>
      </c>
      <c r="F844" s="8">
        <f>IFERROR(MID(H844,FIND("10",H844,FIND("15",H844,FIND("01",H844)+16)+8)+2,50),"")</f>
        <v/>
      </c>
      <c r="G844" s="8" t="n"/>
      <c r="H844" s="8">
        <f>SUBSTITUTE(SUBSTITUTE(SUBSTITUTE(SUBSTITUTE(A844,"(",""),")","")," ",""),CHAR(29),"")</f>
        <v/>
      </c>
    </row>
    <row r="845">
      <c r="A845" s="4" t="n"/>
      <c r="B845" s="5">
        <f>IFERROR(MID(H845,FIND("01",H845)+2,14),"")</f>
        <v/>
      </c>
      <c r="C845" s="4">
        <f>IF(A845="","",IFERROR(VLOOKUP(B845,TblArticles,2,FALSE),"GTIN inconnu"))</f>
        <v/>
      </c>
      <c r="D845" s="5">
        <f>IF(A845="","",IFERROR(VLOOKUP(B845,TblArticles,3,FALSE),""))</f>
        <v/>
      </c>
      <c r="E845" s="6">
        <f>IFERROR(DATE(2000+VALUE(MID(H845,FIND("15",H845,FIND("01",H845)+16)+2,2)),VALUE(MID(H845,FIND("15",H845,FIND("01",H845)+16)+4,2)),VALUE(MID(H845,FIND("15",H845,FIND("01",H845)+16)+6,2))),"")</f>
        <v/>
      </c>
      <c r="F845" s="5">
        <f>IFERROR(MID(H845,FIND("10",H845,FIND("15",H845,FIND("01",H845)+16)+8)+2,50),"")</f>
        <v/>
      </c>
      <c r="G845" s="5" t="n"/>
      <c r="H845" s="5">
        <f>SUBSTITUTE(SUBSTITUTE(SUBSTITUTE(SUBSTITUTE(A845,"(",""),")","")," ",""),CHAR(29),"")</f>
        <v/>
      </c>
    </row>
    <row r="846">
      <c r="A846" s="7" t="n"/>
      <c r="B846" s="8">
        <f>IFERROR(MID(H846,FIND("01",H846)+2,14),"")</f>
        <v/>
      </c>
      <c r="C846" s="7">
        <f>IF(A846="","",IFERROR(VLOOKUP(B846,TblArticles,2,FALSE),"GTIN inconnu"))</f>
        <v/>
      </c>
      <c r="D846" s="8">
        <f>IF(A846="","",IFERROR(VLOOKUP(B846,TblArticles,3,FALSE),""))</f>
        <v/>
      </c>
      <c r="E846" s="9">
        <f>IFERROR(DATE(2000+VALUE(MID(H846,FIND("15",H846,FIND("01",H846)+16)+2,2)),VALUE(MID(H846,FIND("15",H846,FIND("01",H846)+16)+4,2)),VALUE(MID(H846,FIND("15",H846,FIND("01",H846)+16)+6,2))),"")</f>
        <v/>
      </c>
      <c r="F846" s="8">
        <f>IFERROR(MID(H846,FIND("10",H846,FIND("15",H846,FIND("01",H846)+16)+8)+2,50),"")</f>
        <v/>
      </c>
      <c r="G846" s="8" t="n"/>
      <c r="H846" s="8">
        <f>SUBSTITUTE(SUBSTITUTE(SUBSTITUTE(SUBSTITUTE(A846,"(",""),")","")," ",""),CHAR(29),"")</f>
        <v/>
      </c>
    </row>
    <row r="847">
      <c r="A847" s="4" t="n"/>
      <c r="B847" s="5">
        <f>IFERROR(MID(H847,FIND("01",H847)+2,14),"")</f>
        <v/>
      </c>
      <c r="C847" s="4">
        <f>IF(A847="","",IFERROR(VLOOKUP(B847,TblArticles,2,FALSE),"GTIN inconnu"))</f>
        <v/>
      </c>
      <c r="D847" s="5">
        <f>IF(A847="","",IFERROR(VLOOKUP(B847,TblArticles,3,FALSE),""))</f>
        <v/>
      </c>
      <c r="E847" s="6">
        <f>IFERROR(DATE(2000+VALUE(MID(H847,FIND("15",H847,FIND("01",H847)+16)+2,2)),VALUE(MID(H847,FIND("15",H847,FIND("01",H847)+16)+4,2)),VALUE(MID(H847,FIND("15",H847,FIND("01",H847)+16)+6,2))),"")</f>
        <v/>
      </c>
      <c r="F847" s="5">
        <f>IFERROR(MID(H847,FIND("10",H847,FIND("15",H847,FIND("01",H847)+16)+8)+2,50),"")</f>
        <v/>
      </c>
      <c r="G847" s="5" t="n"/>
      <c r="H847" s="5">
        <f>SUBSTITUTE(SUBSTITUTE(SUBSTITUTE(SUBSTITUTE(A847,"(",""),")","")," ",""),CHAR(29),"")</f>
        <v/>
      </c>
    </row>
    <row r="848">
      <c r="A848" s="7" t="n"/>
      <c r="B848" s="8">
        <f>IFERROR(MID(H848,FIND("01",H848)+2,14),"")</f>
        <v/>
      </c>
      <c r="C848" s="7">
        <f>IF(A848="","",IFERROR(VLOOKUP(B848,TblArticles,2,FALSE),"GTIN inconnu"))</f>
        <v/>
      </c>
      <c r="D848" s="8">
        <f>IF(A848="","",IFERROR(VLOOKUP(B848,TblArticles,3,FALSE),""))</f>
        <v/>
      </c>
      <c r="E848" s="9">
        <f>IFERROR(DATE(2000+VALUE(MID(H848,FIND("15",H848,FIND("01",H848)+16)+2,2)),VALUE(MID(H848,FIND("15",H848,FIND("01",H848)+16)+4,2)),VALUE(MID(H848,FIND("15",H848,FIND("01",H848)+16)+6,2))),"")</f>
        <v/>
      </c>
      <c r="F848" s="8">
        <f>IFERROR(MID(H848,FIND("10",H848,FIND("15",H848,FIND("01",H848)+16)+8)+2,50),"")</f>
        <v/>
      </c>
      <c r="G848" s="8" t="n"/>
      <c r="H848" s="8">
        <f>SUBSTITUTE(SUBSTITUTE(SUBSTITUTE(SUBSTITUTE(A848,"(",""),")","")," ",""),CHAR(29),"")</f>
        <v/>
      </c>
    </row>
    <row r="849">
      <c r="A849" s="4" t="n"/>
      <c r="B849" s="5">
        <f>IFERROR(MID(H849,FIND("01",H849)+2,14),"")</f>
        <v/>
      </c>
      <c r="C849" s="4">
        <f>IF(A849="","",IFERROR(VLOOKUP(B849,TblArticles,2,FALSE),"GTIN inconnu"))</f>
        <v/>
      </c>
      <c r="D849" s="5">
        <f>IF(A849="","",IFERROR(VLOOKUP(B849,TblArticles,3,FALSE),""))</f>
        <v/>
      </c>
      <c r="E849" s="6">
        <f>IFERROR(DATE(2000+VALUE(MID(H849,FIND("15",H849,FIND("01",H849)+16)+2,2)),VALUE(MID(H849,FIND("15",H849,FIND("01",H849)+16)+4,2)),VALUE(MID(H849,FIND("15",H849,FIND("01",H849)+16)+6,2))),"")</f>
        <v/>
      </c>
      <c r="F849" s="5">
        <f>IFERROR(MID(H849,FIND("10",H849,FIND("15",H849,FIND("01",H849)+16)+8)+2,50),"")</f>
        <v/>
      </c>
      <c r="G849" s="5" t="n"/>
      <c r="H849" s="5">
        <f>SUBSTITUTE(SUBSTITUTE(SUBSTITUTE(SUBSTITUTE(A849,"(",""),")","")," ",""),CHAR(29),"")</f>
        <v/>
      </c>
    </row>
    <row r="850">
      <c r="A850" s="7" t="n"/>
      <c r="B850" s="8">
        <f>IFERROR(MID(H850,FIND("01",H850)+2,14),"")</f>
        <v/>
      </c>
      <c r="C850" s="7">
        <f>IF(A850="","",IFERROR(VLOOKUP(B850,TblArticles,2,FALSE),"GTIN inconnu"))</f>
        <v/>
      </c>
      <c r="D850" s="8">
        <f>IF(A850="","",IFERROR(VLOOKUP(B850,TblArticles,3,FALSE),""))</f>
        <v/>
      </c>
      <c r="E850" s="9">
        <f>IFERROR(DATE(2000+VALUE(MID(H850,FIND("15",H850,FIND("01",H850)+16)+2,2)),VALUE(MID(H850,FIND("15",H850,FIND("01",H850)+16)+4,2)),VALUE(MID(H850,FIND("15",H850,FIND("01",H850)+16)+6,2))),"")</f>
        <v/>
      </c>
      <c r="F850" s="8">
        <f>IFERROR(MID(H850,FIND("10",H850,FIND("15",H850,FIND("01",H850)+16)+8)+2,50),"")</f>
        <v/>
      </c>
      <c r="G850" s="8" t="n"/>
      <c r="H850" s="8">
        <f>SUBSTITUTE(SUBSTITUTE(SUBSTITUTE(SUBSTITUTE(A850,"(",""),")","")," ",""),CHAR(29),"")</f>
        <v/>
      </c>
    </row>
    <row r="851">
      <c r="A851" s="4" t="n"/>
      <c r="B851" s="5">
        <f>IFERROR(MID(H851,FIND("01",H851)+2,14),"")</f>
        <v/>
      </c>
      <c r="C851" s="4">
        <f>IF(A851="","",IFERROR(VLOOKUP(B851,TblArticles,2,FALSE),"GTIN inconnu"))</f>
        <v/>
      </c>
      <c r="D851" s="5">
        <f>IF(A851="","",IFERROR(VLOOKUP(B851,TblArticles,3,FALSE),""))</f>
        <v/>
      </c>
      <c r="E851" s="6">
        <f>IFERROR(DATE(2000+VALUE(MID(H851,FIND("15",H851,FIND("01",H851)+16)+2,2)),VALUE(MID(H851,FIND("15",H851,FIND("01",H851)+16)+4,2)),VALUE(MID(H851,FIND("15",H851,FIND("01",H851)+16)+6,2))),"")</f>
        <v/>
      </c>
      <c r="F851" s="5">
        <f>IFERROR(MID(H851,FIND("10",H851,FIND("15",H851,FIND("01",H851)+16)+8)+2,50),"")</f>
        <v/>
      </c>
      <c r="G851" s="5" t="n"/>
      <c r="H851" s="5">
        <f>SUBSTITUTE(SUBSTITUTE(SUBSTITUTE(SUBSTITUTE(A851,"(",""),")","")," ",""),CHAR(29),"")</f>
        <v/>
      </c>
    </row>
    <row r="852">
      <c r="A852" s="7" t="n"/>
      <c r="B852" s="8">
        <f>IFERROR(MID(H852,FIND("01",H852)+2,14),"")</f>
        <v/>
      </c>
      <c r="C852" s="7">
        <f>IF(A852="","",IFERROR(VLOOKUP(B852,TblArticles,2,FALSE),"GTIN inconnu"))</f>
        <v/>
      </c>
      <c r="D852" s="8">
        <f>IF(A852="","",IFERROR(VLOOKUP(B852,TblArticles,3,FALSE),""))</f>
        <v/>
      </c>
      <c r="E852" s="9">
        <f>IFERROR(DATE(2000+VALUE(MID(H852,FIND("15",H852,FIND("01",H852)+16)+2,2)),VALUE(MID(H852,FIND("15",H852,FIND("01",H852)+16)+4,2)),VALUE(MID(H852,FIND("15",H852,FIND("01",H852)+16)+6,2))),"")</f>
        <v/>
      </c>
      <c r="F852" s="8">
        <f>IFERROR(MID(H852,FIND("10",H852,FIND("15",H852,FIND("01",H852)+16)+8)+2,50),"")</f>
        <v/>
      </c>
      <c r="G852" s="8" t="n"/>
      <c r="H852" s="8">
        <f>SUBSTITUTE(SUBSTITUTE(SUBSTITUTE(SUBSTITUTE(A852,"(",""),")","")," ",""),CHAR(29),"")</f>
        <v/>
      </c>
    </row>
    <row r="853">
      <c r="A853" s="4" t="n"/>
      <c r="B853" s="5">
        <f>IFERROR(MID(H853,FIND("01",H853)+2,14),"")</f>
        <v/>
      </c>
      <c r="C853" s="4">
        <f>IF(A853="","",IFERROR(VLOOKUP(B853,TblArticles,2,FALSE),"GTIN inconnu"))</f>
        <v/>
      </c>
      <c r="D853" s="5">
        <f>IF(A853="","",IFERROR(VLOOKUP(B853,TblArticles,3,FALSE),""))</f>
        <v/>
      </c>
      <c r="E853" s="6">
        <f>IFERROR(DATE(2000+VALUE(MID(H853,FIND("15",H853,FIND("01",H853)+16)+2,2)),VALUE(MID(H853,FIND("15",H853,FIND("01",H853)+16)+4,2)),VALUE(MID(H853,FIND("15",H853,FIND("01",H853)+16)+6,2))),"")</f>
        <v/>
      </c>
      <c r="F853" s="5">
        <f>IFERROR(MID(H853,FIND("10",H853,FIND("15",H853,FIND("01",H853)+16)+8)+2,50),"")</f>
        <v/>
      </c>
      <c r="G853" s="5" t="n"/>
      <c r="H853" s="5">
        <f>SUBSTITUTE(SUBSTITUTE(SUBSTITUTE(SUBSTITUTE(A853,"(",""),")","")," ",""),CHAR(29),"")</f>
        <v/>
      </c>
    </row>
    <row r="854">
      <c r="A854" s="7" t="n"/>
      <c r="B854" s="8">
        <f>IFERROR(MID(H854,FIND("01",H854)+2,14),"")</f>
        <v/>
      </c>
      <c r="C854" s="7">
        <f>IF(A854="","",IFERROR(VLOOKUP(B854,TblArticles,2,FALSE),"GTIN inconnu"))</f>
        <v/>
      </c>
      <c r="D854" s="8">
        <f>IF(A854="","",IFERROR(VLOOKUP(B854,TblArticles,3,FALSE),""))</f>
        <v/>
      </c>
      <c r="E854" s="9">
        <f>IFERROR(DATE(2000+VALUE(MID(H854,FIND("15",H854,FIND("01",H854)+16)+2,2)),VALUE(MID(H854,FIND("15",H854,FIND("01",H854)+16)+4,2)),VALUE(MID(H854,FIND("15",H854,FIND("01",H854)+16)+6,2))),"")</f>
        <v/>
      </c>
      <c r="F854" s="8">
        <f>IFERROR(MID(H854,FIND("10",H854,FIND("15",H854,FIND("01",H854)+16)+8)+2,50),"")</f>
        <v/>
      </c>
      <c r="G854" s="8" t="n"/>
      <c r="H854" s="8">
        <f>SUBSTITUTE(SUBSTITUTE(SUBSTITUTE(SUBSTITUTE(A854,"(",""),")","")," ",""),CHAR(29),"")</f>
        <v/>
      </c>
    </row>
    <row r="855">
      <c r="A855" s="4" t="n"/>
      <c r="B855" s="5">
        <f>IFERROR(MID(H855,FIND("01",H855)+2,14),"")</f>
        <v/>
      </c>
      <c r="C855" s="4">
        <f>IF(A855="","",IFERROR(VLOOKUP(B855,TblArticles,2,FALSE),"GTIN inconnu"))</f>
        <v/>
      </c>
      <c r="D855" s="5">
        <f>IF(A855="","",IFERROR(VLOOKUP(B855,TblArticles,3,FALSE),""))</f>
        <v/>
      </c>
      <c r="E855" s="6">
        <f>IFERROR(DATE(2000+VALUE(MID(H855,FIND("15",H855,FIND("01",H855)+16)+2,2)),VALUE(MID(H855,FIND("15",H855,FIND("01",H855)+16)+4,2)),VALUE(MID(H855,FIND("15",H855,FIND("01",H855)+16)+6,2))),"")</f>
        <v/>
      </c>
      <c r="F855" s="5">
        <f>IFERROR(MID(H855,FIND("10",H855,FIND("15",H855,FIND("01",H855)+16)+8)+2,50),"")</f>
        <v/>
      </c>
      <c r="G855" s="5" t="n"/>
      <c r="H855" s="5">
        <f>SUBSTITUTE(SUBSTITUTE(SUBSTITUTE(SUBSTITUTE(A855,"(",""),")","")," ",""),CHAR(29),"")</f>
        <v/>
      </c>
    </row>
    <row r="856">
      <c r="A856" s="7" t="n"/>
      <c r="B856" s="8">
        <f>IFERROR(MID(H856,FIND("01",H856)+2,14),"")</f>
        <v/>
      </c>
      <c r="C856" s="7">
        <f>IF(A856="","",IFERROR(VLOOKUP(B856,TblArticles,2,FALSE),"GTIN inconnu"))</f>
        <v/>
      </c>
      <c r="D856" s="8">
        <f>IF(A856="","",IFERROR(VLOOKUP(B856,TblArticles,3,FALSE),""))</f>
        <v/>
      </c>
      <c r="E856" s="9">
        <f>IFERROR(DATE(2000+VALUE(MID(H856,FIND("15",H856,FIND("01",H856)+16)+2,2)),VALUE(MID(H856,FIND("15",H856,FIND("01",H856)+16)+4,2)),VALUE(MID(H856,FIND("15",H856,FIND("01",H856)+16)+6,2))),"")</f>
        <v/>
      </c>
      <c r="F856" s="8">
        <f>IFERROR(MID(H856,FIND("10",H856,FIND("15",H856,FIND("01",H856)+16)+8)+2,50),"")</f>
        <v/>
      </c>
      <c r="G856" s="8" t="n"/>
      <c r="H856" s="8">
        <f>SUBSTITUTE(SUBSTITUTE(SUBSTITUTE(SUBSTITUTE(A856,"(",""),")","")," ",""),CHAR(29),"")</f>
        <v/>
      </c>
    </row>
    <row r="857">
      <c r="A857" s="4" t="n"/>
      <c r="B857" s="5">
        <f>IFERROR(MID(H857,FIND("01",H857)+2,14),"")</f>
        <v/>
      </c>
      <c r="C857" s="4">
        <f>IF(A857="","",IFERROR(VLOOKUP(B857,TblArticles,2,FALSE),"GTIN inconnu"))</f>
        <v/>
      </c>
      <c r="D857" s="5">
        <f>IF(A857="","",IFERROR(VLOOKUP(B857,TblArticles,3,FALSE),""))</f>
        <v/>
      </c>
      <c r="E857" s="6">
        <f>IFERROR(DATE(2000+VALUE(MID(H857,FIND("15",H857,FIND("01",H857)+16)+2,2)),VALUE(MID(H857,FIND("15",H857,FIND("01",H857)+16)+4,2)),VALUE(MID(H857,FIND("15",H857,FIND("01",H857)+16)+6,2))),"")</f>
        <v/>
      </c>
      <c r="F857" s="5">
        <f>IFERROR(MID(H857,FIND("10",H857,FIND("15",H857,FIND("01",H857)+16)+8)+2,50),"")</f>
        <v/>
      </c>
      <c r="G857" s="5" t="n"/>
      <c r="H857" s="5">
        <f>SUBSTITUTE(SUBSTITUTE(SUBSTITUTE(SUBSTITUTE(A857,"(",""),")","")," ",""),CHAR(29),"")</f>
        <v/>
      </c>
    </row>
    <row r="858">
      <c r="A858" s="7" t="n"/>
      <c r="B858" s="8">
        <f>IFERROR(MID(H858,FIND("01",H858)+2,14),"")</f>
        <v/>
      </c>
      <c r="C858" s="7">
        <f>IF(A858="","",IFERROR(VLOOKUP(B858,TblArticles,2,FALSE),"GTIN inconnu"))</f>
        <v/>
      </c>
      <c r="D858" s="8">
        <f>IF(A858="","",IFERROR(VLOOKUP(B858,TblArticles,3,FALSE),""))</f>
        <v/>
      </c>
      <c r="E858" s="9">
        <f>IFERROR(DATE(2000+VALUE(MID(H858,FIND("15",H858,FIND("01",H858)+16)+2,2)),VALUE(MID(H858,FIND("15",H858,FIND("01",H858)+16)+4,2)),VALUE(MID(H858,FIND("15",H858,FIND("01",H858)+16)+6,2))),"")</f>
        <v/>
      </c>
      <c r="F858" s="8">
        <f>IFERROR(MID(H858,FIND("10",H858,FIND("15",H858,FIND("01",H858)+16)+8)+2,50),"")</f>
        <v/>
      </c>
      <c r="G858" s="8" t="n"/>
      <c r="H858" s="8">
        <f>SUBSTITUTE(SUBSTITUTE(SUBSTITUTE(SUBSTITUTE(A858,"(",""),")","")," ",""),CHAR(29),"")</f>
        <v/>
      </c>
    </row>
    <row r="859">
      <c r="A859" s="4" t="n"/>
      <c r="B859" s="5">
        <f>IFERROR(MID(H859,FIND("01",H859)+2,14),"")</f>
        <v/>
      </c>
      <c r="C859" s="4">
        <f>IF(A859="","",IFERROR(VLOOKUP(B859,TblArticles,2,FALSE),"GTIN inconnu"))</f>
        <v/>
      </c>
      <c r="D859" s="5">
        <f>IF(A859="","",IFERROR(VLOOKUP(B859,TblArticles,3,FALSE),""))</f>
        <v/>
      </c>
      <c r="E859" s="6">
        <f>IFERROR(DATE(2000+VALUE(MID(H859,FIND("15",H859,FIND("01",H859)+16)+2,2)),VALUE(MID(H859,FIND("15",H859,FIND("01",H859)+16)+4,2)),VALUE(MID(H859,FIND("15",H859,FIND("01",H859)+16)+6,2))),"")</f>
        <v/>
      </c>
      <c r="F859" s="5">
        <f>IFERROR(MID(H859,FIND("10",H859,FIND("15",H859,FIND("01",H859)+16)+8)+2,50),"")</f>
        <v/>
      </c>
      <c r="G859" s="5" t="n"/>
      <c r="H859" s="5">
        <f>SUBSTITUTE(SUBSTITUTE(SUBSTITUTE(SUBSTITUTE(A859,"(",""),")","")," ",""),CHAR(29),"")</f>
        <v/>
      </c>
    </row>
    <row r="860">
      <c r="A860" s="7" t="n"/>
      <c r="B860" s="8">
        <f>IFERROR(MID(H860,FIND("01",H860)+2,14),"")</f>
        <v/>
      </c>
      <c r="C860" s="7">
        <f>IF(A860="","",IFERROR(VLOOKUP(B860,TblArticles,2,FALSE),"GTIN inconnu"))</f>
        <v/>
      </c>
      <c r="D860" s="8">
        <f>IF(A860="","",IFERROR(VLOOKUP(B860,TblArticles,3,FALSE),""))</f>
        <v/>
      </c>
      <c r="E860" s="9">
        <f>IFERROR(DATE(2000+VALUE(MID(H860,FIND("15",H860,FIND("01",H860)+16)+2,2)),VALUE(MID(H860,FIND("15",H860,FIND("01",H860)+16)+4,2)),VALUE(MID(H860,FIND("15",H860,FIND("01",H860)+16)+6,2))),"")</f>
        <v/>
      </c>
      <c r="F860" s="8">
        <f>IFERROR(MID(H860,FIND("10",H860,FIND("15",H860,FIND("01",H860)+16)+8)+2,50),"")</f>
        <v/>
      </c>
      <c r="G860" s="8" t="n"/>
      <c r="H860" s="8">
        <f>SUBSTITUTE(SUBSTITUTE(SUBSTITUTE(SUBSTITUTE(A860,"(",""),")","")," ",""),CHAR(29),"")</f>
        <v/>
      </c>
    </row>
    <row r="861">
      <c r="A861" s="4" t="n"/>
      <c r="B861" s="5">
        <f>IFERROR(MID(H861,FIND("01",H861)+2,14),"")</f>
        <v/>
      </c>
      <c r="C861" s="4">
        <f>IF(A861="","",IFERROR(VLOOKUP(B861,TblArticles,2,FALSE),"GTIN inconnu"))</f>
        <v/>
      </c>
      <c r="D861" s="5">
        <f>IF(A861="","",IFERROR(VLOOKUP(B861,TblArticles,3,FALSE),""))</f>
        <v/>
      </c>
      <c r="E861" s="6">
        <f>IFERROR(DATE(2000+VALUE(MID(H861,FIND("15",H861,FIND("01",H861)+16)+2,2)),VALUE(MID(H861,FIND("15",H861,FIND("01",H861)+16)+4,2)),VALUE(MID(H861,FIND("15",H861,FIND("01",H861)+16)+6,2))),"")</f>
        <v/>
      </c>
      <c r="F861" s="5">
        <f>IFERROR(MID(H861,FIND("10",H861,FIND("15",H861,FIND("01",H861)+16)+8)+2,50),"")</f>
        <v/>
      </c>
      <c r="G861" s="5" t="n"/>
      <c r="H861" s="5">
        <f>SUBSTITUTE(SUBSTITUTE(SUBSTITUTE(SUBSTITUTE(A861,"(",""),")","")," ",""),CHAR(29),"")</f>
        <v/>
      </c>
    </row>
    <row r="862">
      <c r="A862" s="7" t="n"/>
      <c r="B862" s="8">
        <f>IFERROR(MID(H862,FIND("01",H862)+2,14),"")</f>
        <v/>
      </c>
      <c r="C862" s="7">
        <f>IF(A862="","",IFERROR(VLOOKUP(B862,TblArticles,2,FALSE),"GTIN inconnu"))</f>
        <v/>
      </c>
      <c r="D862" s="8">
        <f>IF(A862="","",IFERROR(VLOOKUP(B862,TblArticles,3,FALSE),""))</f>
        <v/>
      </c>
      <c r="E862" s="9">
        <f>IFERROR(DATE(2000+VALUE(MID(H862,FIND("15",H862,FIND("01",H862)+16)+2,2)),VALUE(MID(H862,FIND("15",H862,FIND("01",H862)+16)+4,2)),VALUE(MID(H862,FIND("15",H862,FIND("01",H862)+16)+6,2))),"")</f>
        <v/>
      </c>
      <c r="F862" s="8">
        <f>IFERROR(MID(H862,FIND("10",H862,FIND("15",H862,FIND("01",H862)+16)+8)+2,50),"")</f>
        <v/>
      </c>
      <c r="G862" s="8" t="n"/>
      <c r="H862" s="8">
        <f>SUBSTITUTE(SUBSTITUTE(SUBSTITUTE(SUBSTITUTE(A862,"(",""),")","")," ",""),CHAR(29),"")</f>
        <v/>
      </c>
    </row>
    <row r="863">
      <c r="A863" s="4" t="n"/>
      <c r="B863" s="5">
        <f>IFERROR(MID(H863,FIND("01",H863)+2,14),"")</f>
        <v/>
      </c>
      <c r="C863" s="4">
        <f>IF(A863="","",IFERROR(VLOOKUP(B863,TblArticles,2,FALSE),"GTIN inconnu"))</f>
        <v/>
      </c>
      <c r="D863" s="5">
        <f>IF(A863="","",IFERROR(VLOOKUP(B863,TblArticles,3,FALSE),""))</f>
        <v/>
      </c>
      <c r="E863" s="6">
        <f>IFERROR(DATE(2000+VALUE(MID(H863,FIND("15",H863,FIND("01",H863)+16)+2,2)),VALUE(MID(H863,FIND("15",H863,FIND("01",H863)+16)+4,2)),VALUE(MID(H863,FIND("15",H863,FIND("01",H863)+16)+6,2))),"")</f>
        <v/>
      </c>
      <c r="F863" s="5">
        <f>IFERROR(MID(H863,FIND("10",H863,FIND("15",H863,FIND("01",H863)+16)+8)+2,50),"")</f>
        <v/>
      </c>
      <c r="G863" s="5" t="n"/>
      <c r="H863" s="5">
        <f>SUBSTITUTE(SUBSTITUTE(SUBSTITUTE(SUBSTITUTE(A863,"(",""),")","")," ",""),CHAR(29),"")</f>
        <v/>
      </c>
    </row>
    <row r="864">
      <c r="A864" s="7" t="n"/>
      <c r="B864" s="8">
        <f>IFERROR(MID(H864,FIND("01",H864)+2,14),"")</f>
        <v/>
      </c>
      <c r="C864" s="7">
        <f>IF(A864="","",IFERROR(VLOOKUP(B864,TblArticles,2,FALSE),"GTIN inconnu"))</f>
        <v/>
      </c>
      <c r="D864" s="8">
        <f>IF(A864="","",IFERROR(VLOOKUP(B864,TblArticles,3,FALSE),""))</f>
        <v/>
      </c>
      <c r="E864" s="9">
        <f>IFERROR(DATE(2000+VALUE(MID(H864,FIND("15",H864,FIND("01",H864)+16)+2,2)),VALUE(MID(H864,FIND("15",H864,FIND("01",H864)+16)+4,2)),VALUE(MID(H864,FIND("15",H864,FIND("01",H864)+16)+6,2))),"")</f>
        <v/>
      </c>
      <c r="F864" s="8">
        <f>IFERROR(MID(H864,FIND("10",H864,FIND("15",H864,FIND("01",H864)+16)+8)+2,50),"")</f>
        <v/>
      </c>
      <c r="G864" s="8" t="n"/>
      <c r="H864" s="8">
        <f>SUBSTITUTE(SUBSTITUTE(SUBSTITUTE(SUBSTITUTE(A864,"(",""),")","")," ",""),CHAR(29),"")</f>
        <v/>
      </c>
    </row>
    <row r="865">
      <c r="A865" s="4" t="n"/>
      <c r="B865" s="5">
        <f>IFERROR(MID(H865,FIND("01",H865)+2,14),"")</f>
        <v/>
      </c>
      <c r="C865" s="4">
        <f>IF(A865="","",IFERROR(VLOOKUP(B865,TblArticles,2,FALSE),"GTIN inconnu"))</f>
        <v/>
      </c>
      <c r="D865" s="5">
        <f>IF(A865="","",IFERROR(VLOOKUP(B865,TblArticles,3,FALSE),""))</f>
        <v/>
      </c>
      <c r="E865" s="6">
        <f>IFERROR(DATE(2000+VALUE(MID(H865,FIND("15",H865,FIND("01",H865)+16)+2,2)),VALUE(MID(H865,FIND("15",H865,FIND("01",H865)+16)+4,2)),VALUE(MID(H865,FIND("15",H865,FIND("01",H865)+16)+6,2))),"")</f>
        <v/>
      </c>
      <c r="F865" s="5">
        <f>IFERROR(MID(H865,FIND("10",H865,FIND("15",H865,FIND("01",H865)+16)+8)+2,50),"")</f>
        <v/>
      </c>
      <c r="G865" s="5" t="n"/>
      <c r="H865" s="5">
        <f>SUBSTITUTE(SUBSTITUTE(SUBSTITUTE(SUBSTITUTE(A865,"(",""),")","")," ",""),CHAR(29),"")</f>
        <v/>
      </c>
    </row>
    <row r="866">
      <c r="A866" s="7" t="n"/>
      <c r="B866" s="8">
        <f>IFERROR(MID(H866,FIND("01",H866)+2,14),"")</f>
        <v/>
      </c>
      <c r="C866" s="7">
        <f>IF(A866="","",IFERROR(VLOOKUP(B866,TblArticles,2,FALSE),"GTIN inconnu"))</f>
        <v/>
      </c>
      <c r="D866" s="8">
        <f>IF(A866="","",IFERROR(VLOOKUP(B866,TblArticles,3,FALSE),""))</f>
        <v/>
      </c>
      <c r="E866" s="9">
        <f>IFERROR(DATE(2000+VALUE(MID(H866,FIND("15",H866,FIND("01",H866)+16)+2,2)),VALUE(MID(H866,FIND("15",H866,FIND("01",H866)+16)+4,2)),VALUE(MID(H866,FIND("15",H866,FIND("01",H866)+16)+6,2))),"")</f>
        <v/>
      </c>
      <c r="F866" s="8">
        <f>IFERROR(MID(H866,FIND("10",H866,FIND("15",H866,FIND("01",H866)+16)+8)+2,50),"")</f>
        <v/>
      </c>
      <c r="G866" s="8" t="n"/>
      <c r="H866" s="8">
        <f>SUBSTITUTE(SUBSTITUTE(SUBSTITUTE(SUBSTITUTE(A866,"(",""),")","")," ",""),CHAR(29),"")</f>
        <v/>
      </c>
    </row>
    <row r="867">
      <c r="A867" s="4" t="n"/>
      <c r="B867" s="5">
        <f>IFERROR(MID(H867,FIND("01",H867)+2,14),"")</f>
        <v/>
      </c>
      <c r="C867" s="4">
        <f>IF(A867="","",IFERROR(VLOOKUP(B867,TblArticles,2,FALSE),"GTIN inconnu"))</f>
        <v/>
      </c>
      <c r="D867" s="5">
        <f>IF(A867="","",IFERROR(VLOOKUP(B867,TblArticles,3,FALSE),""))</f>
        <v/>
      </c>
      <c r="E867" s="6">
        <f>IFERROR(DATE(2000+VALUE(MID(H867,FIND("15",H867,FIND("01",H867)+16)+2,2)),VALUE(MID(H867,FIND("15",H867,FIND("01",H867)+16)+4,2)),VALUE(MID(H867,FIND("15",H867,FIND("01",H867)+16)+6,2))),"")</f>
        <v/>
      </c>
      <c r="F867" s="5">
        <f>IFERROR(MID(H867,FIND("10",H867,FIND("15",H867,FIND("01",H867)+16)+8)+2,50),"")</f>
        <v/>
      </c>
      <c r="G867" s="5" t="n"/>
      <c r="H867" s="5">
        <f>SUBSTITUTE(SUBSTITUTE(SUBSTITUTE(SUBSTITUTE(A867,"(",""),")","")," ",""),CHAR(29),"")</f>
        <v/>
      </c>
    </row>
    <row r="868">
      <c r="A868" s="7" t="n"/>
      <c r="B868" s="8">
        <f>IFERROR(MID(H868,FIND("01",H868)+2,14),"")</f>
        <v/>
      </c>
      <c r="C868" s="7">
        <f>IF(A868="","",IFERROR(VLOOKUP(B868,TblArticles,2,FALSE),"GTIN inconnu"))</f>
        <v/>
      </c>
      <c r="D868" s="8">
        <f>IF(A868="","",IFERROR(VLOOKUP(B868,TblArticles,3,FALSE),""))</f>
        <v/>
      </c>
      <c r="E868" s="9">
        <f>IFERROR(DATE(2000+VALUE(MID(H868,FIND("15",H868,FIND("01",H868)+16)+2,2)),VALUE(MID(H868,FIND("15",H868,FIND("01",H868)+16)+4,2)),VALUE(MID(H868,FIND("15",H868,FIND("01",H868)+16)+6,2))),"")</f>
        <v/>
      </c>
      <c r="F868" s="8">
        <f>IFERROR(MID(H868,FIND("10",H868,FIND("15",H868,FIND("01",H868)+16)+8)+2,50),"")</f>
        <v/>
      </c>
      <c r="G868" s="8" t="n"/>
      <c r="H868" s="8">
        <f>SUBSTITUTE(SUBSTITUTE(SUBSTITUTE(SUBSTITUTE(A868,"(",""),")","")," ",""),CHAR(29),"")</f>
        <v/>
      </c>
    </row>
    <row r="869">
      <c r="A869" s="4" t="n"/>
      <c r="B869" s="5">
        <f>IFERROR(MID(H869,FIND("01",H869)+2,14),"")</f>
        <v/>
      </c>
      <c r="C869" s="4">
        <f>IF(A869="","",IFERROR(VLOOKUP(B869,TblArticles,2,FALSE),"GTIN inconnu"))</f>
        <v/>
      </c>
      <c r="D869" s="5">
        <f>IF(A869="","",IFERROR(VLOOKUP(B869,TblArticles,3,FALSE),""))</f>
        <v/>
      </c>
      <c r="E869" s="6">
        <f>IFERROR(DATE(2000+VALUE(MID(H869,FIND("15",H869,FIND("01",H869)+16)+2,2)),VALUE(MID(H869,FIND("15",H869,FIND("01",H869)+16)+4,2)),VALUE(MID(H869,FIND("15",H869,FIND("01",H869)+16)+6,2))),"")</f>
        <v/>
      </c>
      <c r="F869" s="5">
        <f>IFERROR(MID(H869,FIND("10",H869,FIND("15",H869,FIND("01",H869)+16)+8)+2,50),"")</f>
        <v/>
      </c>
      <c r="G869" s="5" t="n"/>
      <c r="H869" s="5">
        <f>SUBSTITUTE(SUBSTITUTE(SUBSTITUTE(SUBSTITUTE(A869,"(",""),")","")," ",""),CHAR(29),"")</f>
        <v/>
      </c>
    </row>
    <row r="870">
      <c r="A870" s="7" t="n"/>
      <c r="B870" s="8">
        <f>IFERROR(MID(H870,FIND("01",H870)+2,14),"")</f>
        <v/>
      </c>
      <c r="C870" s="7">
        <f>IF(A870="","",IFERROR(VLOOKUP(B870,TblArticles,2,FALSE),"GTIN inconnu"))</f>
        <v/>
      </c>
      <c r="D870" s="8">
        <f>IF(A870="","",IFERROR(VLOOKUP(B870,TblArticles,3,FALSE),""))</f>
        <v/>
      </c>
      <c r="E870" s="9">
        <f>IFERROR(DATE(2000+VALUE(MID(H870,FIND("15",H870,FIND("01",H870)+16)+2,2)),VALUE(MID(H870,FIND("15",H870,FIND("01",H870)+16)+4,2)),VALUE(MID(H870,FIND("15",H870,FIND("01",H870)+16)+6,2))),"")</f>
        <v/>
      </c>
      <c r="F870" s="8">
        <f>IFERROR(MID(H870,FIND("10",H870,FIND("15",H870,FIND("01",H870)+16)+8)+2,50),"")</f>
        <v/>
      </c>
      <c r="G870" s="8" t="n"/>
      <c r="H870" s="8">
        <f>SUBSTITUTE(SUBSTITUTE(SUBSTITUTE(SUBSTITUTE(A870,"(",""),")","")," ",""),CHAR(29),"")</f>
        <v/>
      </c>
    </row>
    <row r="871">
      <c r="A871" s="4" t="n"/>
      <c r="B871" s="5">
        <f>IFERROR(MID(H871,FIND("01",H871)+2,14),"")</f>
        <v/>
      </c>
      <c r="C871" s="4">
        <f>IF(A871="","",IFERROR(VLOOKUP(B871,TblArticles,2,FALSE),"GTIN inconnu"))</f>
        <v/>
      </c>
      <c r="D871" s="5">
        <f>IF(A871="","",IFERROR(VLOOKUP(B871,TblArticles,3,FALSE),""))</f>
        <v/>
      </c>
      <c r="E871" s="6">
        <f>IFERROR(DATE(2000+VALUE(MID(H871,FIND("15",H871,FIND("01",H871)+16)+2,2)),VALUE(MID(H871,FIND("15",H871,FIND("01",H871)+16)+4,2)),VALUE(MID(H871,FIND("15",H871,FIND("01",H871)+16)+6,2))),"")</f>
        <v/>
      </c>
      <c r="F871" s="5">
        <f>IFERROR(MID(H871,FIND("10",H871,FIND("15",H871,FIND("01",H871)+16)+8)+2,50),"")</f>
        <v/>
      </c>
      <c r="G871" s="5" t="n"/>
      <c r="H871" s="5">
        <f>SUBSTITUTE(SUBSTITUTE(SUBSTITUTE(SUBSTITUTE(A871,"(",""),")","")," ",""),CHAR(29),"")</f>
        <v/>
      </c>
    </row>
    <row r="872">
      <c r="A872" s="7" t="n"/>
      <c r="B872" s="8">
        <f>IFERROR(MID(H872,FIND("01",H872)+2,14),"")</f>
        <v/>
      </c>
      <c r="C872" s="7">
        <f>IF(A872="","",IFERROR(VLOOKUP(B872,TblArticles,2,FALSE),"GTIN inconnu"))</f>
        <v/>
      </c>
      <c r="D872" s="8">
        <f>IF(A872="","",IFERROR(VLOOKUP(B872,TblArticles,3,FALSE),""))</f>
        <v/>
      </c>
      <c r="E872" s="9">
        <f>IFERROR(DATE(2000+VALUE(MID(H872,FIND("15",H872,FIND("01",H872)+16)+2,2)),VALUE(MID(H872,FIND("15",H872,FIND("01",H872)+16)+4,2)),VALUE(MID(H872,FIND("15",H872,FIND("01",H872)+16)+6,2))),"")</f>
        <v/>
      </c>
      <c r="F872" s="8">
        <f>IFERROR(MID(H872,FIND("10",H872,FIND("15",H872,FIND("01",H872)+16)+8)+2,50),"")</f>
        <v/>
      </c>
      <c r="G872" s="8" t="n"/>
      <c r="H872" s="8">
        <f>SUBSTITUTE(SUBSTITUTE(SUBSTITUTE(SUBSTITUTE(A872,"(",""),")","")," ",""),CHAR(29),"")</f>
        <v/>
      </c>
    </row>
    <row r="873">
      <c r="A873" s="4" t="n"/>
      <c r="B873" s="5">
        <f>IFERROR(MID(H873,FIND("01",H873)+2,14),"")</f>
        <v/>
      </c>
      <c r="C873" s="4">
        <f>IF(A873="","",IFERROR(VLOOKUP(B873,TblArticles,2,FALSE),"GTIN inconnu"))</f>
        <v/>
      </c>
      <c r="D873" s="5">
        <f>IF(A873="","",IFERROR(VLOOKUP(B873,TblArticles,3,FALSE),""))</f>
        <v/>
      </c>
      <c r="E873" s="6">
        <f>IFERROR(DATE(2000+VALUE(MID(H873,FIND("15",H873,FIND("01",H873)+16)+2,2)),VALUE(MID(H873,FIND("15",H873,FIND("01",H873)+16)+4,2)),VALUE(MID(H873,FIND("15",H873,FIND("01",H873)+16)+6,2))),"")</f>
        <v/>
      </c>
      <c r="F873" s="5">
        <f>IFERROR(MID(H873,FIND("10",H873,FIND("15",H873,FIND("01",H873)+16)+8)+2,50),"")</f>
        <v/>
      </c>
      <c r="G873" s="5" t="n"/>
      <c r="H873" s="5">
        <f>SUBSTITUTE(SUBSTITUTE(SUBSTITUTE(SUBSTITUTE(A873,"(",""),")","")," ",""),CHAR(29),"")</f>
        <v/>
      </c>
    </row>
    <row r="874">
      <c r="A874" s="7" t="n"/>
      <c r="B874" s="8">
        <f>IFERROR(MID(H874,FIND("01",H874)+2,14),"")</f>
        <v/>
      </c>
      <c r="C874" s="7">
        <f>IF(A874="","",IFERROR(VLOOKUP(B874,TblArticles,2,FALSE),"GTIN inconnu"))</f>
        <v/>
      </c>
      <c r="D874" s="8">
        <f>IF(A874="","",IFERROR(VLOOKUP(B874,TblArticles,3,FALSE),""))</f>
        <v/>
      </c>
      <c r="E874" s="9">
        <f>IFERROR(DATE(2000+VALUE(MID(H874,FIND("15",H874,FIND("01",H874)+16)+2,2)),VALUE(MID(H874,FIND("15",H874,FIND("01",H874)+16)+4,2)),VALUE(MID(H874,FIND("15",H874,FIND("01",H874)+16)+6,2))),"")</f>
        <v/>
      </c>
      <c r="F874" s="8">
        <f>IFERROR(MID(H874,FIND("10",H874,FIND("15",H874,FIND("01",H874)+16)+8)+2,50),"")</f>
        <v/>
      </c>
      <c r="G874" s="8" t="n"/>
      <c r="H874" s="8">
        <f>SUBSTITUTE(SUBSTITUTE(SUBSTITUTE(SUBSTITUTE(A874,"(",""),")","")," ",""),CHAR(29),"")</f>
        <v/>
      </c>
    </row>
    <row r="875">
      <c r="A875" s="4" t="n"/>
      <c r="B875" s="5">
        <f>IFERROR(MID(H875,FIND("01",H875)+2,14),"")</f>
        <v/>
      </c>
      <c r="C875" s="4">
        <f>IF(A875="","",IFERROR(VLOOKUP(B875,TblArticles,2,FALSE),"GTIN inconnu"))</f>
        <v/>
      </c>
      <c r="D875" s="5">
        <f>IF(A875="","",IFERROR(VLOOKUP(B875,TblArticles,3,FALSE),""))</f>
        <v/>
      </c>
      <c r="E875" s="6">
        <f>IFERROR(DATE(2000+VALUE(MID(H875,FIND("15",H875,FIND("01",H875)+16)+2,2)),VALUE(MID(H875,FIND("15",H875,FIND("01",H875)+16)+4,2)),VALUE(MID(H875,FIND("15",H875,FIND("01",H875)+16)+6,2))),"")</f>
        <v/>
      </c>
      <c r="F875" s="5">
        <f>IFERROR(MID(H875,FIND("10",H875,FIND("15",H875,FIND("01",H875)+16)+8)+2,50),"")</f>
        <v/>
      </c>
      <c r="G875" s="5" t="n"/>
      <c r="H875" s="5">
        <f>SUBSTITUTE(SUBSTITUTE(SUBSTITUTE(SUBSTITUTE(A875,"(",""),")","")," ",""),CHAR(29),"")</f>
        <v/>
      </c>
    </row>
    <row r="876">
      <c r="A876" s="7" t="n"/>
      <c r="B876" s="8">
        <f>IFERROR(MID(H876,FIND("01",H876)+2,14),"")</f>
        <v/>
      </c>
      <c r="C876" s="7">
        <f>IF(A876="","",IFERROR(VLOOKUP(B876,TblArticles,2,FALSE),"GTIN inconnu"))</f>
        <v/>
      </c>
      <c r="D876" s="8">
        <f>IF(A876="","",IFERROR(VLOOKUP(B876,TblArticles,3,FALSE),""))</f>
        <v/>
      </c>
      <c r="E876" s="9">
        <f>IFERROR(DATE(2000+VALUE(MID(H876,FIND("15",H876,FIND("01",H876)+16)+2,2)),VALUE(MID(H876,FIND("15",H876,FIND("01",H876)+16)+4,2)),VALUE(MID(H876,FIND("15",H876,FIND("01",H876)+16)+6,2))),"")</f>
        <v/>
      </c>
      <c r="F876" s="8">
        <f>IFERROR(MID(H876,FIND("10",H876,FIND("15",H876,FIND("01",H876)+16)+8)+2,50),"")</f>
        <v/>
      </c>
      <c r="G876" s="8" t="n"/>
      <c r="H876" s="8">
        <f>SUBSTITUTE(SUBSTITUTE(SUBSTITUTE(SUBSTITUTE(A876,"(",""),")","")," ",""),CHAR(29),"")</f>
        <v/>
      </c>
    </row>
    <row r="877">
      <c r="A877" s="4" t="n"/>
      <c r="B877" s="5">
        <f>IFERROR(MID(H877,FIND("01",H877)+2,14),"")</f>
        <v/>
      </c>
      <c r="C877" s="4">
        <f>IF(A877="","",IFERROR(VLOOKUP(B877,TblArticles,2,FALSE),"GTIN inconnu"))</f>
        <v/>
      </c>
      <c r="D877" s="5">
        <f>IF(A877="","",IFERROR(VLOOKUP(B877,TblArticles,3,FALSE),""))</f>
        <v/>
      </c>
      <c r="E877" s="6">
        <f>IFERROR(DATE(2000+VALUE(MID(H877,FIND("15",H877,FIND("01",H877)+16)+2,2)),VALUE(MID(H877,FIND("15",H877,FIND("01",H877)+16)+4,2)),VALUE(MID(H877,FIND("15",H877,FIND("01",H877)+16)+6,2))),"")</f>
        <v/>
      </c>
      <c r="F877" s="5">
        <f>IFERROR(MID(H877,FIND("10",H877,FIND("15",H877,FIND("01",H877)+16)+8)+2,50),"")</f>
        <v/>
      </c>
      <c r="G877" s="5" t="n"/>
      <c r="H877" s="5">
        <f>SUBSTITUTE(SUBSTITUTE(SUBSTITUTE(SUBSTITUTE(A877,"(",""),")","")," ",""),CHAR(29),"")</f>
        <v/>
      </c>
    </row>
    <row r="878">
      <c r="A878" s="7" t="n"/>
      <c r="B878" s="8">
        <f>IFERROR(MID(H878,FIND("01",H878)+2,14),"")</f>
        <v/>
      </c>
      <c r="C878" s="7">
        <f>IF(A878="","",IFERROR(VLOOKUP(B878,TblArticles,2,FALSE),"GTIN inconnu"))</f>
        <v/>
      </c>
      <c r="D878" s="8">
        <f>IF(A878="","",IFERROR(VLOOKUP(B878,TblArticles,3,FALSE),""))</f>
        <v/>
      </c>
      <c r="E878" s="9">
        <f>IFERROR(DATE(2000+VALUE(MID(H878,FIND("15",H878,FIND("01",H878)+16)+2,2)),VALUE(MID(H878,FIND("15",H878,FIND("01",H878)+16)+4,2)),VALUE(MID(H878,FIND("15",H878,FIND("01",H878)+16)+6,2))),"")</f>
        <v/>
      </c>
      <c r="F878" s="8">
        <f>IFERROR(MID(H878,FIND("10",H878,FIND("15",H878,FIND("01",H878)+16)+8)+2,50),"")</f>
        <v/>
      </c>
      <c r="G878" s="8" t="n"/>
      <c r="H878" s="8">
        <f>SUBSTITUTE(SUBSTITUTE(SUBSTITUTE(SUBSTITUTE(A878,"(",""),")","")," ",""),CHAR(29),"")</f>
        <v/>
      </c>
    </row>
    <row r="879">
      <c r="A879" s="4" t="n"/>
      <c r="B879" s="5">
        <f>IFERROR(MID(H879,FIND("01",H879)+2,14),"")</f>
        <v/>
      </c>
      <c r="C879" s="4">
        <f>IF(A879="","",IFERROR(VLOOKUP(B879,TblArticles,2,FALSE),"GTIN inconnu"))</f>
        <v/>
      </c>
      <c r="D879" s="5">
        <f>IF(A879="","",IFERROR(VLOOKUP(B879,TblArticles,3,FALSE),""))</f>
        <v/>
      </c>
      <c r="E879" s="6">
        <f>IFERROR(DATE(2000+VALUE(MID(H879,FIND("15",H879,FIND("01",H879)+16)+2,2)),VALUE(MID(H879,FIND("15",H879,FIND("01",H879)+16)+4,2)),VALUE(MID(H879,FIND("15",H879,FIND("01",H879)+16)+6,2))),"")</f>
        <v/>
      </c>
      <c r="F879" s="5">
        <f>IFERROR(MID(H879,FIND("10",H879,FIND("15",H879,FIND("01",H879)+16)+8)+2,50),"")</f>
        <v/>
      </c>
      <c r="G879" s="5" t="n"/>
      <c r="H879" s="5">
        <f>SUBSTITUTE(SUBSTITUTE(SUBSTITUTE(SUBSTITUTE(A879,"(",""),")","")," ",""),CHAR(29),"")</f>
        <v/>
      </c>
    </row>
    <row r="880">
      <c r="A880" s="7" t="n"/>
      <c r="B880" s="8">
        <f>IFERROR(MID(H880,FIND("01",H880)+2,14),"")</f>
        <v/>
      </c>
      <c r="C880" s="7">
        <f>IF(A880="","",IFERROR(VLOOKUP(B880,TblArticles,2,FALSE),"GTIN inconnu"))</f>
        <v/>
      </c>
      <c r="D880" s="8">
        <f>IF(A880="","",IFERROR(VLOOKUP(B880,TblArticles,3,FALSE),""))</f>
        <v/>
      </c>
      <c r="E880" s="9">
        <f>IFERROR(DATE(2000+VALUE(MID(H880,FIND("15",H880,FIND("01",H880)+16)+2,2)),VALUE(MID(H880,FIND("15",H880,FIND("01",H880)+16)+4,2)),VALUE(MID(H880,FIND("15",H880,FIND("01",H880)+16)+6,2))),"")</f>
        <v/>
      </c>
      <c r="F880" s="8">
        <f>IFERROR(MID(H880,FIND("10",H880,FIND("15",H880,FIND("01",H880)+16)+8)+2,50),"")</f>
        <v/>
      </c>
      <c r="G880" s="8" t="n"/>
      <c r="H880" s="8">
        <f>SUBSTITUTE(SUBSTITUTE(SUBSTITUTE(SUBSTITUTE(A880,"(",""),")","")," ",""),CHAR(29),"")</f>
        <v/>
      </c>
    </row>
    <row r="881">
      <c r="A881" s="4" t="n"/>
      <c r="B881" s="5">
        <f>IFERROR(MID(H881,FIND("01",H881)+2,14),"")</f>
        <v/>
      </c>
      <c r="C881" s="4">
        <f>IF(A881="","",IFERROR(VLOOKUP(B881,TblArticles,2,FALSE),"GTIN inconnu"))</f>
        <v/>
      </c>
      <c r="D881" s="5">
        <f>IF(A881="","",IFERROR(VLOOKUP(B881,TblArticles,3,FALSE),""))</f>
        <v/>
      </c>
      <c r="E881" s="6">
        <f>IFERROR(DATE(2000+VALUE(MID(H881,FIND("15",H881,FIND("01",H881)+16)+2,2)),VALUE(MID(H881,FIND("15",H881,FIND("01",H881)+16)+4,2)),VALUE(MID(H881,FIND("15",H881,FIND("01",H881)+16)+6,2))),"")</f>
        <v/>
      </c>
      <c r="F881" s="5">
        <f>IFERROR(MID(H881,FIND("10",H881,FIND("15",H881,FIND("01",H881)+16)+8)+2,50),"")</f>
        <v/>
      </c>
      <c r="G881" s="5" t="n"/>
      <c r="H881" s="5">
        <f>SUBSTITUTE(SUBSTITUTE(SUBSTITUTE(SUBSTITUTE(A881,"(",""),")","")," ",""),CHAR(29),"")</f>
        <v/>
      </c>
    </row>
    <row r="882">
      <c r="A882" s="7" t="n"/>
      <c r="B882" s="8">
        <f>IFERROR(MID(H882,FIND("01",H882)+2,14),"")</f>
        <v/>
      </c>
      <c r="C882" s="7">
        <f>IF(A882="","",IFERROR(VLOOKUP(B882,TblArticles,2,FALSE),"GTIN inconnu"))</f>
        <v/>
      </c>
      <c r="D882" s="8">
        <f>IF(A882="","",IFERROR(VLOOKUP(B882,TblArticles,3,FALSE),""))</f>
        <v/>
      </c>
      <c r="E882" s="9">
        <f>IFERROR(DATE(2000+VALUE(MID(H882,FIND("15",H882,FIND("01",H882)+16)+2,2)),VALUE(MID(H882,FIND("15",H882,FIND("01",H882)+16)+4,2)),VALUE(MID(H882,FIND("15",H882,FIND("01",H882)+16)+6,2))),"")</f>
        <v/>
      </c>
      <c r="F882" s="8">
        <f>IFERROR(MID(H882,FIND("10",H882,FIND("15",H882,FIND("01",H882)+16)+8)+2,50),"")</f>
        <v/>
      </c>
      <c r="G882" s="8" t="n"/>
      <c r="H882" s="8">
        <f>SUBSTITUTE(SUBSTITUTE(SUBSTITUTE(SUBSTITUTE(A882,"(",""),")","")," ",""),CHAR(29),"")</f>
        <v/>
      </c>
    </row>
    <row r="883">
      <c r="A883" s="4" t="n"/>
      <c r="B883" s="5">
        <f>IFERROR(MID(H883,FIND("01",H883)+2,14),"")</f>
        <v/>
      </c>
      <c r="C883" s="4">
        <f>IF(A883="","",IFERROR(VLOOKUP(B883,TblArticles,2,FALSE),"GTIN inconnu"))</f>
        <v/>
      </c>
      <c r="D883" s="5">
        <f>IF(A883="","",IFERROR(VLOOKUP(B883,TblArticles,3,FALSE),""))</f>
        <v/>
      </c>
      <c r="E883" s="6">
        <f>IFERROR(DATE(2000+VALUE(MID(H883,FIND("15",H883,FIND("01",H883)+16)+2,2)),VALUE(MID(H883,FIND("15",H883,FIND("01",H883)+16)+4,2)),VALUE(MID(H883,FIND("15",H883,FIND("01",H883)+16)+6,2))),"")</f>
        <v/>
      </c>
      <c r="F883" s="5">
        <f>IFERROR(MID(H883,FIND("10",H883,FIND("15",H883,FIND("01",H883)+16)+8)+2,50),"")</f>
        <v/>
      </c>
      <c r="G883" s="5" t="n"/>
      <c r="H883" s="5">
        <f>SUBSTITUTE(SUBSTITUTE(SUBSTITUTE(SUBSTITUTE(A883,"(",""),")","")," ",""),CHAR(29),"")</f>
        <v/>
      </c>
    </row>
    <row r="884">
      <c r="A884" s="7" t="n"/>
      <c r="B884" s="8">
        <f>IFERROR(MID(H884,FIND("01",H884)+2,14),"")</f>
        <v/>
      </c>
      <c r="C884" s="7">
        <f>IF(A884="","",IFERROR(VLOOKUP(B884,TblArticles,2,FALSE),"GTIN inconnu"))</f>
        <v/>
      </c>
      <c r="D884" s="8">
        <f>IF(A884="","",IFERROR(VLOOKUP(B884,TblArticles,3,FALSE),""))</f>
        <v/>
      </c>
      <c r="E884" s="9">
        <f>IFERROR(DATE(2000+VALUE(MID(H884,FIND("15",H884,FIND("01",H884)+16)+2,2)),VALUE(MID(H884,FIND("15",H884,FIND("01",H884)+16)+4,2)),VALUE(MID(H884,FIND("15",H884,FIND("01",H884)+16)+6,2))),"")</f>
        <v/>
      </c>
      <c r="F884" s="8">
        <f>IFERROR(MID(H884,FIND("10",H884,FIND("15",H884,FIND("01",H884)+16)+8)+2,50),"")</f>
        <v/>
      </c>
      <c r="G884" s="8" t="n"/>
      <c r="H884" s="8">
        <f>SUBSTITUTE(SUBSTITUTE(SUBSTITUTE(SUBSTITUTE(A884,"(",""),")","")," ",""),CHAR(29),"")</f>
        <v/>
      </c>
    </row>
    <row r="885">
      <c r="A885" s="4" t="n"/>
      <c r="B885" s="5">
        <f>IFERROR(MID(H885,FIND("01",H885)+2,14),"")</f>
        <v/>
      </c>
      <c r="C885" s="4">
        <f>IF(A885="","",IFERROR(VLOOKUP(B885,TblArticles,2,FALSE),"GTIN inconnu"))</f>
        <v/>
      </c>
      <c r="D885" s="5">
        <f>IF(A885="","",IFERROR(VLOOKUP(B885,TblArticles,3,FALSE),""))</f>
        <v/>
      </c>
      <c r="E885" s="6">
        <f>IFERROR(DATE(2000+VALUE(MID(H885,FIND("15",H885,FIND("01",H885)+16)+2,2)),VALUE(MID(H885,FIND("15",H885,FIND("01",H885)+16)+4,2)),VALUE(MID(H885,FIND("15",H885,FIND("01",H885)+16)+6,2))),"")</f>
        <v/>
      </c>
      <c r="F885" s="5">
        <f>IFERROR(MID(H885,FIND("10",H885,FIND("15",H885,FIND("01",H885)+16)+8)+2,50),"")</f>
        <v/>
      </c>
      <c r="G885" s="5" t="n"/>
      <c r="H885" s="5">
        <f>SUBSTITUTE(SUBSTITUTE(SUBSTITUTE(SUBSTITUTE(A885,"(",""),")","")," ",""),CHAR(29),"")</f>
        <v/>
      </c>
    </row>
    <row r="886">
      <c r="A886" s="7" t="n"/>
      <c r="B886" s="8">
        <f>IFERROR(MID(H886,FIND("01",H886)+2,14),"")</f>
        <v/>
      </c>
      <c r="C886" s="7">
        <f>IF(A886="","",IFERROR(VLOOKUP(B886,TblArticles,2,FALSE),"GTIN inconnu"))</f>
        <v/>
      </c>
      <c r="D886" s="8">
        <f>IF(A886="","",IFERROR(VLOOKUP(B886,TblArticles,3,FALSE),""))</f>
        <v/>
      </c>
      <c r="E886" s="9">
        <f>IFERROR(DATE(2000+VALUE(MID(H886,FIND("15",H886,FIND("01",H886)+16)+2,2)),VALUE(MID(H886,FIND("15",H886,FIND("01",H886)+16)+4,2)),VALUE(MID(H886,FIND("15",H886,FIND("01",H886)+16)+6,2))),"")</f>
        <v/>
      </c>
      <c r="F886" s="8">
        <f>IFERROR(MID(H886,FIND("10",H886,FIND("15",H886,FIND("01",H886)+16)+8)+2,50),"")</f>
        <v/>
      </c>
      <c r="G886" s="8" t="n"/>
      <c r="H886" s="8">
        <f>SUBSTITUTE(SUBSTITUTE(SUBSTITUTE(SUBSTITUTE(A886,"(",""),")","")," ",""),CHAR(29),"")</f>
        <v/>
      </c>
    </row>
    <row r="887">
      <c r="A887" s="4" t="n"/>
      <c r="B887" s="5">
        <f>IFERROR(MID(H887,FIND("01",H887)+2,14),"")</f>
        <v/>
      </c>
      <c r="C887" s="4">
        <f>IF(A887="","",IFERROR(VLOOKUP(B887,TblArticles,2,FALSE),"GTIN inconnu"))</f>
        <v/>
      </c>
      <c r="D887" s="5">
        <f>IF(A887="","",IFERROR(VLOOKUP(B887,TblArticles,3,FALSE),""))</f>
        <v/>
      </c>
      <c r="E887" s="6">
        <f>IFERROR(DATE(2000+VALUE(MID(H887,FIND("15",H887,FIND("01",H887)+16)+2,2)),VALUE(MID(H887,FIND("15",H887,FIND("01",H887)+16)+4,2)),VALUE(MID(H887,FIND("15",H887,FIND("01",H887)+16)+6,2))),"")</f>
        <v/>
      </c>
      <c r="F887" s="5">
        <f>IFERROR(MID(H887,FIND("10",H887,FIND("15",H887,FIND("01",H887)+16)+8)+2,50),"")</f>
        <v/>
      </c>
      <c r="G887" s="5" t="n"/>
      <c r="H887" s="5">
        <f>SUBSTITUTE(SUBSTITUTE(SUBSTITUTE(SUBSTITUTE(A887,"(",""),")","")," ",""),CHAR(29),"")</f>
        <v/>
      </c>
    </row>
    <row r="888">
      <c r="A888" s="7" t="n"/>
      <c r="B888" s="8">
        <f>IFERROR(MID(H888,FIND("01",H888)+2,14),"")</f>
        <v/>
      </c>
      <c r="C888" s="7">
        <f>IF(A888="","",IFERROR(VLOOKUP(B888,TblArticles,2,FALSE),"GTIN inconnu"))</f>
        <v/>
      </c>
      <c r="D888" s="8">
        <f>IF(A888="","",IFERROR(VLOOKUP(B888,TblArticles,3,FALSE),""))</f>
        <v/>
      </c>
      <c r="E888" s="9">
        <f>IFERROR(DATE(2000+VALUE(MID(H888,FIND("15",H888,FIND("01",H888)+16)+2,2)),VALUE(MID(H888,FIND("15",H888,FIND("01",H888)+16)+4,2)),VALUE(MID(H888,FIND("15",H888,FIND("01",H888)+16)+6,2))),"")</f>
        <v/>
      </c>
      <c r="F888" s="8">
        <f>IFERROR(MID(H888,FIND("10",H888,FIND("15",H888,FIND("01",H888)+16)+8)+2,50),"")</f>
        <v/>
      </c>
      <c r="G888" s="8" t="n"/>
      <c r="H888" s="8">
        <f>SUBSTITUTE(SUBSTITUTE(SUBSTITUTE(SUBSTITUTE(A888,"(",""),")","")," ",""),CHAR(29),"")</f>
        <v/>
      </c>
    </row>
    <row r="889">
      <c r="A889" s="4" t="n"/>
      <c r="B889" s="5">
        <f>IFERROR(MID(H889,FIND("01",H889)+2,14),"")</f>
        <v/>
      </c>
      <c r="C889" s="4">
        <f>IF(A889="","",IFERROR(VLOOKUP(B889,TblArticles,2,FALSE),"GTIN inconnu"))</f>
        <v/>
      </c>
      <c r="D889" s="5">
        <f>IF(A889="","",IFERROR(VLOOKUP(B889,TblArticles,3,FALSE),""))</f>
        <v/>
      </c>
      <c r="E889" s="6">
        <f>IFERROR(DATE(2000+VALUE(MID(H889,FIND("15",H889,FIND("01",H889)+16)+2,2)),VALUE(MID(H889,FIND("15",H889,FIND("01",H889)+16)+4,2)),VALUE(MID(H889,FIND("15",H889,FIND("01",H889)+16)+6,2))),"")</f>
        <v/>
      </c>
      <c r="F889" s="5">
        <f>IFERROR(MID(H889,FIND("10",H889,FIND("15",H889,FIND("01",H889)+16)+8)+2,50),"")</f>
        <v/>
      </c>
      <c r="G889" s="5" t="n"/>
      <c r="H889" s="5">
        <f>SUBSTITUTE(SUBSTITUTE(SUBSTITUTE(SUBSTITUTE(A889,"(",""),")","")," ",""),CHAR(29),"")</f>
        <v/>
      </c>
    </row>
    <row r="890">
      <c r="A890" s="7" t="n"/>
      <c r="B890" s="8">
        <f>IFERROR(MID(H890,FIND("01",H890)+2,14),"")</f>
        <v/>
      </c>
      <c r="C890" s="7">
        <f>IF(A890="","",IFERROR(VLOOKUP(B890,TblArticles,2,FALSE),"GTIN inconnu"))</f>
        <v/>
      </c>
      <c r="D890" s="8">
        <f>IF(A890="","",IFERROR(VLOOKUP(B890,TblArticles,3,FALSE),""))</f>
        <v/>
      </c>
      <c r="E890" s="9">
        <f>IFERROR(DATE(2000+VALUE(MID(H890,FIND("15",H890,FIND("01",H890)+16)+2,2)),VALUE(MID(H890,FIND("15",H890,FIND("01",H890)+16)+4,2)),VALUE(MID(H890,FIND("15",H890,FIND("01",H890)+16)+6,2))),"")</f>
        <v/>
      </c>
      <c r="F890" s="8">
        <f>IFERROR(MID(H890,FIND("10",H890,FIND("15",H890,FIND("01",H890)+16)+8)+2,50),"")</f>
        <v/>
      </c>
      <c r="G890" s="8" t="n"/>
      <c r="H890" s="8">
        <f>SUBSTITUTE(SUBSTITUTE(SUBSTITUTE(SUBSTITUTE(A890,"(",""),")","")," ",""),CHAR(29),"")</f>
        <v/>
      </c>
    </row>
    <row r="891">
      <c r="A891" s="4" t="n"/>
      <c r="B891" s="5">
        <f>IFERROR(MID(H891,FIND("01",H891)+2,14),"")</f>
        <v/>
      </c>
      <c r="C891" s="4">
        <f>IF(A891="","",IFERROR(VLOOKUP(B891,TblArticles,2,FALSE),"GTIN inconnu"))</f>
        <v/>
      </c>
      <c r="D891" s="5">
        <f>IF(A891="","",IFERROR(VLOOKUP(B891,TblArticles,3,FALSE),""))</f>
        <v/>
      </c>
      <c r="E891" s="6">
        <f>IFERROR(DATE(2000+VALUE(MID(H891,FIND("15",H891,FIND("01",H891)+16)+2,2)),VALUE(MID(H891,FIND("15",H891,FIND("01",H891)+16)+4,2)),VALUE(MID(H891,FIND("15",H891,FIND("01",H891)+16)+6,2))),"")</f>
        <v/>
      </c>
      <c r="F891" s="5">
        <f>IFERROR(MID(H891,FIND("10",H891,FIND("15",H891,FIND("01",H891)+16)+8)+2,50),"")</f>
        <v/>
      </c>
      <c r="G891" s="5" t="n"/>
      <c r="H891" s="5">
        <f>SUBSTITUTE(SUBSTITUTE(SUBSTITUTE(SUBSTITUTE(A891,"(",""),")","")," ",""),CHAR(29),"")</f>
        <v/>
      </c>
    </row>
    <row r="892">
      <c r="A892" s="7" t="n"/>
      <c r="B892" s="8">
        <f>IFERROR(MID(H892,FIND("01",H892)+2,14),"")</f>
        <v/>
      </c>
      <c r="C892" s="7">
        <f>IF(A892="","",IFERROR(VLOOKUP(B892,TblArticles,2,FALSE),"GTIN inconnu"))</f>
        <v/>
      </c>
      <c r="D892" s="8">
        <f>IF(A892="","",IFERROR(VLOOKUP(B892,TblArticles,3,FALSE),""))</f>
        <v/>
      </c>
      <c r="E892" s="9">
        <f>IFERROR(DATE(2000+VALUE(MID(H892,FIND("15",H892,FIND("01",H892)+16)+2,2)),VALUE(MID(H892,FIND("15",H892,FIND("01",H892)+16)+4,2)),VALUE(MID(H892,FIND("15",H892,FIND("01",H892)+16)+6,2))),"")</f>
        <v/>
      </c>
      <c r="F892" s="8">
        <f>IFERROR(MID(H892,FIND("10",H892,FIND("15",H892,FIND("01",H892)+16)+8)+2,50),"")</f>
        <v/>
      </c>
      <c r="G892" s="8" t="n"/>
      <c r="H892" s="8">
        <f>SUBSTITUTE(SUBSTITUTE(SUBSTITUTE(SUBSTITUTE(A892,"(",""),")","")," ",""),CHAR(29),"")</f>
        <v/>
      </c>
    </row>
    <row r="893">
      <c r="A893" s="4" t="n"/>
      <c r="B893" s="5">
        <f>IFERROR(MID(H893,FIND("01",H893)+2,14),"")</f>
        <v/>
      </c>
      <c r="C893" s="4">
        <f>IF(A893="","",IFERROR(VLOOKUP(B893,TblArticles,2,FALSE),"GTIN inconnu"))</f>
        <v/>
      </c>
      <c r="D893" s="5">
        <f>IF(A893="","",IFERROR(VLOOKUP(B893,TblArticles,3,FALSE),""))</f>
        <v/>
      </c>
      <c r="E893" s="6">
        <f>IFERROR(DATE(2000+VALUE(MID(H893,FIND("15",H893,FIND("01",H893)+16)+2,2)),VALUE(MID(H893,FIND("15",H893,FIND("01",H893)+16)+4,2)),VALUE(MID(H893,FIND("15",H893,FIND("01",H893)+16)+6,2))),"")</f>
        <v/>
      </c>
      <c r="F893" s="5">
        <f>IFERROR(MID(H893,FIND("10",H893,FIND("15",H893,FIND("01",H893)+16)+8)+2,50),"")</f>
        <v/>
      </c>
      <c r="G893" s="5" t="n"/>
      <c r="H893" s="5">
        <f>SUBSTITUTE(SUBSTITUTE(SUBSTITUTE(SUBSTITUTE(A893,"(",""),")","")," ",""),CHAR(29),"")</f>
        <v/>
      </c>
    </row>
    <row r="894">
      <c r="A894" s="7" t="n"/>
      <c r="B894" s="8">
        <f>IFERROR(MID(H894,FIND("01",H894)+2,14),"")</f>
        <v/>
      </c>
      <c r="C894" s="7">
        <f>IF(A894="","",IFERROR(VLOOKUP(B894,TblArticles,2,FALSE),"GTIN inconnu"))</f>
        <v/>
      </c>
      <c r="D894" s="8">
        <f>IF(A894="","",IFERROR(VLOOKUP(B894,TblArticles,3,FALSE),""))</f>
        <v/>
      </c>
      <c r="E894" s="9">
        <f>IFERROR(DATE(2000+VALUE(MID(H894,FIND("15",H894,FIND("01",H894)+16)+2,2)),VALUE(MID(H894,FIND("15",H894,FIND("01",H894)+16)+4,2)),VALUE(MID(H894,FIND("15",H894,FIND("01",H894)+16)+6,2))),"")</f>
        <v/>
      </c>
      <c r="F894" s="8">
        <f>IFERROR(MID(H894,FIND("10",H894,FIND("15",H894,FIND("01",H894)+16)+8)+2,50),"")</f>
        <v/>
      </c>
      <c r="G894" s="8" t="n"/>
      <c r="H894" s="8">
        <f>SUBSTITUTE(SUBSTITUTE(SUBSTITUTE(SUBSTITUTE(A894,"(",""),")","")," ",""),CHAR(29),"")</f>
        <v/>
      </c>
    </row>
    <row r="895">
      <c r="A895" s="4" t="n"/>
      <c r="B895" s="5">
        <f>IFERROR(MID(H895,FIND("01",H895)+2,14),"")</f>
        <v/>
      </c>
      <c r="C895" s="4">
        <f>IF(A895="","",IFERROR(VLOOKUP(B895,TblArticles,2,FALSE),"GTIN inconnu"))</f>
        <v/>
      </c>
      <c r="D895" s="5">
        <f>IF(A895="","",IFERROR(VLOOKUP(B895,TblArticles,3,FALSE),""))</f>
        <v/>
      </c>
      <c r="E895" s="6">
        <f>IFERROR(DATE(2000+VALUE(MID(H895,FIND("15",H895,FIND("01",H895)+16)+2,2)),VALUE(MID(H895,FIND("15",H895,FIND("01",H895)+16)+4,2)),VALUE(MID(H895,FIND("15",H895,FIND("01",H895)+16)+6,2))),"")</f>
        <v/>
      </c>
      <c r="F895" s="5">
        <f>IFERROR(MID(H895,FIND("10",H895,FIND("15",H895,FIND("01",H895)+16)+8)+2,50),"")</f>
        <v/>
      </c>
      <c r="G895" s="5" t="n"/>
      <c r="H895" s="5">
        <f>SUBSTITUTE(SUBSTITUTE(SUBSTITUTE(SUBSTITUTE(A895,"(",""),")","")," ",""),CHAR(29),"")</f>
        <v/>
      </c>
    </row>
    <row r="896">
      <c r="A896" s="7" t="n"/>
      <c r="B896" s="8">
        <f>IFERROR(MID(H896,FIND("01",H896)+2,14),"")</f>
        <v/>
      </c>
      <c r="C896" s="7">
        <f>IF(A896="","",IFERROR(VLOOKUP(B896,TblArticles,2,FALSE),"GTIN inconnu"))</f>
        <v/>
      </c>
      <c r="D896" s="8">
        <f>IF(A896="","",IFERROR(VLOOKUP(B896,TblArticles,3,FALSE),""))</f>
        <v/>
      </c>
      <c r="E896" s="9">
        <f>IFERROR(DATE(2000+VALUE(MID(H896,FIND("15",H896,FIND("01",H896)+16)+2,2)),VALUE(MID(H896,FIND("15",H896,FIND("01",H896)+16)+4,2)),VALUE(MID(H896,FIND("15",H896,FIND("01",H896)+16)+6,2))),"")</f>
        <v/>
      </c>
      <c r="F896" s="8">
        <f>IFERROR(MID(H896,FIND("10",H896,FIND("15",H896,FIND("01",H896)+16)+8)+2,50),"")</f>
        <v/>
      </c>
      <c r="G896" s="8" t="n"/>
      <c r="H896" s="8">
        <f>SUBSTITUTE(SUBSTITUTE(SUBSTITUTE(SUBSTITUTE(A896,"(",""),")","")," ",""),CHAR(29),"")</f>
        <v/>
      </c>
    </row>
    <row r="897">
      <c r="A897" s="4" t="n"/>
      <c r="B897" s="5">
        <f>IFERROR(MID(H897,FIND("01",H897)+2,14),"")</f>
        <v/>
      </c>
      <c r="C897" s="4">
        <f>IF(A897="","",IFERROR(VLOOKUP(B897,TblArticles,2,FALSE),"GTIN inconnu"))</f>
        <v/>
      </c>
      <c r="D897" s="5">
        <f>IF(A897="","",IFERROR(VLOOKUP(B897,TblArticles,3,FALSE),""))</f>
        <v/>
      </c>
      <c r="E897" s="6">
        <f>IFERROR(DATE(2000+VALUE(MID(H897,FIND("15",H897,FIND("01",H897)+16)+2,2)),VALUE(MID(H897,FIND("15",H897,FIND("01",H897)+16)+4,2)),VALUE(MID(H897,FIND("15",H897,FIND("01",H897)+16)+6,2))),"")</f>
        <v/>
      </c>
      <c r="F897" s="5">
        <f>IFERROR(MID(H897,FIND("10",H897,FIND("15",H897,FIND("01",H897)+16)+8)+2,50),"")</f>
        <v/>
      </c>
      <c r="G897" s="5" t="n"/>
      <c r="H897" s="5">
        <f>SUBSTITUTE(SUBSTITUTE(SUBSTITUTE(SUBSTITUTE(A897,"(",""),")","")," ",""),CHAR(29),"")</f>
        <v/>
      </c>
    </row>
    <row r="898">
      <c r="A898" s="7" t="n"/>
      <c r="B898" s="8">
        <f>IFERROR(MID(H898,FIND("01",H898)+2,14),"")</f>
        <v/>
      </c>
      <c r="C898" s="7">
        <f>IF(A898="","",IFERROR(VLOOKUP(B898,TblArticles,2,FALSE),"GTIN inconnu"))</f>
        <v/>
      </c>
      <c r="D898" s="8">
        <f>IF(A898="","",IFERROR(VLOOKUP(B898,TblArticles,3,FALSE),""))</f>
        <v/>
      </c>
      <c r="E898" s="9">
        <f>IFERROR(DATE(2000+VALUE(MID(H898,FIND("15",H898,FIND("01",H898)+16)+2,2)),VALUE(MID(H898,FIND("15",H898,FIND("01",H898)+16)+4,2)),VALUE(MID(H898,FIND("15",H898,FIND("01",H898)+16)+6,2))),"")</f>
        <v/>
      </c>
      <c r="F898" s="8">
        <f>IFERROR(MID(H898,FIND("10",H898,FIND("15",H898,FIND("01",H898)+16)+8)+2,50),"")</f>
        <v/>
      </c>
      <c r="G898" s="8" t="n"/>
      <c r="H898" s="8">
        <f>SUBSTITUTE(SUBSTITUTE(SUBSTITUTE(SUBSTITUTE(A898,"(",""),")","")," ",""),CHAR(29),"")</f>
        <v/>
      </c>
    </row>
    <row r="899">
      <c r="A899" s="4" t="n"/>
      <c r="B899" s="5">
        <f>IFERROR(MID(H899,FIND("01",H899)+2,14),"")</f>
        <v/>
      </c>
      <c r="C899" s="4">
        <f>IF(A899="","",IFERROR(VLOOKUP(B899,TblArticles,2,FALSE),"GTIN inconnu"))</f>
        <v/>
      </c>
      <c r="D899" s="5">
        <f>IF(A899="","",IFERROR(VLOOKUP(B899,TblArticles,3,FALSE),""))</f>
        <v/>
      </c>
      <c r="E899" s="6">
        <f>IFERROR(DATE(2000+VALUE(MID(H899,FIND("15",H899,FIND("01",H899)+16)+2,2)),VALUE(MID(H899,FIND("15",H899,FIND("01",H899)+16)+4,2)),VALUE(MID(H899,FIND("15",H899,FIND("01",H899)+16)+6,2))),"")</f>
        <v/>
      </c>
      <c r="F899" s="5">
        <f>IFERROR(MID(H899,FIND("10",H899,FIND("15",H899,FIND("01",H899)+16)+8)+2,50),"")</f>
        <v/>
      </c>
      <c r="G899" s="5" t="n"/>
      <c r="H899" s="5">
        <f>SUBSTITUTE(SUBSTITUTE(SUBSTITUTE(SUBSTITUTE(A899,"(",""),")","")," ",""),CHAR(29),"")</f>
        <v/>
      </c>
    </row>
    <row r="900">
      <c r="A900" s="7" t="n"/>
      <c r="B900" s="8">
        <f>IFERROR(MID(H900,FIND("01",H900)+2,14),"")</f>
        <v/>
      </c>
      <c r="C900" s="7">
        <f>IF(A900="","",IFERROR(VLOOKUP(B900,TblArticles,2,FALSE),"GTIN inconnu"))</f>
        <v/>
      </c>
      <c r="D900" s="8">
        <f>IF(A900="","",IFERROR(VLOOKUP(B900,TblArticles,3,FALSE),""))</f>
        <v/>
      </c>
      <c r="E900" s="9">
        <f>IFERROR(DATE(2000+VALUE(MID(H900,FIND("15",H900,FIND("01",H900)+16)+2,2)),VALUE(MID(H900,FIND("15",H900,FIND("01",H900)+16)+4,2)),VALUE(MID(H900,FIND("15",H900,FIND("01",H900)+16)+6,2))),"")</f>
        <v/>
      </c>
      <c r="F900" s="8">
        <f>IFERROR(MID(H900,FIND("10",H900,FIND("15",H900,FIND("01",H900)+16)+8)+2,50),"")</f>
        <v/>
      </c>
      <c r="G900" s="8" t="n"/>
      <c r="H900" s="8">
        <f>SUBSTITUTE(SUBSTITUTE(SUBSTITUTE(SUBSTITUTE(A900,"(",""),")","")," ",""),CHAR(29),"")</f>
        <v/>
      </c>
    </row>
    <row r="901">
      <c r="A901" s="4" t="n"/>
      <c r="B901" s="5">
        <f>IFERROR(MID(H901,FIND("01",H901)+2,14),"")</f>
        <v/>
      </c>
      <c r="C901" s="4">
        <f>IF(A901="","",IFERROR(VLOOKUP(B901,TblArticles,2,FALSE),"GTIN inconnu"))</f>
        <v/>
      </c>
      <c r="D901" s="5">
        <f>IF(A901="","",IFERROR(VLOOKUP(B901,TblArticles,3,FALSE),""))</f>
        <v/>
      </c>
      <c r="E901" s="6">
        <f>IFERROR(DATE(2000+VALUE(MID(H901,FIND("15",H901,FIND("01",H901)+16)+2,2)),VALUE(MID(H901,FIND("15",H901,FIND("01",H901)+16)+4,2)),VALUE(MID(H901,FIND("15",H901,FIND("01",H901)+16)+6,2))),"")</f>
        <v/>
      </c>
      <c r="F901" s="5">
        <f>IFERROR(MID(H901,FIND("10",H901,FIND("15",H901,FIND("01",H901)+16)+8)+2,50),"")</f>
        <v/>
      </c>
      <c r="G901" s="5" t="n"/>
      <c r="H901" s="5">
        <f>SUBSTITUTE(SUBSTITUTE(SUBSTITUTE(SUBSTITUTE(A901,"(",""),")","")," ",""),CHAR(29),"")</f>
        <v/>
      </c>
    </row>
    <row r="902">
      <c r="A902" s="7" t="n"/>
      <c r="B902" s="8">
        <f>IFERROR(MID(H902,FIND("01",H902)+2,14),"")</f>
        <v/>
      </c>
      <c r="C902" s="7">
        <f>IF(A902="","",IFERROR(VLOOKUP(B902,TblArticles,2,FALSE),"GTIN inconnu"))</f>
        <v/>
      </c>
      <c r="D902" s="8">
        <f>IF(A902="","",IFERROR(VLOOKUP(B902,TblArticles,3,FALSE),""))</f>
        <v/>
      </c>
      <c r="E902" s="9">
        <f>IFERROR(DATE(2000+VALUE(MID(H902,FIND("15",H902,FIND("01",H902)+16)+2,2)),VALUE(MID(H902,FIND("15",H902,FIND("01",H902)+16)+4,2)),VALUE(MID(H902,FIND("15",H902,FIND("01",H902)+16)+6,2))),"")</f>
        <v/>
      </c>
      <c r="F902" s="8">
        <f>IFERROR(MID(H902,FIND("10",H902,FIND("15",H902,FIND("01",H902)+16)+8)+2,50),"")</f>
        <v/>
      </c>
      <c r="G902" s="8" t="n"/>
      <c r="H902" s="8">
        <f>SUBSTITUTE(SUBSTITUTE(SUBSTITUTE(SUBSTITUTE(A902,"(",""),")","")," ",""),CHAR(29),"")</f>
        <v/>
      </c>
    </row>
    <row r="903">
      <c r="A903" s="4" t="n"/>
      <c r="B903" s="5">
        <f>IFERROR(MID(H903,FIND("01",H903)+2,14),"")</f>
        <v/>
      </c>
      <c r="C903" s="4">
        <f>IF(A903="","",IFERROR(VLOOKUP(B903,TblArticles,2,FALSE),"GTIN inconnu"))</f>
        <v/>
      </c>
      <c r="D903" s="5">
        <f>IF(A903="","",IFERROR(VLOOKUP(B903,TblArticles,3,FALSE),""))</f>
        <v/>
      </c>
      <c r="E903" s="6">
        <f>IFERROR(DATE(2000+VALUE(MID(H903,FIND("15",H903,FIND("01",H903)+16)+2,2)),VALUE(MID(H903,FIND("15",H903,FIND("01",H903)+16)+4,2)),VALUE(MID(H903,FIND("15",H903,FIND("01",H903)+16)+6,2))),"")</f>
        <v/>
      </c>
      <c r="F903" s="5">
        <f>IFERROR(MID(H903,FIND("10",H903,FIND("15",H903,FIND("01",H903)+16)+8)+2,50),"")</f>
        <v/>
      </c>
      <c r="G903" s="5" t="n"/>
      <c r="H903" s="5">
        <f>SUBSTITUTE(SUBSTITUTE(SUBSTITUTE(SUBSTITUTE(A903,"(",""),")","")," ",""),CHAR(29),"")</f>
        <v/>
      </c>
    </row>
    <row r="904">
      <c r="A904" s="7" t="n"/>
      <c r="B904" s="8">
        <f>IFERROR(MID(H904,FIND("01",H904)+2,14),"")</f>
        <v/>
      </c>
      <c r="C904" s="7">
        <f>IF(A904="","",IFERROR(VLOOKUP(B904,TblArticles,2,FALSE),"GTIN inconnu"))</f>
        <v/>
      </c>
      <c r="D904" s="8">
        <f>IF(A904="","",IFERROR(VLOOKUP(B904,TblArticles,3,FALSE),""))</f>
        <v/>
      </c>
      <c r="E904" s="9">
        <f>IFERROR(DATE(2000+VALUE(MID(H904,FIND("15",H904,FIND("01",H904)+16)+2,2)),VALUE(MID(H904,FIND("15",H904,FIND("01",H904)+16)+4,2)),VALUE(MID(H904,FIND("15",H904,FIND("01",H904)+16)+6,2))),"")</f>
        <v/>
      </c>
      <c r="F904" s="8">
        <f>IFERROR(MID(H904,FIND("10",H904,FIND("15",H904,FIND("01",H904)+16)+8)+2,50),"")</f>
        <v/>
      </c>
      <c r="G904" s="8" t="n"/>
      <c r="H904" s="8">
        <f>SUBSTITUTE(SUBSTITUTE(SUBSTITUTE(SUBSTITUTE(A904,"(",""),")","")," ",""),CHAR(29),"")</f>
        <v/>
      </c>
    </row>
    <row r="905">
      <c r="A905" s="4" t="n"/>
      <c r="B905" s="5">
        <f>IFERROR(MID(H905,FIND("01",H905)+2,14),"")</f>
        <v/>
      </c>
      <c r="C905" s="4">
        <f>IF(A905="","",IFERROR(VLOOKUP(B905,TblArticles,2,FALSE),"GTIN inconnu"))</f>
        <v/>
      </c>
      <c r="D905" s="5">
        <f>IF(A905="","",IFERROR(VLOOKUP(B905,TblArticles,3,FALSE),""))</f>
        <v/>
      </c>
      <c r="E905" s="6">
        <f>IFERROR(DATE(2000+VALUE(MID(H905,FIND("15",H905,FIND("01",H905)+16)+2,2)),VALUE(MID(H905,FIND("15",H905,FIND("01",H905)+16)+4,2)),VALUE(MID(H905,FIND("15",H905,FIND("01",H905)+16)+6,2))),"")</f>
        <v/>
      </c>
      <c r="F905" s="5">
        <f>IFERROR(MID(H905,FIND("10",H905,FIND("15",H905,FIND("01",H905)+16)+8)+2,50),"")</f>
        <v/>
      </c>
      <c r="G905" s="5" t="n"/>
      <c r="H905" s="5">
        <f>SUBSTITUTE(SUBSTITUTE(SUBSTITUTE(SUBSTITUTE(A905,"(",""),")","")," ",""),CHAR(29),"")</f>
        <v/>
      </c>
    </row>
    <row r="906">
      <c r="A906" s="7" t="n"/>
      <c r="B906" s="8">
        <f>IFERROR(MID(H906,FIND("01",H906)+2,14),"")</f>
        <v/>
      </c>
      <c r="C906" s="7">
        <f>IF(A906="","",IFERROR(VLOOKUP(B906,TblArticles,2,FALSE),"GTIN inconnu"))</f>
        <v/>
      </c>
      <c r="D906" s="8">
        <f>IF(A906="","",IFERROR(VLOOKUP(B906,TblArticles,3,FALSE),""))</f>
        <v/>
      </c>
      <c r="E906" s="9">
        <f>IFERROR(DATE(2000+VALUE(MID(H906,FIND("15",H906,FIND("01",H906)+16)+2,2)),VALUE(MID(H906,FIND("15",H906,FIND("01",H906)+16)+4,2)),VALUE(MID(H906,FIND("15",H906,FIND("01",H906)+16)+6,2))),"")</f>
        <v/>
      </c>
      <c r="F906" s="8">
        <f>IFERROR(MID(H906,FIND("10",H906,FIND("15",H906,FIND("01",H906)+16)+8)+2,50),"")</f>
        <v/>
      </c>
      <c r="G906" s="8" t="n"/>
      <c r="H906" s="8">
        <f>SUBSTITUTE(SUBSTITUTE(SUBSTITUTE(SUBSTITUTE(A906,"(",""),")","")," ",""),CHAR(29),"")</f>
        <v/>
      </c>
    </row>
    <row r="907">
      <c r="A907" s="4" t="n"/>
      <c r="B907" s="5">
        <f>IFERROR(MID(H907,FIND("01",H907)+2,14),"")</f>
        <v/>
      </c>
      <c r="C907" s="4">
        <f>IF(A907="","",IFERROR(VLOOKUP(B907,TblArticles,2,FALSE),"GTIN inconnu"))</f>
        <v/>
      </c>
      <c r="D907" s="5">
        <f>IF(A907="","",IFERROR(VLOOKUP(B907,TblArticles,3,FALSE),""))</f>
        <v/>
      </c>
      <c r="E907" s="6">
        <f>IFERROR(DATE(2000+VALUE(MID(H907,FIND("15",H907,FIND("01",H907)+16)+2,2)),VALUE(MID(H907,FIND("15",H907,FIND("01",H907)+16)+4,2)),VALUE(MID(H907,FIND("15",H907,FIND("01",H907)+16)+6,2))),"")</f>
        <v/>
      </c>
      <c r="F907" s="5">
        <f>IFERROR(MID(H907,FIND("10",H907,FIND("15",H907,FIND("01",H907)+16)+8)+2,50),"")</f>
        <v/>
      </c>
      <c r="G907" s="5" t="n"/>
      <c r="H907" s="5">
        <f>SUBSTITUTE(SUBSTITUTE(SUBSTITUTE(SUBSTITUTE(A907,"(",""),")","")," ",""),CHAR(29),"")</f>
        <v/>
      </c>
    </row>
    <row r="908">
      <c r="A908" s="7" t="n"/>
      <c r="B908" s="8">
        <f>IFERROR(MID(H908,FIND("01",H908)+2,14),"")</f>
        <v/>
      </c>
      <c r="C908" s="7">
        <f>IF(A908="","",IFERROR(VLOOKUP(B908,TblArticles,2,FALSE),"GTIN inconnu"))</f>
        <v/>
      </c>
      <c r="D908" s="8">
        <f>IF(A908="","",IFERROR(VLOOKUP(B908,TblArticles,3,FALSE),""))</f>
        <v/>
      </c>
      <c r="E908" s="9">
        <f>IFERROR(DATE(2000+VALUE(MID(H908,FIND("15",H908,FIND("01",H908)+16)+2,2)),VALUE(MID(H908,FIND("15",H908,FIND("01",H908)+16)+4,2)),VALUE(MID(H908,FIND("15",H908,FIND("01",H908)+16)+6,2))),"")</f>
        <v/>
      </c>
      <c r="F908" s="8">
        <f>IFERROR(MID(H908,FIND("10",H908,FIND("15",H908,FIND("01",H908)+16)+8)+2,50),"")</f>
        <v/>
      </c>
      <c r="G908" s="8" t="n"/>
      <c r="H908" s="8">
        <f>SUBSTITUTE(SUBSTITUTE(SUBSTITUTE(SUBSTITUTE(A908,"(",""),")","")," ",""),CHAR(29),"")</f>
        <v/>
      </c>
    </row>
    <row r="909">
      <c r="A909" s="4" t="n"/>
      <c r="B909" s="5">
        <f>IFERROR(MID(H909,FIND("01",H909)+2,14),"")</f>
        <v/>
      </c>
      <c r="C909" s="4">
        <f>IF(A909="","",IFERROR(VLOOKUP(B909,TblArticles,2,FALSE),"GTIN inconnu"))</f>
        <v/>
      </c>
      <c r="D909" s="5">
        <f>IF(A909="","",IFERROR(VLOOKUP(B909,TblArticles,3,FALSE),""))</f>
        <v/>
      </c>
      <c r="E909" s="6">
        <f>IFERROR(DATE(2000+VALUE(MID(H909,FIND("15",H909,FIND("01",H909)+16)+2,2)),VALUE(MID(H909,FIND("15",H909,FIND("01",H909)+16)+4,2)),VALUE(MID(H909,FIND("15",H909,FIND("01",H909)+16)+6,2))),"")</f>
        <v/>
      </c>
      <c r="F909" s="5">
        <f>IFERROR(MID(H909,FIND("10",H909,FIND("15",H909,FIND("01",H909)+16)+8)+2,50),"")</f>
        <v/>
      </c>
      <c r="G909" s="5" t="n"/>
      <c r="H909" s="5">
        <f>SUBSTITUTE(SUBSTITUTE(SUBSTITUTE(SUBSTITUTE(A909,"(",""),")","")," ",""),CHAR(29),"")</f>
        <v/>
      </c>
    </row>
    <row r="910">
      <c r="A910" s="7" t="n"/>
      <c r="B910" s="8">
        <f>IFERROR(MID(H910,FIND("01",H910)+2,14),"")</f>
        <v/>
      </c>
      <c r="C910" s="7">
        <f>IF(A910="","",IFERROR(VLOOKUP(B910,TblArticles,2,FALSE),"GTIN inconnu"))</f>
        <v/>
      </c>
      <c r="D910" s="8">
        <f>IF(A910="","",IFERROR(VLOOKUP(B910,TblArticles,3,FALSE),""))</f>
        <v/>
      </c>
      <c r="E910" s="9">
        <f>IFERROR(DATE(2000+VALUE(MID(H910,FIND("15",H910,FIND("01",H910)+16)+2,2)),VALUE(MID(H910,FIND("15",H910,FIND("01",H910)+16)+4,2)),VALUE(MID(H910,FIND("15",H910,FIND("01",H910)+16)+6,2))),"")</f>
        <v/>
      </c>
      <c r="F910" s="8">
        <f>IFERROR(MID(H910,FIND("10",H910,FIND("15",H910,FIND("01",H910)+16)+8)+2,50),"")</f>
        <v/>
      </c>
      <c r="G910" s="8" t="n"/>
      <c r="H910" s="8">
        <f>SUBSTITUTE(SUBSTITUTE(SUBSTITUTE(SUBSTITUTE(A910,"(",""),")","")," ",""),CHAR(29),"")</f>
        <v/>
      </c>
    </row>
    <row r="911">
      <c r="A911" s="4" t="n"/>
      <c r="B911" s="5">
        <f>IFERROR(MID(H911,FIND("01",H911)+2,14),"")</f>
        <v/>
      </c>
      <c r="C911" s="4">
        <f>IF(A911="","",IFERROR(VLOOKUP(B911,TblArticles,2,FALSE),"GTIN inconnu"))</f>
        <v/>
      </c>
      <c r="D911" s="5">
        <f>IF(A911="","",IFERROR(VLOOKUP(B911,TblArticles,3,FALSE),""))</f>
        <v/>
      </c>
      <c r="E911" s="6">
        <f>IFERROR(DATE(2000+VALUE(MID(H911,FIND("15",H911,FIND("01",H911)+16)+2,2)),VALUE(MID(H911,FIND("15",H911,FIND("01",H911)+16)+4,2)),VALUE(MID(H911,FIND("15",H911,FIND("01",H911)+16)+6,2))),"")</f>
        <v/>
      </c>
      <c r="F911" s="5">
        <f>IFERROR(MID(H911,FIND("10",H911,FIND("15",H911,FIND("01",H911)+16)+8)+2,50),"")</f>
        <v/>
      </c>
      <c r="G911" s="5" t="n"/>
      <c r="H911" s="5">
        <f>SUBSTITUTE(SUBSTITUTE(SUBSTITUTE(SUBSTITUTE(A911,"(",""),")","")," ",""),CHAR(29),"")</f>
        <v/>
      </c>
    </row>
    <row r="912">
      <c r="A912" s="7" t="n"/>
      <c r="B912" s="8">
        <f>IFERROR(MID(H912,FIND("01",H912)+2,14),"")</f>
        <v/>
      </c>
      <c r="C912" s="7">
        <f>IF(A912="","",IFERROR(VLOOKUP(B912,TblArticles,2,FALSE),"GTIN inconnu"))</f>
        <v/>
      </c>
      <c r="D912" s="8">
        <f>IF(A912="","",IFERROR(VLOOKUP(B912,TblArticles,3,FALSE),""))</f>
        <v/>
      </c>
      <c r="E912" s="9">
        <f>IFERROR(DATE(2000+VALUE(MID(H912,FIND("15",H912,FIND("01",H912)+16)+2,2)),VALUE(MID(H912,FIND("15",H912,FIND("01",H912)+16)+4,2)),VALUE(MID(H912,FIND("15",H912,FIND("01",H912)+16)+6,2))),"")</f>
        <v/>
      </c>
      <c r="F912" s="8">
        <f>IFERROR(MID(H912,FIND("10",H912,FIND("15",H912,FIND("01",H912)+16)+8)+2,50),"")</f>
        <v/>
      </c>
      <c r="G912" s="8" t="n"/>
      <c r="H912" s="8">
        <f>SUBSTITUTE(SUBSTITUTE(SUBSTITUTE(SUBSTITUTE(A912,"(",""),")","")," ",""),CHAR(29),"")</f>
        <v/>
      </c>
    </row>
    <row r="913">
      <c r="A913" s="4" t="n"/>
      <c r="B913" s="5">
        <f>IFERROR(MID(H913,FIND("01",H913)+2,14),"")</f>
        <v/>
      </c>
      <c r="C913" s="4">
        <f>IF(A913="","",IFERROR(VLOOKUP(B913,TblArticles,2,FALSE),"GTIN inconnu"))</f>
        <v/>
      </c>
      <c r="D913" s="5">
        <f>IF(A913="","",IFERROR(VLOOKUP(B913,TblArticles,3,FALSE),""))</f>
        <v/>
      </c>
      <c r="E913" s="6">
        <f>IFERROR(DATE(2000+VALUE(MID(H913,FIND("15",H913,FIND("01",H913)+16)+2,2)),VALUE(MID(H913,FIND("15",H913,FIND("01",H913)+16)+4,2)),VALUE(MID(H913,FIND("15",H913,FIND("01",H913)+16)+6,2))),"")</f>
        <v/>
      </c>
      <c r="F913" s="5">
        <f>IFERROR(MID(H913,FIND("10",H913,FIND("15",H913,FIND("01",H913)+16)+8)+2,50),"")</f>
        <v/>
      </c>
      <c r="G913" s="5" t="n"/>
      <c r="H913" s="5">
        <f>SUBSTITUTE(SUBSTITUTE(SUBSTITUTE(SUBSTITUTE(A913,"(",""),")","")," ",""),CHAR(29),"")</f>
        <v/>
      </c>
    </row>
    <row r="914">
      <c r="A914" s="7" t="n"/>
      <c r="B914" s="8">
        <f>IFERROR(MID(H914,FIND("01",H914)+2,14),"")</f>
        <v/>
      </c>
      <c r="C914" s="7">
        <f>IF(A914="","",IFERROR(VLOOKUP(B914,TblArticles,2,FALSE),"GTIN inconnu"))</f>
        <v/>
      </c>
      <c r="D914" s="8">
        <f>IF(A914="","",IFERROR(VLOOKUP(B914,TblArticles,3,FALSE),""))</f>
        <v/>
      </c>
      <c r="E914" s="9">
        <f>IFERROR(DATE(2000+VALUE(MID(H914,FIND("15",H914,FIND("01",H914)+16)+2,2)),VALUE(MID(H914,FIND("15",H914,FIND("01",H914)+16)+4,2)),VALUE(MID(H914,FIND("15",H914,FIND("01",H914)+16)+6,2))),"")</f>
        <v/>
      </c>
      <c r="F914" s="8">
        <f>IFERROR(MID(H914,FIND("10",H914,FIND("15",H914,FIND("01",H914)+16)+8)+2,50),"")</f>
        <v/>
      </c>
      <c r="G914" s="8" t="n"/>
      <c r="H914" s="8">
        <f>SUBSTITUTE(SUBSTITUTE(SUBSTITUTE(SUBSTITUTE(A914,"(",""),")","")," ",""),CHAR(29),"")</f>
        <v/>
      </c>
    </row>
    <row r="915">
      <c r="A915" s="4" t="n"/>
      <c r="B915" s="5">
        <f>IFERROR(MID(H915,FIND("01",H915)+2,14),"")</f>
        <v/>
      </c>
      <c r="C915" s="4">
        <f>IF(A915="","",IFERROR(VLOOKUP(B915,TblArticles,2,FALSE),"GTIN inconnu"))</f>
        <v/>
      </c>
      <c r="D915" s="5">
        <f>IF(A915="","",IFERROR(VLOOKUP(B915,TblArticles,3,FALSE),""))</f>
        <v/>
      </c>
      <c r="E915" s="6">
        <f>IFERROR(DATE(2000+VALUE(MID(H915,FIND("15",H915,FIND("01",H915)+16)+2,2)),VALUE(MID(H915,FIND("15",H915,FIND("01",H915)+16)+4,2)),VALUE(MID(H915,FIND("15",H915,FIND("01",H915)+16)+6,2))),"")</f>
        <v/>
      </c>
      <c r="F915" s="5">
        <f>IFERROR(MID(H915,FIND("10",H915,FIND("15",H915,FIND("01",H915)+16)+8)+2,50),"")</f>
        <v/>
      </c>
      <c r="G915" s="5" t="n"/>
      <c r="H915" s="5">
        <f>SUBSTITUTE(SUBSTITUTE(SUBSTITUTE(SUBSTITUTE(A915,"(",""),")","")," ",""),CHAR(29),"")</f>
        <v/>
      </c>
    </row>
    <row r="916">
      <c r="A916" s="7" t="n"/>
      <c r="B916" s="8">
        <f>IFERROR(MID(H916,FIND("01",H916)+2,14),"")</f>
        <v/>
      </c>
      <c r="C916" s="7">
        <f>IF(A916="","",IFERROR(VLOOKUP(B916,TblArticles,2,FALSE),"GTIN inconnu"))</f>
        <v/>
      </c>
      <c r="D916" s="8">
        <f>IF(A916="","",IFERROR(VLOOKUP(B916,TblArticles,3,FALSE),""))</f>
        <v/>
      </c>
      <c r="E916" s="9">
        <f>IFERROR(DATE(2000+VALUE(MID(H916,FIND("15",H916,FIND("01",H916)+16)+2,2)),VALUE(MID(H916,FIND("15",H916,FIND("01",H916)+16)+4,2)),VALUE(MID(H916,FIND("15",H916,FIND("01",H916)+16)+6,2))),"")</f>
        <v/>
      </c>
      <c r="F916" s="8">
        <f>IFERROR(MID(H916,FIND("10",H916,FIND("15",H916,FIND("01",H916)+16)+8)+2,50),"")</f>
        <v/>
      </c>
      <c r="G916" s="8" t="n"/>
      <c r="H916" s="8">
        <f>SUBSTITUTE(SUBSTITUTE(SUBSTITUTE(SUBSTITUTE(A916,"(",""),")","")," ",""),CHAR(29),"")</f>
        <v/>
      </c>
    </row>
    <row r="917">
      <c r="A917" s="4" t="n"/>
      <c r="B917" s="5">
        <f>IFERROR(MID(H917,FIND("01",H917)+2,14),"")</f>
        <v/>
      </c>
      <c r="C917" s="4">
        <f>IF(A917="","",IFERROR(VLOOKUP(B917,TblArticles,2,FALSE),"GTIN inconnu"))</f>
        <v/>
      </c>
      <c r="D917" s="5">
        <f>IF(A917="","",IFERROR(VLOOKUP(B917,TblArticles,3,FALSE),""))</f>
        <v/>
      </c>
      <c r="E917" s="6">
        <f>IFERROR(DATE(2000+VALUE(MID(H917,FIND("15",H917,FIND("01",H917)+16)+2,2)),VALUE(MID(H917,FIND("15",H917,FIND("01",H917)+16)+4,2)),VALUE(MID(H917,FIND("15",H917,FIND("01",H917)+16)+6,2))),"")</f>
        <v/>
      </c>
      <c r="F917" s="5">
        <f>IFERROR(MID(H917,FIND("10",H917,FIND("15",H917,FIND("01",H917)+16)+8)+2,50),"")</f>
        <v/>
      </c>
      <c r="G917" s="5" t="n"/>
      <c r="H917" s="5">
        <f>SUBSTITUTE(SUBSTITUTE(SUBSTITUTE(SUBSTITUTE(A917,"(",""),")","")," ",""),CHAR(29),"")</f>
        <v/>
      </c>
    </row>
    <row r="918">
      <c r="A918" s="7" t="n"/>
      <c r="B918" s="8">
        <f>IFERROR(MID(H918,FIND("01",H918)+2,14),"")</f>
        <v/>
      </c>
      <c r="C918" s="7">
        <f>IF(A918="","",IFERROR(VLOOKUP(B918,TblArticles,2,FALSE),"GTIN inconnu"))</f>
        <v/>
      </c>
      <c r="D918" s="8">
        <f>IF(A918="","",IFERROR(VLOOKUP(B918,TblArticles,3,FALSE),""))</f>
        <v/>
      </c>
      <c r="E918" s="9">
        <f>IFERROR(DATE(2000+VALUE(MID(H918,FIND("15",H918,FIND("01",H918)+16)+2,2)),VALUE(MID(H918,FIND("15",H918,FIND("01",H918)+16)+4,2)),VALUE(MID(H918,FIND("15",H918,FIND("01",H918)+16)+6,2))),"")</f>
        <v/>
      </c>
      <c r="F918" s="8">
        <f>IFERROR(MID(H918,FIND("10",H918,FIND("15",H918,FIND("01",H918)+16)+8)+2,50),"")</f>
        <v/>
      </c>
      <c r="G918" s="8" t="n"/>
      <c r="H918" s="8">
        <f>SUBSTITUTE(SUBSTITUTE(SUBSTITUTE(SUBSTITUTE(A918,"(",""),")","")," ",""),CHAR(29),"")</f>
        <v/>
      </c>
    </row>
    <row r="919">
      <c r="A919" s="4" t="n"/>
      <c r="B919" s="5">
        <f>IFERROR(MID(H919,FIND("01",H919)+2,14),"")</f>
        <v/>
      </c>
      <c r="C919" s="4">
        <f>IF(A919="","",IFERROR(VLOOKUP(B919,TblArticles,2,FALSE),"GTIN inconnu"))</f>
        <v/>
      </c>
      <c r="D919" s="5">
        <f>IF(A919="","",IFERROR(VLOOKUP(B919,TblArticles,3,FALSE),""))</f>
        <v/>
      </c>
      <c r="E919" s="6">
        <f>IFERROR(DATE(2000+VALUE(MID(H919,FIND("15",H919,FIND("01",H919)+16)+2,2)),VALUE(MID(H919,FIND("15",H919,FIND("01",H919)+16)+4,2)),VALUE(MID(H919,FIND("15",H919,FIND("01",H919)+16)+6,2))),"")</f>
        <v/>
      </c>
      <c r="F919" s="5">
        <f>IFERROR(MID(H919,FIND("10",H919,FIND("15",H919,FIND("01",H919)+16)+8)+2,50),"")</f>
        <v/>
      </c>
      <c r="G919" s="5" t="n"/>
      <c r="H919" s="5">
        <f>SUBSTITUTE(SUBSTITUTE(SUBSTITUTE(SUBSTITUTE(A919,"(",""),")","")," ",""),CHAR(29),"")</f>
        <v/>
      </c>
    </row>
    <row r="920">
      <c r="A920" s="7" t="n"/>
      <c r="B920" s="8">
        <f>IFERROR(MID(H920,FIND("01",H920)+2,14),"")</f>
        <v/>
      </c>
      <c r="C920" s="7">
        <f>IF(A920="","",IFERROR(VLOOKUP(B920,TblArticles,2,FALSE),"GTIN inconnu"))</f>
        <v/>
      </c>
      <c r="D920" s="8">
        <f>IF(A920="","",IFERROR(VLOOKUP(B920,TblArticles,3,FALSE),""))</f>
        <v/>
      </c>
      <c r="E920" s="9">
        <f>IFERROR(DATE(2000+VALUE(MID(H920,FIND("15",H920,FIND("01",H920)+16)+2,2)),VALUE(MID(H920,FIND("15",H920,FIND("01",H920)+16)+4,2)),VALUE(MID(H920,FIND("15",H920,FIND("01",H920)+16)+6,2))),"")</f>
        <v/>
      </c>
      <c r="F920" s="8">
        <f>IFERROR(MID(H920,FIND("10",H920,FIND("15",H920,FIND("01",H920)+16)+8)+2,50),"")</f>
        <v/>
      </c>
      <c r="G920" s="8" t="n"/>
      <c r="H920" s="8">
        <f>SUBSTITUTE(SUBSTITUTE(SUBSTITUTE(SUBSTITUTE(A920,"(",""),")","")," ",""),CHAR(29),"")</f>
        <v/>
      </c>
    </row>
    <row r="921">
      <c r="A921" s="4" t="n"/>
      <c r="B921" s="5">
        <f>IFERROR(MID(H921,FIND("01",H921)+2,14),"")</f>
        <v/>
      </c>
      <c r="C921" s="4">
        <f>IF(A921="","",IFERROR(VLOOKUP(B921,TblArticles,2,FALSE),"GTIN inconnu"))</f>
        <v/>
      </c>
      <c r="D921" s="5">
        <f>IF(A921="","",IFERROR(VLOOKUP(B921,TblArticles,3,FALSE),""))</f>
        <v/>
      </c>
      <c r="E921" s="6">
        <f>IFERROR(DATE(2000+VALUE(MID(H921,FIND("15",H921,FIND("01",H921)+16)+2,2)),VALUE(MID(H921,FIND("15",H921,FIND("01",H921)+16)+4,2)),VALUE(MID(H921,FIND("15",H921,FIND("01",H921)+16)+6,2))),"")</f>
        <v/>
      </c>
      <c r="F921" s="5">
        <f>IFERROR(MID(H921,FIND("10",H921,FIND("15",H921,FIND("01",H921)+16)+8)+2,50),"")</f>
        <v/>
      </c>
      <c r="G921" s="5" t="n"/>
      <c r="H921" s="5">
        <f>SUBSTITUTE(SUBSTITUTE(SUBSTITUTE(SUBSTITUTE(A921,"(",""),")","")," ",""),CHAR(29),"")</f>
        <v/>
      </c>
    </row>
    <row r="922">
      <c r="A922" s="7" t="n"/>
      <c r="B922" s="8">
        <f>IFERROR(MID(H922,FIND("01",H922)+2,14),"")</f>
        <v/>
      </c>
      <c r="C922" s="7">
        <f>IF(A922="","",IFERROR(VLOOKUP(B922,TblArticles,2,FALSE),"GTIN inconnu"))</f>
        <v/>
      </c>
      <c r="D922" s="8">
        <f>IF(A922="","",IFERROR(VLOOKUP(B922,TblArticles,3,FALSE),""))</f>
        <v/>
      </c>
      <c r="E922" s="9">
        <f>IFERROR(DATE(2000+VALUE(MID(H922,FIND("15",H922,FIND("01",H922)+16)+2,2)),VALUE(MID(H922,FIND("15",H922,FIND("01",H922)+16)+4,2)),VALUE(MID(H922,FIND("15",H922,FIND("01",H922)+16)+6,2))),"")</f>
        <v/>
      </c>
      <c r="F922" s="8">
        <f>IFERROR(MID(H922,FIND("10",H922,FIND("15",H922,FIND("01",H922)+16)+8)+2,50),"")</f>
        <v/>
      </c>
      <c r="G922" s="8" t="n"/>
      <c r="H922" s="8">
        <f>SUBSTITUTE(SUBSTITUTE(SUBSTITUTE(SUBSTITUTE(A922,"(",""),")","")," ",""),CHAR(29),"")</f>
        <v/>
      </c>
    </row>
    <row r="923">
      <c r="A923" s="4" t="n"/>
      <c r="B923" s="5">
        <f>IFERROR(MID(H923,FIND("01",H923)+2,14),"")</f>
        <v/>
      </c>
      <c r="C923" s="4">
        <f>IF(A923="","",IFERROR(VLOOKUP(B923,TblArticles,2,FALSE),"GTIN inconnu"))</f>
        <v/>
      </c>
      <c r="D923" s="5">
        <f>IF(A923="","",IFERROR(VLOOKUP(B923,TblArticles,3,FALSE),""))</f>
        <v/>
      </c>
      <c r="E923" s="6">
        <f>IFERROR(DATE(2000+VALUE(MID(H923,FIND("15",H923,FIND("01",H923)+16)+2,2)),VALUE(MID(H923,FIND("15",H923,FIND("01",H923)+16)+4,2)),VALUE(MID(H923,FIND("15",H923,FIND("01",H923)+16)+6,2))),"")</f>
        <v/>
      </c>
      <c r="F923" s="5">
        <f>IFERROR(MID(H923,FIND("10",H923,FIND("15",H923,FIND("01",H923)+16)+8)+2,50),"")</f>
        <v/>
      </c>
      <c r="G923" s="5" t="n"/>
      <c r="H923" s="5">
        <f>SUBSTITUTE(SUBSTITUTE(SUBSTITUTE(SUBSTITUTE(A923,"(",""),")","")," ",""),CHAR(29),"")</f>
        <v/>
      </c>
    </row>
    <row r="924">
      <c r="A924" s="7" t="n"/>
      <c r="B924" s="8">
        <f>IFERROR(MID(H924,FIND("01",H924)+2,14),"")</f>
        <v/>
      </c>
      <c r="C924" s="7">
        <f>IF(A924="","",IFERROR(VLOOKUP(B924,TblArticles,2,FALSE),"GTIN inconnu"))</f>
        <v/>
      </c>
      <c r="D924" s="8">
        <f>IF(A924="","",IFERROR(VLOOKUP(B924,TblArticles,3,FALSE),""))</f>
        <v/>
      </c>
      <c r="E924" s="9">
        <f>IFERROR(DATE(2000+VALUE(MID(H924,FIND("15",H924,FIND("01",H924)+16)+2,2)),VALUE(MID(H924,FIND("15",H924,FIND("01",H924)+16)+4,2)),VALUE(MID(H924,FIND("15",H924,FIND("01",H924)+16)+6,2))),"")</f>
        <v/>
      </c>
      <c r="F924" s="8">
        <f>IFERROR(MID(H924,FIND("10",H924,FIND("15",H924,FIND("01",H924)+16)+8)+2,50),"")</f>
        <v/>
      </c>
      <c r="G924" s="8" t="n"/>
      <c r="H924" s="8">
        <f>SUBSTITUTE(SUBSTITUTE(SUBSTITUTE(SUBSTITUTE(A924,"(",""),")","")," ",""),CHAR(29),"")</f>
        <v/>
      </c>
    </row>
    <row r="925">
      <c r="A925" s="4" t="n"/>
      <c r="B925" s="5">
        <f>IFERROR(MID(H925,FIND("01",H925)+2,14),"")</f>
        <v/>
      </c>
      <c r="C925" s="4">
        <f>IF(A925="","",IFERROR(VLOOKUP(B925,TblArticles,2,FALSE),"GTIN inconnu"))</f>
        <v/>
      </c>
      <c r="D925" s="5">
        <f>IF(A925="","",IFERROR(VLOOKUP(B925,TblArticles,3,FALSE),""))</f>
        <v/>
      </c>
      <c r="E925" s="6">
        <f>IFERROR(DATE(2000+VALUE(MID(H925,FIND("15",H925,FIND("01",H925)+16)+2,2)),VALUE(MID(H925,FIND("15",H925,FIND("01",H925)+16)+4,2)),VALUE(MID(H925,FIND("15",H925,FIND("01",H925)+16)+6,2))),"")</f>
        <v/>
      </c>
      <c r="F925" s="5">
        <f>IFERROR(MID(H925,FIND("10",H925,FIND("15",H925,FIND("01",H925)+16)+8)+2,50),"")</f>
        <v/>
      </c>
      <c r="G925" s="5" t="n"/>
      <c r="H925" s="5">
        <f>SUBSTITUTE(SUBSTITUTE(SUBSTITUTE(SUBSTITUTE(A925,"(",""),")","")," ",""),CHAR(29),"")</f>
        <v/>
      </c>
    </row>
    <row r="926">
      <c r="A926" s="7" t="n"/>
      <c r="B926" s="8">
        <f>IFERROR(MID(H926,FIND("01",H926)+2,14),"")</f>
        <v/>
      </c>
      <c r="C926" s="7">
        <f>IF(A926="","",IFERROR(VLOOKUP(B926,TblArticles,2,FALSE),"GTIN inconnu"))</f>
        <v/>
      </c>
      <c r="D926" s="8">
        <f>IF(A926="","",IFERROR(VLOOKUP(B926,TblArticles,3,FALSE),""))</f>
        <v/>
      </c>
      <c r="E926" s="9">
        <f>IFERROR(DATE(2000+VALUE(MID(H926,FIND("15",H926,FIND("01",H926)+16)+2,2)),VALUE(MID(H926,FIND("15",H926,FIND("01",H926)+16)+4,2)),VALUE(MID(H926,FIND("15",H926,FIND("01",H926)+16)+6,2))),"")</f>
        <v/>
      </c>
      <c r="F926" s="8">
        <f>IFERROR(MID(H926,FIND("10",H926,FIND("15",H926,FIND("01",H926)+16)+8)+2,50),"")</f>
        <v/>
      </c>
      <c r="G926" s="8" t="n"/>
      <c r="H926" s="8">
        <f>SUBSTITUTE(SUBSTITUTE(SUBSTITUTE(SUBSTITUTE(A926,"(",""),")","")," ",""),CHAR(29),"")</f>
        <v/>
      </c>
    </row>
    <row r="927">
      <c r="A927" s="4" t="n"/>
      <c r="B927" s="5">
        <f>IFERROR(MID(H927,FIND("01",H927)+2,14),"")</f>
        <v/>
      </c>
      <c r="C927" s="4">
        <f>IF(A927="","",IFERROR(VLOOKUP(B927,TblArticles,2,FALSE),"GTIN inconnu"))</f>
        <v/>
      </c>
      <c r="D927" s="5">
        <f>IF(A927="","",IFERROR(VLOOKUP(B927,TblArticles,3,FALSE),""))</f>
        <v/>
      </c>
      <c r="E927" s="6">
        <f>IFERROR(DATE(2000+VALUE(MID(H927,FIND("15",H927,FIND("01",H927)+16)+2,2)),VALUE(MID(H927,FIND("15",H927,FIND("01",H927)+16)+4,2)),VALUE(MID(H927,FIND("15",H927,FIND("01",H927)+16)+6,2))),"")</f>
        <v/>
      </c>
      <c r="F927" s="5">
        <f>IFERROR(MID(H927,FIND("10",H927,FIND("15",H927,FIND("01",H927)+16)+8)+2,50),"")</f>
        <v/>
      </c>
      <c r="G927" s="5" t="n"/>
      <c r="H927" s="5">
        <f>SUBSTITUTE(SUBSTITUTE(SUBSTITUTE(SUBSTITUTE(A927,"(",""),")","")," ",""),CHAR(29),"")</f>
        <v/>
      </c>
    </row>
    <row r="928">
      <c r="A928" s="7" t="n"/>
      <c r="B928" s="8">
        <f>IFERROR(MID(H928,FIND("01",H928)+2,14),"")</f>
        <v/>
      </c>
      <c r="C928" s="7">
        <f>IF(A928="","",IFERROR(VLOOKUP(B928,TblArticles,2,FALSE),"GTIN inconnu"))</f>
        <v/>
      </c>
      <c r="D928" s="8">
        <f>IF(A928="","",IFERROR(VLOOKUP(B928,TblArticles,3,FALSE),""))</f>
        <v/>
      </c>
      <c r="E928" s="9">
        <f>IFERROR(DATE(2000+VALUE(MID(H928,FIND("15",H928,FIND("01",H928)+16)+2,2)),VALUE(MID(H928,FIND("15",H928,FIND("01",H928)+16)+4,2)),VALUE(MID(H928,FIND("15",H928,FIND("01",H928)+16)+6,2))),"")</f>
        <v/>
      </c>
      <c r="F928" s="8">
        <f>IFERROR(MID(H928,FIND("10",H928,FIND("15",H928,FIND("01",H928)+16)+8)+2,50),"")</f>
        <v/>
      </c>
      <c r="G928" s="8" t="n"/>
      <c r="H928" s="8">
        <f>SUBSTITUTE(SUBSTITUTE(SUBSTITUTE(SUBSTITUTE(A928,"(",""),")","")," ",""),CHAR(29),"")</f>
        <v/>
      </c>
    </row>
    <row r="929">
      <c r="A929" s="4" t="n"/>
      <c r="B929" s="5">
        <f>IFERROR(MID(H929,FIND("01",H929)+2,14),"")</f>
        <v/>
      </c>
      <c r="C929" s="4">
        <f>IF(A929="","",IFERROR(VLOOKUP(B929,TblArticles,2,FALSE),"GTIN inconnu"))</f>
        <v/>
      </c>
      <c r="D929" s="5">
        <f>IF(A929="","",IFERROR(VLOOKUP(B929,TblArticles,3,FALSE),""))</f>
        <v/>
      </c>
      <c r="E929" s="6">
        <f>IFERROR(DATE(2000+VALUE(MID(H929,FIND("15",H929,FIND("01",H929)+16)+2,2)),VALUE(MID(H929,FIND("15",H929,FIND("01",H929)+16)+4,2)),VALUE(MID(H929,FIND("15",H929,FIND("01",H929)+16)+6,2))),"")</f>
        <v/>
      </c>
      <c r="F929" s="5">
        <f>IFERROR(MID(H929,FIND("10",H929,FIND("15",H929,FIND("01",H929)+16)+8)+2,50),"")</f>
        <v/>
      </c>
      <c r="G929" s="5" t="n"/>
      <c r="H929" s="5">
        <f>SUBSTITUTE(SUBSTITUTE(SUBSTITUTE(SUBSTITUTE(A929,"(",""),")","")," ",""),CHAR(29),"")</f>
        <v/>
      </c>
    </row>
    <row r="930">
      <c r="A930" s="7" t="n"/>
      <c r="B930" s="8">
        <f>IFERROR(MID(H930,FIND("01",H930)+2,14),"")</f>
        <v/>
      </c>
      <c r="C930" s="7">
        <f>IF(A930="","",IFERROR(VLOOKUP(B930,TblArticles,2,FALSE),"GTIN inconnu"))</f>
        <v/>
      </c>
      <c r="D930" s="8">
        <f>IF(A930="","",IFERROR(VLOOKUP(B930,TblArticles,3,FALSE),""))</f>
        <v/>
      </c>
      <c r="E930" s="9">
        <f>IFERROR(DATE(2000+VALUE(MID(H930,FIND("15",H930,FIND("01",H930)+16)+2,2)),VALUE(MID(H930,FIND("15",H930,FIND("01",H930)+16)+4,2)),VALUE(MID(H930,FIND("15",H930,FIND("01",H930)+16)+6,2))),"")</f>
        <v/>
      </c>
      <c r="F930" s="8">
        <f>IFERROR(MID(H930,FIND("10",H930,FIND("15",H930,FIND("01",H930)+16)+8)+2,50),"")</f>
        <v/>
      </c>
      <c r="G930" s="8" t="n"/>
      <c r="H930" s="8">
        <f>SUBSTITUTE(SUBSTITUTE(SUBSTITUTE(SUBSTITUTE(A930,"(",""),")","")," ",""),CHAR(29),"")</f>
        <v/>
      </c>
    </row>
    <row r="931">
      <c r="A931" s="4" t="n"/>
      <c r="B931" s="5">
        <f>IFERROR(MID(H931,FIND("01",H931)+2,14),"")</f>
        <v/>
      </c>
      <c r="C931" s="4">
        <f>IF(A931="","",IFERROR(VLOOKUP(B931,TblArticles,2,FALSE),"GTIN inconnu"))</f>
        <v/>
      </c>
      <c r="D931" s="5">
        <f>IF(A931="","",IFERROR(VLOOKUP(B931,TblArticles,3,FALSE),""))</f>
        <v/>
      </c>
      <c r="E931" s="6">
        <f>IFERROR(DATE(2000+VALUE(MID(H931,FIND("15",H931,FIND("01",H931)+16)+2,2)),VALUE(MID(H931,FIND("15",H931,FIND("01",H931)+16)+4,2)),VALUE(MID(H931,FIND("15",H931,FIND("01",H931)+16)+6,2))),"")</f>
        <v/>
      </c>
      <c r="F931" s="5">
        <f>IFERROR(MID(H931,FIND("10",H931,FIND("15",H931,FIND("01",H931)+16)+8)+2,50),"")</f>
        <v/>
      </c>
      <c r="G931" s="5" t="n"/>
      <c r="H931" s="5">
        <f>SUBSTITUTE(SUBSTITUTE(SUBSTITUTE(SUBSTITUTE(A931,"(",""),")","")," ",""),CHAR(29),"")</f>
        <v/>
      </c>
    </row>
    <row r="932">
      <c r="A932" s="7" t="n"/>
      <c r="B932" s="8">
        <f>IFERROR(MID(H932,FIND("01",H932)+2,14),"")</f>
        <v/>
      </c>
      <c r="C932" s="7">
        <f>IF(A932="","",IFERROR(VLOOKUP(B932,TblArticles,2,FALSE),"GTIN inconnu"))</f>
        <v/>
      </c>
      <c r="D932" s="8">
        <f>IF(A932="","",IFERROR(VLOOKUP(B932,TblArticles,3,FALSE),""))</f>
        <v/>
      </c>
      <c r="E932" s="9">
        <f>IFERROR(DATE(2000+VALUE(MID(H932,FIND("15",H932,FIND("01",H932)+16)+2,2)),VALUE(MID(H932,FIND("15",H932,FIND("01",H932)+16)+4,2)),VALUE(MID(H932,FIND("15",H932,FIND("01",H932)+16)+6,2))),"")</f>
        <v/>
      </c>
      <c r="F932" s="8">
        <f>IFERROR(MID(H932,FIND("10",H932,FIND("15",H932,FIND("01",H932)+16)+8)+2,50),"")</f>
        <v/>
      </c>
      <c r="G932" s="8" t="n"/>
      <c r="H932" s="8">
        <f>SUBSTITUTE(SUBSTITUTE(SUBSTITUTE(SUBSTITUTE(A932,"(",""),")","")," ",""),CHAR(29),"")</f>
        <v/>
      </c>
    </row>
    <row r="933">
      <c r="A933" s="4" t="n"/>
      <c r="B933" s="5">
        <f>IFERROR(MID(H933,FIND("01",H933)+2,14),"")</f>
        <v/>
      </c>
      <c r="C933" s="4">
        <f>IF(A933="","",IFERROR(VLOOKUP(B933,TblArticles,2,FALSE),"GTIN inconnu"))</f>
        <v/>
      </c>
      <c r="D933" s="5">
        <f>IF(A933="","",IFERROR(VLOOKUP(B933,TblArticles,3,FALSE),""))</f>
        <v/>
      </c>
      <c r="E933" s="6">
        <f>IFERROR(DATE(2000+VALUE(MID(H933,FIND("15",H933,FIND("01",H933)+16)+2,2)),VALUE(MID(H933,FIND("15",H933,FIND("01",H933)+16)+4,2)),VALUE(MID(H933,FIND("15",H933,FIND("01",H933)+16)+6,2))),"")</f>
        <v/>
      </c>
      <c r="F933" s="5">
        <f>IFERROR(MID(H933,FIND("10",H933,FIND("15",H933,FIND("01",H933)+16)+8)+2,50),"")</f>
        <v/>
      </c>
      <c r="G933" s="5" t="n"/>
      <c r="H933" s="5">
        <f>SUBSTITUTE(SUBSTITUTE(SUBSTITUTE(SUBSTITUTE(A933,"(",""),")","")," ",""),CHAR(29),"")</f>
        <v/>
      </c>
    </row>
    <row r="934">
      <c r="A934" s="7" t="n"/>
      <c r="B934" s="8">
        <f>IFERROR(MID(H934,FIND("01",H934)+2,14),"")</f>
        <v/>
      </c>
      <c r="C934" s="7">
        <f>IF(A934="","",IFERROR(VLOOKUP(B934,TblArticles,2,FALSE),"GTIN inconnu"))</f>
        <v/>
      </c>
      <c r="D934" s="8">
        <f>IF(A934="","",IFERROR(VLOOKUP(B934,TblArticles,3,FALSE),""))</f>
        <v/>
      </c>
      <c r="E934" s="9">
        <f>IFERROR(DATE(2000+VALUE(MID(H934,FIND("15",H934,FIND("01",H934)+16)+2,2)),VALUE(MID(H934,FIND("15",H934,FIND("01",H934)+16)+4,2)),VALUE(MID(H934,FIND("15",H934,FIND("01",H934)+16)+6,2))),"")</f>
        <v/>
      </c>
      <c r="F934" s="8">
        <f>IFERROR(MID(H934,FIND("10",H934,FIND("15",H934,FIND("01",H934)+16)+8)+2,50),"")</f>
        <v/>
      </c>
      <c r="G934" s="8" t="n"/>
      <c r="H934" s="8">
        <f>SUBSTITUTE(SUBSTITUTE(SUBSTITUTE(SUBSTITUTE(A934,"(",""),")","")," ",""),CHAR(29),"")</f>
        <v/>
      </c>
    </row>
    <row r="935">
      <c r="A935" s="4" t="n"/>
      <c r="B935" s="5">
        <f>IFERROR(MID(H935,FIND("01",H935)+2,14),"")</f>
        <v/>
      </c>
      <c r="C935" s="4">
        <f>IF(A935="","",IFERROR(VLOOKUP(B935,TblArticles,2,FALSE),"GTIN inconnu"))</f>
        <v/>
      </c>
      <c r="D935" s="5">
        <f>IF(A935="","",IFERROR(VLOOKUP(B935,TblArticles,3,FALSE),""))</f>
        <v/>
      </c>
      <c r="E935" s="6">
        <f>IFERROR(DATE(2000+VALUE(MID(H935,FIND("15",H935,FIND("01",H935)+16)+2,2)),VALUE(MID(H935,FIND("15",H935,FIND("01",H935)+16)+4,2)),VALUE(MID(H935,FIND("15",H935,FIND("01",H935)+16)+6,2))),"")</f>
        <v/>
      </c>
      <c r="F935" s="5">
        <f>IFERROR(MID(H935,FIND("10",H935,FIND("15",H935,FIND("01",H935)+16)+8)+2,50),"")</f>
        <v/>
      </c>
      <c r="G935" s="5" t="n"/>
      <c r="H935" s="5">
        <f>SUBSTITUTE(SUBSTITUTE(SUBSTITUTE(SUBSTITUTE(A935,"(",""),")","")," ",""),CHAR(29),"")</f>
        <v/>
      </c>
    </row>
    <row r="936">
      <c r="A936" s="7" t="n"/>
      <c r="B936" s="8">
        <f>IFERROR(MID(H936,FIND("01",H936)+2,14),"")</f>
        <v/>
      </c>
      <c r="C936" s="7">
        <f>IF(A936="","",IFERROR(VLOOKUP(B936,TblArticles,2,FALSE),"GTIN inconnu"))</f>
        <v/>
      </c>
      <c r="D936" s="8">
        <f>IF(A936="","",IFERROR(VLOOKUP(B936,TblArticles,3,FALSE),""))</f>
        <v/>
      </c>
      <c r="E936" s="9">
        <f>IFERROR(DATE(2000+VALUE(MID(H936,FIND("15",H936,FIND("01",H936)+16)+2,2)),VALUE(MID(H936,FIND("15",H936,FIND("01",H936)+16)+4,2)),VALUE(MID(H936,FIND("15",H936,FIND("01",H936)+16)+6,2))),"")</f>
        <v/>
      </c>
      <c r="F936" s="8">
        <f>IFERROR(MID(H936,FIND("10",H936,FIND("15",H936,FIND("01",H936)+16)+8)+2,50),"")</f>
        <v/>
      </c>
      <c r="G936" s="8" t="n"/>
      <c r="H936" s="8">
        <f>SUBSTITUTE(SUBSTITUTE(SUBSTITUTE(SUBSTITUTE(A936,"(",""),")","")," ",""),CHAR(29),"")</f>
        <v/>
      </c>
    </row>
    <row r="937">
      <c r="A937" s="4" t="n"/>
      <c r="B937" s="5">
        <f>IFERROR(MID(H937,FIND("01",H937)+2,14),"")</f>
        <v/>
      </c>
      <c r="C937" s="4">
        <f>IF(A937="","",IFERROR(VLOOKUP(B937,TblArticles,2,FALSE),"GTIN inconnu"))</f>
        <v/>
      </c>
      <c r="D937" s="5">
        <f>IF(A937="","",IFERROR(VLOOKUP(B937,TblArticles,3,FALSE),""))</f>
        <v/>
      </c>
      <c r="E937" s="6">
        <f>IFERROR(DATE(2000+VALUE(MID(H937,FIND("15",H937,FIND("01",H937)+16)+2,2)),VALUE(MID(H937,FIND("15",H937,FIND("01",H937)+16)+4,2)),VALUE(MID(H937,FIND("15",H937,FIND("01",H937)+16)+6,2))),"")</f>
        <v/>
      </c>
      <c r="F937" s="5">
        <f>IFERROR(MID(H937,FIND("10",H937,FIND("15",H937,FIND("01",H937)+16)+8)+2,50),"")</f>
        <v/>
      </c>
      <c r="G937" s="5" t="n"/>
      <c r="H937" s="5">
        <f>SUBSTITUTE(SUBSTITUTE(SUBSTITUTE(SUBSTITUTE(A937,"(",""),")","")," ",""),CHAR(29),"")</f>
        <v/>
      </c>
    </row>
    <row r="938">
      <c r="A938" s="7" t="n"/>
      <c r="B938" s="8">
        <f>IFERROR(MID(H938,FIND("01",H938)+2,14),"")</f>
        <v/>
      </c>
      <c r="C938" s="7">
        <f>IF(A938="","",IFERROR(VLOOKUP(B938,TblArticles,2,FALSE),"GTIN inconnu"))</f>
        <v/>
      </c>
      <c r="D938" s="8">
        <f>IF(A938="","",IFERROR(VLOOKUP(B938,TblArticles,3,FALSE),""))</f>
        <v/>
      </c>
      <c r="E938" s="9">
        <f>IFERROR(DATE(2000+VALUE(MID(H938,FIND("15",H938,FIND("01",H938)+16)+2,2)),VALUE(MID(H938,FIND("15",H938,FIND("01",H938)+16)+4,2)),VALUE(MID(H938,FIND("15",H938,FIND("01",H938)+16)+6,2))),"")</f>
        <v/>
      </c>
      <c r="F938" s="8">
        <f>IFERROR(MID(H938,FIND("10",H938,FIND("15",H938,FIND("01",H938)+16)+8)+2,50),"")</f>
        <v/>
      </c>
      <c r="G938" s="8" t="n"/>
      <c r="H938" s="8">
        <f>SUBSTITUTE(SUBSTITUTE(SUBSTITUTE(SUBSTITUTE(A938,"(",""),")","")," ",""),CHAR(29),"")</f>
        <v/>
      </c>
    </row>
    <row r="939">
      <c r="A939" s="4" t="n"/>
      <c r="B939" s="5">
        <f>IFERROR(MID(H939,FIND("01",H939)+2,14),"")</f>
        <v/>
      </c>
      <c r="C939" s="4">
        <f>IF(A939="","",IFERROR(VLOOKUP(B939,TblArticles,2,FALSE),"GTIN inconnu"))</f>
        <v/>
      </c>
      <c r="D939" s="5">
        <f>IF(A939="","",IFERROR(VLOOKUP(B939,TblArticles,3,FALSE),""))</f>
        <v/>
      </c>
      <c r="E939" s="6">
        <f>IFERROR(DATE(2000+VALUE(MID(H939,FIND("15",H939,FIND("01",H939)+16)+2,2)),VALUE(MID(H939,FIND("15",H939,FIND("01",H939)+16)+4,2)),VALUE(MID(H939,FIND("15",H939,FIND("01",H939)+16)+6,2))),"")</f>
        <v/>
      </c>
      <c r="F939" s="5">
        <f>IFERROR(MID(H939,FIND("10",H939,FIND("15",H939,FIND("01",H939)+16)+8)+2,50),"")</f>
        <v/>
      </c>
      <c r="G939" s="5" t="n"/>
      <c r="H939" s="5">
        <f>SUBSTITUTE(SUBSTITUTE(SUBSTITUTE(SUBSTITUTE(A939,"(",""),")","")," ",""),CHAR(29),"")</f>
        <v/>
      </c>
    </row>
    <row r="940">
      <c r="A940" s="7" t="n"/>
      <c r="B940" s="8">
        <f>IFERROR(MID(H940,FIND("01",H940)+2,14),"")</f>
        <v/>
      </c>
      <c r="C940" s="7">
        <f>IF(A940="","",IFERROR(VLOOKUP(B940,TblArticles,2,FALSE),"GTIN inconnu"))</f>
        <v/>
      </c>
      <c r="D940" s="8">
        <f>IF(A940="","",IFERROR(VLOOKUP(B940,TblArticles,3,FALSE),""))</f>
        <v/>
      </c>
      <c r="E940" s="9">
        <f>IFERROR(DATE(2000+VALUE(MID(H940,FIND("15",H940,FIND("01",H940)+16)+2,2)),VALUE(MID(H940,FIND("15",H940,FIND("01",H940)+16)+4,2)),VALUE(MID(H940,FIND("15",H940,FIND("01",H940)+16)+6,2))),"")</f>
        <v/>
      </c>
      <c r="F940" s="8">
        <f>IFERROR(MID(H940,FIND("10",H940,FIND("15",H940,FIND("01",H940)+16)+8)+2,50),"")</f>
        <v/>
      </c>
      <c r="G940" s="8" t="n"/>
      <c r="H940" s="8">
        <f>SUBSTITUTE(SUBSTITUTE(SUBSTITUTE(SUBSTITUTE(A940,"(",""),")","")," ",""),CHAR(29),"")</f>
        <v/>
      </c>
    </row>
    <row r="941">
      <c r="A941" s="4" t="n"/>
      <c r="B941" s="5">
        <f>IFERROR(MID(H941,FIND("01",H941)+2,14),"")</f>
        <v/>
      </c>
      <c r="C941" s="4">
        <f>IF(A941="","",IFERROR(VLOOKUP(B941,TblArticles,2,FALSE),"GTIN inconnu"))</f>
        <v/>
      </c>
      <c r="D941" s="5">
        <f>IF(A941="","",IFERROR(VLOOKUP(B941,TblArticles,3,FALSE),""))</f>
        <v/>
      </c>
      <c r="E941" s="6">
        <f>IFERROR(DATE(2000+VALUE(MID(H941,FIND("15",H941,FIND("01",H941)+16)+2,2)),VALUE(MID(H941,FIND("15",H941,FIND("01",H941)+16)+4,2)),VALUE(MID(H941,FIND("15",H941,FIND("01",H941)+16)+6,2))),"")</f>
        <v/>
      </c>
      <c r="F941" s="5">
        <f>IFERROR(MID(H941,FIND("10",H941,FIND("15",H941,FIND("01",H941)+16)+8)+2,50),"")</f>
        <v/>
      </c>
      <c r="G941" s="5" t="n"/>
      <c r="H941" s="5">
        <f>SUBSTITUTE(SUBSTITUTE(SUBSTITUTE(SUBSTITUTE(A941,"(",""),")","")," ",""),CHAR(29),"")</f>
        <v/>
      </c>
    </row>
    <row r="942">
      <c r="A942" s="7" t="n"/>
      <c r="B942" s="8">
        <f>IFERROR(MID(H942,FIND("01",H942)+2,14),"")</f>
        <v/>
      </c>
      <c r="C942" s="7">
        <f>IF(A942="","",IFERROR(VLOOKUP(B942,TblArticles,2,FALSE),"GTIN inconnu"))</f>
        <v/>
      </c>
      <c r="D942" s="8">
        <f>IF(A942="","",IFERROR(VLOOKUP(B942,TblArticles,3,FALSE),""))</f>
        <v/>
      </c>
      <c r="E942" s="9">
        <f>IFERROR(DATE(2000+VALUE(MID(H942,FIND("15",H942,FIND("01",H942)+16)+2,2)),VALUE(MID(H942,FIND("15",H942,FIND("01",H942)+16)+4,2)),VALUE(MID(H942,FIND("15",H942,FIND("01",H942)+16)+6,2))),"")</f>
        <v/>
      </c>
      <c r="F942" s="8">
        <f>IFERROR(MID(H942,FIND("10",H942,FIND("15",H942,FIND("01",H942)+16)+8)+2,50),"")</f>
        <v/>
      </c>
      <c r="G942" s="8" t="n"/>
      <c r="H942" s="8">
        <f>SUBSTITUTE(SUBSTITUTE(SUBSTITUTE(SUBSTITUTE(A942,"(",""),")","")," ",""),CHAR(29),"")</f>
        <v/>
      </c>
    </row>
    <row r="943">
      <c r="A943" s="4" t="n"/>
      <c r="B943" s="5">
        <f>IFERROR(MID(H943,FIND("01",H943)+2,14),"")</f>
        <v/>
      </c>
      <c r="C943" s="4">
        <f>IF(A943="","",IFERROR(VLOOKUP(B943,TblArticles,2,FALSE),"GTIN inconnu"))</f>
        <v/>
      </c>
      <c r="D943" s="5">
        <f>IF(A943="","",IFERROR(VLOOKUP(B943,TblArticles,3,FALSE),""))</f>
        <v/>
      </c>
      <c r="E943" s="6">
        <f>IFERROR(DATE(2000+VALUE(MID(H943,FIND("15",H943,FIND("01",H943)+16)+2,2)),VALUE(MID(H943,FIND("15",H943,FIND("01",H943)+16)+4,2)),VALUE(MID(H943,FIND("15",H943,FIND("01",H943)+16)+6,2))),"")</f>
        <v/>
      </c>
      <c r="F943" s="5">
        <f>IFERROR(MID(H943,FIND("10",H943,FIND("15",H943,FIND("01",H943)+16)+8)+2,50),"")</f>
        <v/>
      </c>
      <c r="G943" s="5" t="n"/>
      <c r="H943" s="5">
        <f>SUBSTITUTE(SUBSTITUTE(SUBSTITUTE(SUBSTITUTE(A943,"(",""),")","")," ",""),CHAR(29),"")</f>
        <v/>
      </c>
    </row>
    <row r="944">
      <c r="A944" s="7" t="n"/>
      <c r="B944" s="8">
        <f>IFERROR(MID(H944,FIND("01",H944)+2,14),"")</f>
        <v/>
      </c>
      <c r="C944" s="7">
        <f>IF(A944="","",IFERROR(VLOOKUP(B944,TblArticles,2,FALSE),"GTIN inconnu"))</f>
        <v/>
      </c>
      <c r="D944" s="8">
        <f>IF(A944="","",IFERROR(VLOOKUP(B944,TblArticles,3,FALSE),""))</f>
        <v/>
      </c>
      <c r="E944" s="9">
        <f>IFERROR(DATE(2000+VALUE(MID(H944,FIND("15",H944,FIND("01",H944)+16)+2,2)),VALUE(MID(H944,FIND("15",H944,FIND("01",H944)+16)+4,2)),VALUE(MID(H944,FIND("15",H944,FIND("01",H944)+16)+6,2))),"")</f>
        <v/>
      </c>
      <c r="F944" s="8">
        <f>IFERROR(MID(H944,FIND("10",H944,FIND("15",H944,FIND("01",H944)+16)+8)+2,50),"")</f>
        <v/>
      </c>
      <c r="G944" s="8" t="n"/>
      <c r="H944" s="8">
        <f>SUBSTITUTE(SUBSTITUTE(SUBSTITUTE(SUBSTITUTE(A944,"(",""),")","")," ",""),CHAR(29),"")</f>
        <v/>
      </c>
    </row>
    <row r="945">
      <c r="A945" s="4" t="n"/>
      <c r="B945" s="5">
        <f>IFERROR(MID(H945,FIND("01",H945)+2,14),"")</f>
        <v/>
      </c>
      <c r="C945" s="4">
        <f>IF(A945="","",IFERROR(VLOOKUP(B945,TblArticles,2,FALSE),"GTIN inconnu"))</f>
        <v/>
      </c>
      <c r="D945" s="5">
        <f>IF(A945="","",IFERROR(VLOOKUP(B945,TblArticles,3,FALSE),""))</f>
        <v/>
      </c>
      <c r="E945" s="6">
        <f>IFERROR(DATE(2000+VALUE(MID(H945,FIND("15",H945,FIND("01",H945)+16)+2,2)),VALUE(MID(H945,FIND("15",H945,FIND("01",H945)+16)+4,2)),VALUE(MID(H945,FIND("15",H945,FIND("01",H945)+16)+6,2))),"")</f>
        <v/>
      </c>
      <c r="F945" s="5">
        <f>IFERROR(MID(H945,FIND("10",H945,FIND("15",H945,FIND("01",H945)+16)+8)+2,50),"")</f>
        <v/>
      </c>
      <c r="G945" s="5" t="n"/>
      <c r="H945" s="5">
        <f>SUBSTITUTE(SUBSTITUTE(SUBSTITUTE(SUBSTITUTE(A945,"(",""),")","")," ",""),CHAR(29),"")</f>
        <v/>
      </c>
    </row>
    <row r="946">
      <c r="A946" s="7" t="n"/>
      <c r="B946" s="8">
        <f>IFERROR(MID(H946,FIND("01",H946)+2,14),"")</f>
        <v/>
      </c>
      <c r="C946" s="7">
        <f>IF(A946="","",IFERROR(VLOOKUP(B946,TblArticles,2,FALSE),"GTIN inconnu"))</f>
        <v/>
      </c>
      <c r="D946" s="8">
        <f>IF(A946="","",IFERROR(VLOOKUP(B946,TblArticles,3,FALSE),""))</f>
        <v/>
      </c>
      <c r="E946" s="9">
        <f>IFERROR(DATE(2000+VALUE(MID(H946,FIND("15",H946,FIND("01",H946)+16)+2,2)),VALUE(MID(H946,FIND("15",H946,FIND("01",H946)+16)+4,2)),VALUE(MID(H946,FIND("15",H946,FIND("01",H946)+16)+6,2))),"")</f>
        <v/>
      </c>
      <c r="F946" s="8">
        <f>IFERROR(MID(H946,FIND("10",H946,FIND("15",H946,FIND("01",H946)+16)+8)+2,50),"")</f>
        <v/>
      </c>
      <c r="G946" s="8" t="n"/>
      <c r="H946" s="8">
        <f>SUBSTITUTE(SUBSTITUTE(SUBSTITUTE(SUBSTITUTE(A946,"(",""),")","")," ",""),CHAR(29),"")</f>
        <v/>
      </c>
    </row>
    <row r="947">
      <c r="A947" s="4" t="n"/>
      <c r="B947" s="5">
        <f>IFERROR(MID(H947,FIND("01",H947)+2,14),"")</f>
        <v/>
      </c>
      <c r="C947" s="4">
        <f>IF(A947="","",IFERROR(VLOOKUP(B947,TblArticles,2,FALSE),"GTIN inconnu"))</f>
        <v/>
      </c>
      <c r="D947" s="5">
        <f>IF(A947="","",IFERROR(VLOOKUP(B947,TblArticles,3,FALSE),""))</f>
        <v/>
      </c>
      <c r="E947" s="6">
        <f>IFERROR(DATE(2000+VALUE(MID(H947,FIND("15",H947,FIND("01",H947)+16)+2,2)),VALUE(MID(H947,FIND("15",H947,FIND("01",H947)+16)+4,2)),VALUE(MID(H947,FIND("15",H947,FIND("01",H947)+16)+6,2))),"")</f>
        <v/>
      </c>
      <c r="F947" s="5">
        <f>IFERROR(MID(H947,FIND("10",H947,FIND("15",H947,FIND("01",H947)+16)+8)+2,50),"")</f>
        <v/>
      </c>
      <c r="G947" s="5" t="n"/>
      <c r="H947" s="5">
        <f>SUBSTITUTE(SUBSTITUTE(SUBSTITUTE(SUBSTITUTE(A947,"(",""),")","")," ",""),CHAR(29),"")</f>
        <v/>
      </c>
    </row>
    <row r="948">
      <c r="A948" s="7" t="n"/>
      <c r="B948" s="8">
        <f>IFERROR(MID(H948,FIND("01",H948)+2,14),"")</f>
        <v/>
      </c>
      <c r="C948" s="7">
        <f>IF(A948="","",IFERROR(VLOOKUP(B948,TblArticles,2,FALSE),"GTIN inconnu"))</f>
        <v/>
      </c>
      <c r="D948" s="8">
        <f>IF(A948="","",IFERROR(VLOOKUP(B948,TblArticles,3,FALSE),""))</f>
        <v/>
      </c>
      <c r="E948" s="9">
        <f>IFERROR(DATE(2000+VALUE(MID(H948,FIND("15",H948,FIND("01",H948)+16)+2,2)),VALUE(MID(H948,FIND("15",H948,FIND("01",H948)+16)+4,2)),VALUE(MID(H948,FIND("15",H948,FIND("01",H948)+16)+6,2))),"")</f>
        <v/>
      </c>
      <c r="F948" s="8">
        <f>IFERROR(MID(H948,FIND("10",H948,FIND("15",H948,FIND("01",H948)+16)+8)+2,50),"")</f>
        <v/>
      </c>
      <c r="G948" s="8" t="n"/>
      <c r="H948" s="8">
        <f>SUBSTITUTE(SUBSTITUTE(SUBSTITUTE(SUBSTITUTE(A948,"(",""),")","")," ",""),CHAR(29),"")</f>
        <v/>
      </c>
    </row>
    <row r="949">
      <c r="A949" s="4" t="n"/>
      <c r="B949" s="5">
        <f>IFERROR(MID(H949,FIND("01",H949)+2,14),"")</f>
        <v/>
      </c>
      <c r="C949" s="4">
        <f>IF(A949="","",IFERROR(VLOOKUP(B949,TblArticles,2,FALSE),"GTIN inconnu"))</f>
        <v/>
      </c>
      <c r="D949" s="5">
        <f>IF(A949="","",IFERROR(VLOOKUP(B949,TblArticles,3,FALSE),""))</f>
        <v/>
      </c>
      <c r="E949" s="6">
        <f>IFERROR(DATE(2000+VALUE(MID(H949,FIND("15",H949,FIND("01",H949)+16)+2,2)),VALUE(MID(H949,FIND("15",H949,FIND("01",H949)+16)+4,2)),VALUE(MID(H949,FIND("15",H949,FIND("01",H949)+16)+6,2))),"")</f>
        <v/>
      </c>
      <c r="F949" s="5">
        <f>IFERROR(MID(H949,FIND("10",H949,FIND("15",H949,FIND("01",H949)+16)+8)+2,50),"")</f>
        <v/>
      </c>
      <c r="G949" s="5" t="n"/>
      <c r="H949" s="5">
        <f>SUBSTITUTE(SUBSTITUTE(SUBSTITUTE(SUBSTITUTE(A949,"(",""),")","")," ",""),CHAR(29),"")</f>
        <v/>
      </c>
    </row>
    <row r="950">
      <c r="A950" s="7" t="n"/>
      <c r="B950" s="8">
        <f>IFERROR(MID(H950,FIND("01",H950)+2,14),"")</f>
        <v/>
      </c>
      <c r="C950" s="7">
        <f>IF(A950="","",IFERROR(VLOOKUP(B950,TblArticles,2,FALSE),"GTIN inconnu"))</f>
        <v/>
      </c>
      <c r="D950" s="8">
        <f>IF(A950="","",IFERROR(VLOOKUP(B950,TblArticles,3,FALSE),""))</f>
        <v/>
      </c>
      <c r="E950" s="9">
        <f>IFERROR(DATE(2000+VALUE(MID(H950,FIND("15",H950,FIND("01",H950)+16)+2,2)),VALUE(MID(H950,FIND("15",H950,FIND("01",H950)+16)+4,2)),VALUE(MID(H950,FIND("15",H950,FIND("01",H950)+16)+6,2))),"")</f>
        <v/>
      </c>
      <c r="F950" s="8">
        <f>IFERROR(MID(H950,FIND("10",H950,FIND("15",H950,FIND("01",H950)+16)+8)+2,50),"")</f>
        <v/>
      </c>
      <c r="G950" s="8" t="n"/>
      <c r="H950" s="8">
        <f>SUBSTITUTE(SUBSTITUTE(SUBSTITUTE(SUBSTITUTE(A950,"(",""),")","")," ",""),CHAR(29),"")</f>
        <v/>
      </c>
    </row>
    <row r="951">
      <c r="A951" s="4" t="n"/>
      <c r="B951" s="5">
        <f>IFERROR(MID(H951,FIND("01",H951)+2,14),"")</f>
        <v/>
      </c>
      <c r="C951" s="4">
        <f>IF(A951="","",IFERROR(VLOOKUP(B951,TblArticles,2,FALSE),"GTIN inconnu"))</f>
        <v/>
      </c>
      <c r="D951" s="5">
        <f>IF(A951="","",IFERROR(VLOOKUP(B951,TblArticles,3,FALSE),""))</f>
        <v/>
      </c>
      <c r="E951" s="6">
        <f>IFERROR(DATE(2000+VALUE(MID(H951,FIND("15",H951,FIND("01",H951)+16)+2,2)),VALUE(MID(H951,FIND("15",H951,FIND("01",H951)+16)+4,2)),VALUE(MID(H951,FIND("15",H951,FIND("01",H951)+16)+6,2))),"")</f>
        <v/>
      </c>
      <c r="F951" s="5">
        <f>IFERROR(MID(H951,FIND("10",H951,FIND("15",H951,FIND("01",H951)+16)+8)+2,50),"")</f>
        <v/>
      </c>
      <c r="G951" s="5" t="n"/>
      <c r="H951" s="5">
        <f>SUBSTITUTE(SUBSTITUTE(SUBSTITUTE(SUBSTITUTE(A951,"(",""),")","")," ",""),CHAR(29),"")</f>
        <v/>
      </c>
    </row>
    <row r="952">
      <c r="A952" s="7" t="n"/>
      <c r="B952" s="8">
        <f>IFERROR(MID(H952,FIND("01",H952)+2,14),"")</f>
        <v/>
      </c>
      <c r="C952" s="7">
        <f>IF(A952="","",IFERROR(VLOOKUP(B952,TblArticles,2,FALSE),"GTIN inconnu"))</f>
        <v/>
      </c>
      <c r="D952" s="8">
        <f>IF(A952="","",IFERROR(VLOOKUP(B952,TblArticles,3,FALSE),""))</f>
        <v/>
      </c>
      <c r="E952" s="9">
        <f>IFERROR(DATE(2000+VALUE(MID(H952,FIND("15",H952,FIND("01",H952)+16)+2,2)),VALUE(MID(H952,FIND("15",H952,FIND("01",H952)+16)+4,2)),VALUE(MID(H952,FIND("15",H952,FIND("01",H952)+16)+6,2))),"")</f>
        <v/>
      </c>
      <c r="F952" s="8">
        <f>IFERROR(MID(H952,FIND("10",H952,FIND("15",H952,FIND("01",H952)+16)+8)+2,50),"")</f>
        <v/>
      </c>
      <c r="G952" s="8" t="n"/>
      <c r="H952" s="8">
        <f>SUBSTITUTE(SUBSTITUTE(SUBSTITUTE(SUBSTITUTE(A952,"(",""),")","")," ",""),CHAR(29),"")</f>
        <v/>
      </c>
    </row>
    <row r="953">
      <c r="A953" s="4" t="n"/>
      <c r="B953" s="5">
        <f>IFERROR(MID(H953,FIND("01",H953)+2,14),"")</f>
        <v/>
      </c>
      <c r="C953" s="4">
        <f>IF(A953="","",IFERROR(VLOOKUP(B953,TblArticles,2,FALSE),"GTIN inconnu"))</f>
        <v/>
      </c>
      <c r="D953" s="5">
        <f>IF(A953="","",IFERROR(VLOOKUP(B953,TblArticles,3,FALSE),""))</f>
        <v/>
      </c>
      <c r="E953" s="6">
        <f>IFERROR(DATE(2000+VALUE(MID(H953,FIND("15",H953,FIND("01",H953)+16)+2,2)),VALUE(MID(H953,FIND("15",H953,FIND("01",H953)+16)+4,2)),VALUE(MID(H953,FIND("15",H953,FIND("01",H953)+16)+6,2))),"")</f>
        <v/>
      </c>
      <c r="F953" s="5">
        <f>IFERROR(MID(H953,FIND("10",H953,FIND("15",H953,FIND("01",H953)+16)+8)+2,50),"")</f>
        <v/>
      </c>
      <c r="G953" s="5" t="n"/>
      <c r="H953" s="5">
        <f>SUBSTITUTE(SUBSTITUTE(SUBSTITUTE(SUBSTITUTE(A953,"(",""),")","")," ",""),CHAR(29),"")</f>
        <v/>
      </c>
    </row>
    <row r="954">
      <c r="A954" s="7" t="n"/>
      <c r="B954" s="8">
        <f>IFERROR(MID(H954,FIND("01",H954)+2,14),"")</f>
        <v/>
      </c>
      <c r="C954" s="7">
        <f>IF(A954="","",IFERROR(VLOOKUP(B954,TblArticles,2,FALSE),"GTIN inconnu"))</f>
        <v/>
      </c>
      <c r="D954" s="8">
        <f>IF(A954="","",IFERROR(VLOOKUP(B954,TblArticles,3,FALSE),""))</f>
        <v/>
      </c>
      <c r="E954" s="9">
        <f>IFERROR(DATE(2000+VALUE(MID(H954,FIND("15",H954,FIND("01",H954)+16)+2,2)),VALUE(MID(H954,FIND("15",H954,FIND("01",H954)+16)+4,2)),VALUE(MID(H954,FIND("15",H954,FIND("01",H954)+16)+6,2))),"")</f>
        <v/>
      </c>
      <c r="F954" s="8">
        <f>IFERROR(MID(H954,FIND("10",H954,FIND("15",H954,FIND("01",H954)+16)+8)+2,50),"")</f>
        <v/>
      </c>
      <c r="G954" s="8" t="n"/>
      <c r="H954" s="8">
        <f>SUBSTITUTE(SUBSTITUTE(SUBSTITUTE(SUBSTITUTE(A954,"(",""),")","")," ",""),CHAR(29),"")</f>
        <v/>
      </c>
    </row>
    <row r="955">
      <c r="A955" s="4" t="n"/>
      <c r="B955" s="5">
        <f>IFERROR(MID(H955,FIND("01",H955)+2,14),"")</f>
        <v/>
      </c>
      <c r="C955" s="4">
        <f>IF(A955="","",IFERROR(VLOOKUP(B955,TblArticles,2,FALSE),"GTIN inconnu"))</f>
        <v/>
      </c>
      <c r="D955" s="5">
        <f>IF(A955="","",IFERROR(VLOOKUP(B955,TblArticles,3,FALSE),""))</f>
        <v/>
      </c>
      <c r="E955" s="6">
        <f>IFERROR(DATE(2000+VALUE(MID(H955,FIND("15",H955,FIND("01",H955)+16)+2,2)),VALUE(MID(H955,FIND("15",H955,FIND("01",H955)+16)+4,2)),VALUE(MID(H955,FIND("15",H955,FIND("01",H955)+16)+6,2))),"")</f>
        <v/>
      </c>
      <c r="F955" s="5">
        <f>IFERROR(MID(H955,FIND("10",H955,FIND("15",H955,FIND("01",H955)+16)+8)+2,50),"")</f>
        <v/>
      </c>
      <c r="G955" s="5" t="n"/>
      <c r="H955" s="5">
        <f>SUBSTITUTE(SUBSTITUTE(SUBSTITUTE(SUBSTITUTE(A955,"(",""),")","")," ",""),CHAR(29),"")</f>
        <v/>
      </c>
    </row>
    <row r="956">
      <c r="A956" s="7" t="n"/>
      <c r="B956" s="8">
        <f>IFERROR(MID(H956,FIND("01",H956)+2,14),"")</f>
        <v/>
      </c>
      <c r="C956" s="7">
        <f>IF(A956="","",IFERROR(VLOOKUP(B956,TblArticles,2,FALSE),"GTIN inconnu"))</f>
        <v/>
      </c>
      <c r="D956" s="8">
        <f>IF(A956="","",IFERROR(VLOOKUP(B956,TblArticles,3,FALSE),""))</f>
        <v/>
      </c>
      <c r="E956" s="9">
        <f>IFERROR(DATE(2000+VALUE(MID(H956,FIND("15",H956,FIND("01",H956)+16)+2,2)),VALUE(MID(H956,FIND("15",H956,FIND("01",H956)+16)+4,2)),VALUE(MID(H956,FIND("15",H956,FIND("01",H956)+16)+6,2))),"")</f>
        <v/>
      </c>
      <c r="F956" s="8">
        <f>IFERROR(MID(H956,FIND("10",H956,FIND("15",H956,FIND("01",H956)+16)+8)+2,50),"")</f>
        <v/>
      </c>
      <c r="G956" s="8" t="n"/>
      <c r="H956" s="8">
        <f>SUBSTITUTE(SUBSTITUTE(SUBSTITUTE(SUBSTITUTE(A956,"(",""),")","")," ",""),CHAR(29),"")</f>
        <v/>
      </c>
    </row>
    <row r="957">
      <c r="A957" s="4" t="n"/>
      <c r="B957" s="5">
        <f>IFERROR(MID(H957,FIND("01",H957)+2,14),"")</f>
        <v/>
      </c>
      <c r="C957" s="4">
        <f>IF(A957="","",IFERROR(VLOOKUP(B957,TblArticles,2,FALSE),"GTIN inconnu"))</f>
        <v/>
      </c>
      <c r="D957" s="5">
        <f>IF(A957="","",IFERROR(VLOOKUP(B957,TblArticles,3,FALSE),""))</f>
        <v/>
      </c>
      <c r="E957" s="6">
        <f>IFERROR(DATE(2000+VALUE(MID(H957,FIND("15",H957,FIND("01",H957)+16)+2,2)),VALUE(MID(H957,FIND("15",H957,FIND("01",H957)+16)+4,2)),VALUE(MID(H957,FIND("15",H957,FIND("01",H957)+16)+6,2))),"")</f>
        <v/>
      </c>
      <c r="F957" s="5">
        <f>IFERROR(MID(H957,FIND("10",H957,FIND("15",H957,FIND("01",H957)+16)+8)+2,50),"")</f>
        <v/>
      </c>
      <c r="G957" s="5" t="n"/>
      <c r="H957" s="5">
        <f>SUBSTITUTE(SUBSTITUTE(SUBSTITUTE(SUBSTITUTE(A957,"(",""),")","")," ",""),CHAR(29),"")</f>
        <v/>
      </c>
    </row>
    <row r="958">
      <c r="A958" s="7" t="n"/>
      <c r="B958" s="8">
        <f>IFERROR(MID(H958,FIND("01",H958)+2,14),"")</f>
        <v/>
      </c>
      <c r="C958" s="7">
        <f>IF(A958="","",IFERROR(VLOOKUP(B958,TblArticles,2,FALSE),"GTIN inconnu"))</f>
        <v/>
      </c>
      <c r="D958" s="8">
        <f>IF(A958="","",IFERROR(VLOOKUP(B958,TblArticles,3,FALSE),""))</f>
        <v/>
      </c>
      <c r="E958" s="9">
        <f>IFERROR(DATE(2000+VALUE(MID(H958,FIND("15",H958,FIND("01",H958)+16)+2,2)),VALUE(MID(H958,FIND("15",H958,FIND("01",H958)+16)+4,2)),VALUE(MID(H958,FIND("15",H958,FIND("01",H958)+16)+6,2))),"")</f>
        <v/>
      </c>
      <c r="F958" s="8">
        <f>IFERROR(MID(H958,FIND("10",H958,FIND("15",H958,FIND("01",H958)+16)+8)+2,50),"")</f>
        <v/>
      </c>
      <c r="G958" s="8" t="n"/>
      <c r="H958" s="8">
        <f>SUBSTITUTE(SUBSTITUTE(SUBSTITUTE(SUBSTITUTE(A958,"(",""),")","")," ",""),CHAR(29),"")</f>
        <v/>
      </c>
    </row>
    <row r="959">
      <c r="A959" s="4" t="n"/>
      <c r="B959" s="5">
        <f>IFERROR(MID(H959,FIND("01",H959)+2,14),"")</f>
        <v/>
      </c>
      <c r="C959" s="4">
        <f>IF(A959="","",IFERROR(VLOOKUP(B959,TblArticles,2,FALSE),"GTIN inconnu"))</f>
        <v/>
      </c>
      <c r="D959" s="5">
        <f>IF(A959="","",IFERROR(VLOOKUP(B959,TblArticles,3,FALSE),""))</f>
        <v/>
      </c>
      <c r="E959" s="6">
        <f>IFERROR(DATE(2000+VALUE(MID(H959,FIND("15",H959,FIND("01",H959)+16)+2,2)),VALUE(MID(H959,FIND("15",H959,FIND("01",H959)+16)+4,2)),VALUE(MID(H959,FIND("15",H959,FIND("01",H959)+16)+6,2))),"")</f>
        <v/>
      </c>
      <c r="F959" s="5">
        <f>IFERROR(MID(H959,FIND("10",H959,FIND("15",H959,FIND("01",H959)+16)+8)+2,50),"")</f>
        <v/>
      </c>
      <c r="G959" s="5" t="n"/>
      <c r="H959" s="5">
        <f>SUBSTITUTE(SUBSTITUTE(SUBSTITUTE(SUBSTITUTE(A959,"(",""),")","")," ",""),CHAR(29),"")</f>
        <v/>
      </c>
    </row>
    <row r="960">
      <c r="A960" s="7" t="n"/>
      <c r="B960" s="8">
        <f>IFERROR(MID(H960,FIND("01",H960)+2,14),"")</f>
        <v/>
      </c>
      <c r="C960" s="7">
        <f>IF(A960="","",IFERROR(VLOOKUP(B960,TblArticles,2,FALSE),"GTIN inconnu"))</f>
        <v/>
      </c>
      <c r="D960" s="8">
        <f>IF(A960="","",IFERROR(VLOOKUP(B960,TblArticles,3,FALSE),""))</f>
        <v/>
      </c>
      <c r="E960" s="9">
        <f>IFERROR(DATE(2000+VALUE(MID(H960,FIND("15",H960,FIND("01",H960)+16)+2,2)),VALUE(MID(H960,FIND("15",H960,FIND("01",H960)+16)+4,2)),VALUE(MID(H960,FIND("15",H960,FIND("01",H960)+16)+6,2))),"")</f>
        <v/>
      </c>
      <c r="F960" s="8">
        <f>IFERROR(MID(H960,FIND("10",H960,FIND("15",H960,FIND("01",H960)+16)+8)+2,50),"")</f>
        <v/>
      </c>
      <c r="G960" s="8" t="n"/>
      <c r="H960" s="8">
        <f>SUBSTITUTE(SUBSTITUTE(SUBSTITUTE(SUBSTITUTE(A960,"(",""),")","")," ",""),CHAR(29),"")</f>
        <v/>
      </c>
    </row>
    <row r="961">
      <c r="A961" s="4" t="n"/>
      <c r="B961" s="5">
        <f>IFERROR(MID(H961,FIND("01",H961)+2,14),"")</f>
        <v/>
      </c>
      <c r="C961" s="4">
        <f>IF(A961="","",IFERROR(VLOOKUP(B961,TblArticles,2,FALSE),"GTIN inconnu"))</f>
        <v/>
      </c>
      <c r="D961" s="5">
        <f>IF(A961="","",IFERROR(VLOOKUP(B961,TblArticles,3,FALSE),""))</f>
        <v/>
      </c>
      <c r="E961" s="6">
        <f>IFERROR(DATE(2000+VALUE(MID(H961,FIND("15",H961,FIND("01",H961)+16)+2,2)),VALUE(MID(H961,FIND("15",H961,FIND("01",H961)+16)+4,2)),VALUE(MID(H961,FIND("15",H961,FIND("01",H961)+16)+6,2))),"")</f>
        <v/>
      </c>
      <c r="F961" s="5">
        <f>IFERROR(MID(H961,FIND("10",H961,FIND("15",H961,FIND("01",H961)+16)+8)+2,50),"")</f>
        <v/>
      </c>
      <c r="G961" s="5" t="n"/>
      <c r="H961" s="5">
        <f>SUBSTITUTE(SUBSTITUTE(SUBSTITUTE(SUBSTITUTE(A961,"(",""),")","")," ",""),CHAR(29),"")</f>
        <v/>
      </c>
    </row>
    <row r="962">
      <c r="A962" s="7" t="n"/>
      <c r="B962" s="8">
        <f>IFERROR(MID(H962,FIND("01",H962)+2,14),"")</f>
        <v/>
      </c>
      <c r="C962" s="7">
        <f>IF(A962="","",IFERROR(VLOOKUP(B962,TblArticles,2,FALSE),"GTIN inconnu"))</f>
        <v/>
      </c>
      <c r="D962" s="8">
        <f>IF(A962="","",IFERROR(VLOOKUP(B962,TblArticles,3,FALSE),""))</f>
        <v/>
      </c>
      <c r="E962" s="9">
        <f>IFERROR(DATE(2000+VALUE(MID(H962,FIND("15",H962,FIND("01",H962)+16)+2,2)),VALUE(MID(H962,FIND("15",H962,FIND("01",H962)+16)+4,2)),VALUE(MID(H962,FIND("15",H962,FIND("01",H962)+16)+6,2))),"")</f>
        <v/>
      </c>
      <c r="F962" s="8">
        <f>IFERROR(MID(H962,FIND("10",H962,FIND("15",H962,FIND("01",H962)+16)+8)+2,50),"")</f>
        <v/>
      </c>
      <c r="G962" s="8" t="n"/>
      <c r="H962" s="8">
        <f>SUBSTITUTE(SUBSTITUTE(SUBSTITUTE(SUBSTITUTE(A962,"(",""),")","")," ",""),CHAR(29),"")</f>
        <v/>
      </c>
    </row>
    <row r="963">
      <c r="A963" s="4" t="n"/>
      <c r="B963" s="5">
        <f>IFERROR(MID(H963,FIND("01",H963)+2,14),"")</f>
        <v/>
      </c>
      <c r="C963" s="4">
        <f>IF(A963="","",IFERROR(VLOOKUP(B963,TblArticles,2,FALSE),"GTIN inconnu"))</f>
        <v/>
      </c>
      <c r="D963" s="5">
        <f>IF(A963="","",IFERROR(VLOOKUP(B963,TblArticles,3,FALSE),""))</f>
        <v/>
      </c>
      <c r="E963" s="6">
        <f>IFERROR(DATE(2000+VALUE(MID(H963,FIND("15",H963,FIND("01",H963)+16)+2,2)),VALUE(MID(H963,FIND("15",H963,FIND("01",H963)+16)+4,2)),VALUE(MID(H963,FIND("15",H963,FIND("01",H963)+16)+6,2))),"")</f>
        <v/>
      </c>
      <c r="F963" s="5">
        <f>IFERROR(MID(H963,FIND("10",H963,FIND("15",H963,FIND("01",H963)+16)+8)+2,50),"")</f>
        <v/>
      </c>
      <c r="G963" s="5" t="n"/>
      <c r="H963" s="5">
        <f>SUBSTITUTE(SUBSTITUTE(SUBSTITUTE(SUBSTITUTE(A963,"(",""),")","")," ",""),CHAR(29),"")</f>
        <v/>
      </c>
    </row>
    <row r="964">
      <c r="A964" s="7" t="n"/>
      <c r="B964" s="8">
        <f>IFERROR(MID(H964,FIND("01",H964)+2,14),"")</f>
        <v/>
      </c>
      <c r="C964" s="7">
        <f>IF(A964="","",IFERROR(VLOOKUP(B964,TblArticles,2,FALSE),"GTIN inconnu"))</f>
        <v/>
      </c>
      <c r="D964" s="8">
        <f>IF(A964="","",IFERROR(VLOOKUP(B964,TblArticles,3,FALSE),""))</f>
        <v/>
      </c>
      <c r="E964" s="9">
        <f>IFERROR(DATE(2000+VALUE(MID(H964,FIND("15",H964,FIND("01",H964)+16)+2,2)),VALUE(MID(H964,FIND("15",H964,FIND("01",H964)+16)+4,2)),VALUE(MID(H964,FIND("15",H964,FIND("01",H964)+16)+6,2))),"")</f>
        <v/>
      </c>
      <c r="F964" s="8">
        <f>IFERROR(MID(H964,FIND("10",H964,FIND("15",H964,FIND("01",H964)+16)+8)+2,50),"")</f>
        <v/>
      </c>
      <c r="G964" s="8" t="n"/>
      <c r="H964" s="8">
        <f>SUBSTITUTE(SUBSTITUTE(SUBSTITUTE(SUBSTITUTE(A964,"(",""),")","")," ",""),CHAR(29),"")</f>
        <v/>
      </c>
    </row>
    <row r="965">
      <c r="A965" s="4" t="n"/>
      <c r="B965" s="5">
        <f>IFERROR(MID(H965,FIND("01",H965)+2,14),"")</f>
        <v/>
      </c>
      <c r="C965" s="4">
        <f>IF(A965="","",IFERROR(VLOOKUP(B965,TblArticles,2,FALSE),"GTIN inconnu"))</f>
        <v/>
      </c>
      <c r="D965" s="5">
        <f>IF(A965="","",IFERROR(VLOOKUP(B965,TblArticles,3,FALSE),""))</f>
        <v/>
      </c>
      <c r="E965" s="6">
        <f>IFERROR(DATE(2000+VALUE(MID(H965,FIND("15",H965,FIND("01",H965)+16)+2,2)),VALUE(MID(H965,FIND("15",H965,FIND("01",H965)+16)+4,2)),VALUE(MID(H965,FIND("15",H965,FIND("01",H965)+16)+6,2))),"")</f>
        <v/>
      </c>
      <c r="F965" s="5">
        <f>IFERROR(MID(H965,FIND("10",H965,FIND("15",H965,FIND("01",H965)+16)+8)+2,50),"")</f>
        <v/>
      </c>
      <c r="G965" s="5" t="n"/>
      <c r="H965" s="5">
        <f>SUBSTITUTE(SUBSTITUTE(SUBSTITUTE(SUBSTITUTE(A965,"(",""),")","")," ",""),CHAR(29),"")</f>
        <v/>
      </c>
    </row>
    <row r="966">
      <c r="A966" s="7" t="n"/>
      <c r="B966" s="8">
        <f>IFERROR(MID(H966,FIND("01",H966)+2,14),"")</f>
        <v/>
      </c>
      <c r="C966" s="7">
        <f>IF(A966="","",IFERROR(VLOOKUP(B966,TblArticles,2,FALSE),"GTIN inconnu"))</f>
        <v/>
      </c>
      <c r="D966" s="8">
        <f>IF(A966="","",IFERROR(VLOOKUP(B966,TblArticles,3,FALSE),""))</f>
        <v/>
      </c>
      <c r="E966" s="9">
        <f>IFERROR(DATE(2000+VALUE(MID(H966,FIND("15",H966,FIND("01",H966)+16)+2,2)),VALUE(MID(H966,FIND("15",H966,FIND("01",H966)+16)+4,2)),VALUE(MID(H966,FIND("15",H966,FIND("01",H966)+16)+6,2))),"")</f>
        <v/>
      </c>
      <c r="F966" s="8">
        <f>IFERROR(MID(H966,FIND("10",H966,FIND("15",H966,FIND("01",H966)+16)+8)+2,50),"")</f>
        <v/>
      </c>
      <c r="G966" s="8" t="n"/>
      <c r="H966" s="8">
        <f>SUBSTITUTE(SUBSTITUTE(SUBSTITUTE(SUBSTITUTE(A966,"(",""),")","")," ",""),CHAR(29),"")</f>
        <v/>
      </c>
    </row>
    <row r="967">
      <c r="A967" s="4" t="n"/>
      <c r="B967" s="5">
        <f>IFERROR(MID(H967,FIND("01",H967)+2,14),"")</f>
        <v/>
      </c>
      <c r="C967" s="4">
        <f>IF(A967="","",IFERROR(VLOOKUP(B967,TblArticles,2,FALSE),"GTIN inconnu"))</f>
        <v/>
      </c>
      <c r="D967" s="5">
        <f>IF(A967="","",IFERROR(VLOOKUP(B967,TblArticles,3,FALSE),""))</f>
        <v/>
      </c>
      <c r="E967" s="6">
        <f>IFERROR(DATE(2000+VALUE(MID(H967,FIND("15",H967,FIND("01",H967)+16)+2,2)),VALUE(MID(H967,FIND("15",H967,FIND("01",H967)+16)+4,2)),VALUE(MID(H967,FIND("15",H967,FIND("01",H967)+16)+6,2))),"")</f>
        <v/>
      </c>
      <c r="F967" s="5">
        <f>IFERROR(MID(H967,FIND("10",H967,FIND("15",H967,FIND("01",H967)+16)+8)+2,50),"")</f>
        <v/>
      </c>
      <c r="G967" s="5" t="n"/>
      <c r="H967" s="5">
        <f>SUBSTITUTE(SUBSTITUTE(SUBSTITUTE(SUBSTITUTE(A967,"(",""),")","")," ",""),CHAR(29),"")</f>
        <v/>
      </c>
    </row>
    <row r="968">
      <c r="A968" s="7" t="n"/>
      <c r="B968" s="8">
        <f>IFERROR(MID(H968,FIND("01",H968)+2,14),"")</f>
        <v/>
      </c>
      <c r="C968" s="7">
        <f>IF(A968="","",IFERROR(VLOOKUP(B968,TblArticles,2,FALSE),"GTIN inconnu"))</f>
        <v/>
      </c>
      <c r="D968" s="8">
        <f>IF(A968="","",IFERROR(VLOOKUP(B968,TblArticles,3,FALSE),""))</f>
        <v/>
      </c>
      <c r="E968" s="9">
        <f>IFERROR(DATE(2000+VALUE(MID(H968,FIND("15",H968,FIND("01",H968)+16)+2,2)),VALUE(MID(H968,FIND("15",H968,FIND("01",H968)+16)+4,2)),VALUE(MID(H968,FIND("15",H968,FIND("01",H968)+16)+6,2))),"")</f>
        <v/>
      </c>
      <c r="F968" s="8">
        <f>IFERROR(MID(H968,FIND("10",H968,FIND("15",H968,FIND("01",H968)+16)+8)+2,50),"")</f>
        <v/>
      </c>
      <c r="G968" s="8" t="n"/>
      <c r="H968" s="8">
        <f>SUBSTITUTE(SUBSTITUTE(SUBSTITUTE(SUBSTITUTE(A968,"(",""),")","")," ",""),CHAR(29),"")</f>
        <v/>
      </c>
    </row>
    <row r="969">
      <c r="A969" s="4" t="n"/>
      <c r="B969" s="5">
        <f>IFERROR(MID(H969,FIND("01",H969)+2,14),"")</f>
        <v/>
      </c>
      <c r="C969" s="4">
        <f>IF(A969="","",IFERROR(VLOOKUP(B969,TblArticles,2,FALSE),"GTIN inconnu"))</f>
        <v/>
      </c>
      <c r="D969" s="5">
        <f>IF(A969="","",IFERROR(VLOOKUP(B969,TblArticles,3,FALSE),""))</f>
        <v/>
      </c>
      <c r="E969" s="6">
        <f>IFERROR(DATE(2000+VALUE(MID(H969,FIND("15",H969,FIND("01",H969)+16)+2,2)),VALUE(MID(H969,FIND("15",H969,FIND("01",H969)+16)+4,2)),VALUE(MID(H969,FIND("15",H969,FIND("01",H969)+16)+6,2))),"")</f>
        <v/>
      </c>
      <c r="F969" s="5">
        <f>IFERROR(MID(H969,FIND("10",H969,FIND("15",H969,FIND("01",H969)+16)+8)+2,50),"")</f>
        <v/>
      </c>
      <c r="G969" s="5" t="n"/>
      <c r="H969" s="5">
        <f>SUBSTITUTE(SUBSTITUTE(SUBSTITUTE(SUBSTITUTE(A969,"(",""),")","")," ",""),CHAR(29),"")</f>
        <v/>
      </c>
    </row>
    <row r="970">
      <c r="A970" s="7" t="n"/>
      <c r="B970" s="8">
        <f>IFERROR(MID(H970,FIND("01",H970)+2,14),"")</f>
        <v/>
      </c>
      <c r="C970" s="7">
        <f>IF(A970="","",IFERROR(VLOOKUP(B970,TblArticles,2,FALSE),"GTIN inconnu"))</f>
        <v/>
      </c>
      <c r="D970" s="8">
        <f>IF(A970="","",IFERROR(VLOOKUP(B970,TblArticles,3,FALSE),""))</f>
        <v/>
      </c>
      <c r="E970" s="9">
        <f>IFERROR(DATE(2000+VALUE(MID(H970,FIND("15",H970,FIND("01",H970)+16)+2,2)),VALUE(MID(H970,FIND("15",H970,FIND("01",H970)+16)+4,2)),VALUE(MID(H970,FIND("15",H970,FIND("01",H970)+16)+6,2))),"")</f>
        <v/>
      </c>
      <c r="F970" s="8">
        <f>IFERROR(MID(H970,FIND("10",H970,FIND("15",H970,FIND("01",H970)+16)+8)+2,50),"")</f>
        <v/>
      </c>
      <c r="G970" s="8" t="n"/>
      <c r="H970" s="8">
        <f>SUBSTITUTE(SUBSTITUTE(SUBSTITUTE(SUBSTITUTE(A970,"(",""),")","")," ",""),CHAR(29),"")</f>
        <v/>
      </c>
    </row>
    <row r="971">
      <c r="A971" s="4" t="n"/>
      <c r="B971" s="5">
        <f>IFERROR(MID(H971,FIND("01",H971)+2,14),"")</f>
        <v/>
      </c>
      <c r="C971" s="4">
        <f>IF(A971="","",IFERROR(VLOOKUP(B971,TblArticles,2,FALSE),"GTIN inconnu"))</f>
        <v/>
      </c>
      <c r="D971" s="5">
        <f>IF(A971="","",IFERROR(VLOOKUP(B971,TblArticles,3,FALSE),""))</f>
        <v/>
      </c>
      <c r="E971" s="6">
        <f>IFERROR(DATE(2000+VALUE(MID(H971,FIND("15",H971,FIND("01",H971)+16)+2,2)),VALUE(MID(H971,FIND("15",H971,FIND("01",H971)+16)+4,2)),VALUE(MID(H971,FIND("15",H971,FIND("01",H971)+16)+6,2))),"")</f>
        <v/>
      </c>
      <c r="F971" s="5">
        <f>IFERROR(MID(H971,FIND("10",H971,FIND("15",H971,FIND("01",H971)+16)+8)+2,50),"")</f>
        <v/>
      </c>
      <c r="G971" s="5" t="n"/>
      <c r="H971" s="5">
        <f>SUBSTITUTE(SUBSTITUTE(SUBSTITUTE(SUBSTITUTE(A971,"(",""),")","")," ",""),CHAR(29),"")</f>
        <v/>
      </c>
    </row>
    <row r="972">
      <c r="A972" s="7" t="n"/>
      <c r="B972" s="8">
        <f>IFERROR(MID(H972,FIND("01",H972)+2,14),"")</f>
        <v/>
      </c>
      <c r="C972" s="7">
        <f>IF(A972="","",IFERROR(VLOOKUP(B972,TblArticles,2,FALSE),"GTIN inconnu"))</f>
        <v/>
      </c>
      <c r="D972" s="8">
        <f>IF(A972="","",IFERROR(VLOOKUP(B972,TblArticles,3,FALSE),""))</f>
        <v/>
      </c>
      <c r="E972" s="9">
        <f>IFERROR(DATE(2000+VALUE(MID(H972,FIND("15",H972,FIND("01",H972)+16)+2,2)),VALUE(MID(H972,FIND("15",H972,FIND("01",H972)+16)+4,2)),VALUE(MID(H972,FIND("15",H972,FIND("01",H972)+16)+6,2))),"")</f>
        <v/>
      </c>
      <c r="F972" s="8">
        <f>IFERROR(MID(H972,FIND("10",H972,FIND("15",H972,FIND("01",H972)+16)+8)+2,50),"")</f>
        <v/>
      </c>
      <c r="G972" s="8" t="n"/>
      <c r="H972" s="8">
        <f>SUBSTITUTE(SUBSTITUTE(SUBSTITUTE(SUBSTITUTE(A972,"(",""),")","")," ",""),CHAR(29),"")</f>
        <v/>
      </c>
    </row>
    <row r="973">
      <c r="A973" s="4" t="n"/>
      <c r="B973" s="5">
        <f>IFERROR(MID(H973,FIND("01",H973)+2,14),"")</f>
        <v/>
      </c>
      <c r="C973" s="4">
        <f>IF(A973="","",IFERROR(VLOOKUP(B973,TblArticles,2,FALSE),"GTIN inconnu"))</f>
        <v/>
      </c>
      <c r="D973" s="5">
        <f>IF(A973="","",IFERROR(VLOOKUP(B973,TblArticles,3,FALSE),""))</f>
        <v/>
      </c>
      <c r="E973" s="6">
        <f>IFERROR(DATE(2000+VALUE(MID(H973,FIND("15",H973,FIND("01",H973)+16)+2,2)),VALUE(MID(H973,FIND("15",H973,FIND("01",H973)+16)+4,2)),VALUE(MID(H973,FIND("15",H973,FIND("01",H973)+16)+6,2))),"")</f>
        <v/>
      </c>
      <c r="F973" s="5">
        <f>IFERROR(MID(H973,FIND("10",H973,FIND("15",H973,FIND("01",H973)+16)+8)+2,50),"")</f>
        <v/>
      </c>
      <c r="G973" s="5" t="n"/>
      <c r="H973" s="5">
        <f>SUBSTITUTE(SUBSTITUTE(SUBSTITUTE(SUBSTITUTE(A973,"(",""),")","")," ",""),CHAR(29),"")</f>
        <v/>
      </c>
    </row>
    <row r="974">
      <c r="A974" s="7" t="n"/>
      <c r="B974" s="8">
        <f>IFERROR(MID(H974,FIND("01",H974)+2,14),"")</f>
        <v/>
      </c>
      <c r="C974" s="7">
        <f>IF(A974="","",IFERROR(VLOOKUP(B974,TblArticles,2,FALSE),"GTIN inconnu"))</f>
        <v/>
      </c>
      <c r="D974" s="8">
        <f>IF(A974="","",IFERROR(VLOOKUP(B974,TblArticles,3,FALSE),""))</f>
        <v/>
      </c>
      <c r="E974" s="9">
        <f>IFERROR(DATE(2000+VALUE(MID(H974,FIND("15",H974,FIND("01",H974)+16)+2,2)),VALUE(MID(H974,FIND("15",H974,FIND("01",H974)+16)+4,2)),VALUE(MID(H974,FIND("15",H974,FIND("01",H974)+16)+6,2))),"")</f>
        <v/>
      </c>
      <c r="F974" s="8">
        <f>IFERROR(MID(H974,FIND("10",H974,FIND("15",H974,FIND("01",H974)+16)+8)+2,50),"")</f>
        <v/>
      </c>
      <c r="G974" s="8" t="n"/>
      <c r="H974" s="8">
        <f>SUBSTITUTE(SUBSTITUTE(SUBSTITUTE(SUBSTITUTE(A974,"(",""),")","")," ",""),CHAR(29),"")</f>
        <v/>
      </c>
    </row>
    <row r="975">
      <c r="A975" s="4" t="n"/>
      <c r="B975" s="5">
        <f>IFERROR(MID(H975,FIND("01",H975)+2,14),"")</f>
        <v/>
      </c>
      <c r="C975" s="4">
        <f>IF(A975="","",IFERROR(VLOOKUP(B975,TblArticles,2,FALSE),"GTIN inconnu"))</f>
        <v/>
      </c>
      <c r="D975" s="5">
        <f>IF(A975="","",IFERROR(VLOOKUP(B975,TblArticles,3,FALSE),""))</f>
        <v/>
      </c>
      <c r="E975" s="6">
        <f>IFERROR(DATE(2000+VALUE(MID(H975,FIND("15",H975,FIND("01",H975)+16)+2,2)),VALUE(MID(H975,FIND("15",H975,FIND("01",H975)+16)+4,2)),VALUE(MID(H975,FIND("15",H975,FIND("01",H975)+16)+6,2))),"")</f>
        <v/>
      </c>
      <c r="F975" s="5">
        <f>IFERROR(MID(H975,FIND("10",H975,FIND("15",H975,FIND("01",H975)+16)+8)+2,50),"")</f>
        <v/>
      </c>
      <c r="G975" s="5" t="n"/>
      <c r="H975" s="5">
        <f>SUBSTITUTE(SUBSTITUTE(SUBSTITUTE(SUBSTITUTE(A975,"(",""),")","")," ",""),CHAR(29),"")</f>
        <v/>
      </c>
    </row>
    <row r="976">
      <c r="A976" s="7" t="n"/>
      <c r="B976" s="8">
        <f>IFERROR(MID(H976,FIND("01",H976)+2,14),"")</f>
        <v/>
      </c>
      <c r="C976" s="7">
        <f>IF(A976="","",IFERROR(VLOOKUP(B976,TblArticles,2,FALSE),"GTIN inconnu"))</f>
        <v/>
      </c>
      <c r="D976" s="8">
        <f>IF(A976="","",IFERROR(VLOOKUP(B976,TblArticles,3,FALSE),""))</f>
        <v/>
      </c>
      <c r="E976" s="9">
        <f>IFERROR(DATE(2000+VALUE(MID(H976,FIND("15",H976,FIND("01",H976)+16)+2,2)),VALUE(MID(H976,FIND("15",H976,FIND("01",H976)+16)+4,2)),VALUE(MID(H976,FIND("15",H976,FIND("01",H976)+16)+6,2))),"")</f>
        <v/>
      </c>
      <c r="F976" s="8">
        <f>IFERROR(MID(H976,FIND("10",H976,FIND("15",H976,FIND("01",H976)+16)+8)+2,50),"")</f>
        <v/>
      </c>
      <c r="G976" s="8" t="n"/>
      <c r="H976" s="8">
        <f>SUBSTITUTE(SUBSTITUTE(SUBSTITUTE(SUBSTITUTE(A976,"(",""),")","")," ",""),CHAR(29),"")</f>
        <v/>
      </c>
    </row>
    <row r="977">
      <c r="A977" s="4" t="n"/>
      <c r="B977" s="5">
        <f>IFERROR(MID(H977,FIND("01",H977)+2,14),"")</f>
        <v/>
      </c>
      <c r="C977" s="4">
        <f>IF(A977="","",IFERROR(VLOOKUP(B977,TblArticles,2,FALSE),"GTIN inconnu"))</f>
        <v/>
      </c>
      <c r="D977" s="5">
        <f>IF(A977="","",IFERROR(VLOOKUP(B977,TblArticles,3,FALSE),""))</f>
        <v/>
      </c>
      <c r="E977" s="6">
        <f>IFERROR(DATE(2000+VALUE(MID(H977,FIND("15",H977,FIND("01",H977)+16)+2,2)),VALUE(MID(H977,FIND("15",H977,FIND("01",H977)+16)+4,2)),VALUE(MID(H977,FIND("15",H977,FIND("01",H977)+16)+6,2))),"")</f>
        <v/>
      </c>
      <c r="F977" s="5">
        <f>IFERROR(MID(H977,FIND("10",H977,FIND("15",H977,FIND("01",H977)+16)+8)+2,50),"")</f>
        <v/>
      </c>
      <c r="G977" s="5" t="n"/>
      <c r="H977" s="5">
        <f>SUBSTITUTE(SUBSTITUTE(SUBSTITUTE(SUBSTITUTE(A977,"(",""),")","")," ",""),CHAR(29),"")</f>
        <v/>
      </c>
    </row>
    <row r="978">
      <c r="A978" s="7" t="n"/>
      <c r="B978" s="8">
        <f>IFERROR(MID(H978,FIND("01",H978)+2,14),"")</f>
        <v/>
      </c>
      <c r="C978" s="7">
        <f>IF(A978="","",IFERROR(VLOOKUP(B978,TblArticles,2,FALSE),"GTIN inconnu"))</f>
        <v/>
      </c>
      <c r="D978" s="8">
        <f>IF(A978="","",IFERROR(VLOOKUP(B978,TblArticles,3,FALSE),""))</f>
        <v/>
      </c>
      <c r="E978" s="9">
        <f>IFERROR(DATE(2000+VALUE(MID(H978,FIND("15",H978,FIND("01",H978)+16)+2,2)),VALUE(MID(H978,FIND("15",H978,FIND("01",H978)+16)+4,2)),VALUE(MID(H978,FIND("15",H978,FIND("01",H978)+16)+6,2))),"")</f>
        <v/>
      </c>
      <c r="F978" s="8">
        <f>IFERROR(MID(H978,FIND("10",H978,FIND("15",H978,FIND("01",H978)+16)+8)+2,50),"")</f>
        <v/>
      </c>
      <c r="G978" s="8" t="n"/>
      <c r="H978" s="8">
        <f>SUBSTITUTE(SUBSTITUTE(SUBSTITUTE(SUBSTITUTE(A978,"(",""),")","")," ",""),CHAR(29),"")</f>
        <v/>
      </c>
    </row>
    <row r="979">
      <c r="A979" s="4" t="n"/>
      <c r="B979" s="5">
        <f>IFERROR(MID(H979,FIND("01",H979)+2,14),"")</f>
        <v/>
      </c>
      <c r="C979" s="4">
        <f>IF(A979="","",IFERROR(VLOOKUP(B979,TblArticles,2,FALSE),"GTIN inconnu"))</f>
        <v/>
      </c>
      <c r="D979" s="5">
        <f>IF(A979="","",IFERROR(VLOOKUP(B979,TblArticles,3,FALSE),""))</f>
        <v/>
      </c>
      <c r="E979" s="6">
        <f>IFERROR(DATE(2000+VALUE(MID(H979,FIND("15",H979,FIND("01",H979)+16)+2,2)),VALUE(MID(H979,FIND("15",H979,FIND("01",H979)+16)+4,2)),VALUE(MID(H979,FIND("15",H979,FIND("01",H979)+16)+6,2))),"")</f>
        <v/>
      </c>
      <c r="F979" s="5">
        <f>IFERROR(MID(H979,FIND("10",H979,FIND("15",H979,FIND("01",H979)+16)+8)+2,50),"")</f>
        <v/>
      </c>
      <c r="G979" s="5" t="n"/>
      <c r="H979" s="5">
        <f>SUBSTITUTE(SUBSTITUTE(SUBSTITUTE(SUBSTITUTE(A979,"(",""),")","")," ",""),CHAR(29),"")</f>
        <v/>
      </c>
    </row>
    <row r="980">
      <c r="A980" s="7" t="n"/>
      <c r="B980" s="8">
        <f>IFERROR(MID(H980,FIND("01",H980)+2,14),"")</f>
        <v/>
      </c>
      <c r="C980" s="7">
        <f>IF(A980="","",IFERROR(VLOOKUP(B980,TblArticles,2,FALSE),"GTIN inconnu"))</f>
        <v/>
      </c>
      <c r="D980" s="8">
        <f>IF(A980="","",IFERROR(VLOOKUP(B980,TblArticles,3,FALSE),""))</f>
        <v/>
      </c>
      <c r="E980" s="9">
        <f>IFERROR(DATE(2000+VALUE(MID(H980,FIND("15",H980,FIND("01",H980)+16)+2,2)),VALUE(MID(H980,FIND("15",H980,FIND("01",H980)+16)+4,2)),VALUE(MID(H980,FIND("15",H980,FIND("01",H980)+16)+6,2))),"")</f>
        <v/>
      </c>
      <c r="F980" s="8">
        <f>IFERROR(MID(H980,FIND("10",H980,FIND("15",H980,FIND("01",H980)+16)+8)+2,50),"")</f>
        <v/>
      </c>
      <c r="G980" s="8" t="n"/>
      <c r="H980" s="8">
        <f>SUBSTITUTE(SUBSTITUTE(SUBSTITUTE(SUBSTITUTE(A980,"(",""),")","")," ",""),CHAR(29),"")</f>
        <v/>
      </c>
    </row>
    <row r="981">
      <c r="A981" s="4" t="n"/>
      <c r="B981" s="5">
        <f>IFERROR(MID(H981,FIND("01",H981)+2,14),"")</f>
        <v/>
      </c>
      <c r="C981" s="4">
        <f>IF(A981="","",IFERROR(VLOOKUP(B981,TblArticles,2,FALSE),"GTIN inconnu"))</f>
        <v/>
      </c>
      <c r="D981" s="5">
        <f>IF(A981="","",IFERROR(VLOOKUP(B981,TblArticles,3,FALSE),""))</f>
        <v/>
      </c>
      <c r="E981" s="6">
        <f>IFERROR(DATE(2000+VALUE(MID(H981,FIND("15",H981,FIND("01",H981)+16)+2,2)),VALUE(MID(H981,FIND("15",H981,FIND("01",H981)+16)+4,2)),VALUE(MID(H981,FIND("15",H981,FIND("01",H981)+16)+6,2))),"")</f>
        <v/>
      </c>
      <c r="F981" s="5">
        <f>IFERROR(MID(H981,FIND("10",H981,FIND("15",H981,FIND("01",H981)+16)+8)+2,50),"")</f>
        <v/>
      </c>
      <c r="G981" s="5" t="n"/>
      <c r="H981" s="5">
        <f>SUBSTITUTE(SUBSTITUTE(SUBSTITUTE(SUBSTITUTE(A981,"(",""),")","")," ",""),CHAR(29),"")</f>
        <v/>
      </c>
    </row>
    <row r="982">
      <c r="A982" s="7" t="n"/>
      <c r="B982" s="8">
        <f>IFERROR(MID(H982,FIND("01",H982)+2,14),"")</f>
        <v/>
      </c>
      <c r="C982" s="7">
        <f>IF(A982="","",IFERROR(VLOOKUP(B982,TblArticles,2,FALSE),"GTIN inconnu"))</f>
        <v/>
      </c>
      <c r="D982" s="8">
        <f>IF(A982="","",IFERROR(VLOOKUP(B982,TblArticles,3,FALSE),""))</f>
        <v/>
      </c>
      <c r="E982" s="9">
        <f>IFERROR(DATE(2000+VALUE(MID(H982,FIND("15",H982,FIND("01",H982)+16)+2,2)),VALUE(MID(H982,FIND("15",H982,FIND("01",H982)+16)+4,2)),VALUE(MID(H982,FIND("15",H982,FIND("01",H982)+16)+6,2))),"")</f>
        <v/>
      </c>
      <c r="F982" s="8">
        <f>IFERROR(MID(H982,FIND("10",H982,FIND("15",H982,FIND("01",H982)+16)+8)+2,50),"")</f>
        <v/>
      </c>
      <c r="G982" s="8" t="n"/>
      <c r="H982" s="8">
        <f>SUBSTITUTE(SUBSTITUTE(SUBSTITUTE(SUBSTITUTE(A982,"(",""),")","")," ",""),CHAR(29),"")</f>
        <v/>
      </c>
    </row>
    <row r="983">
      <c r="A983" s="4" t="n"/>
      <c r="B983" s="5">
        <f>IFERROR(MID(H983,FIND("01",H983)+2,14),"")</f>
        <v/>
      </c>
      <c r="C983" s="4">
        <f>IF(A983="","",IFERROR(VLOOKUP(B983,TblArticles,2,FALSE),"GTIN inconnu"))</f>
        <v/>
      </c>
      <c r="D983" s="5">
        <f>IF(A983="","",IFERROR(VLOOKUP(B983,TblArticles,3,FALSE),""))</f>
        <v/>
      </c>
      <c r="E983" s="6">
        <f>IFERROR(DATE(2000+VALUE(MID(H983,FIND("15",H983,FIND("01",H983)+16)+2,2)),VALUE(MID(H983,FIND("15",H983,FIND("01",H983)+16)+4,2)),VALUE(MID(H983,FIND("15",H983,FIND("01",H983)+16)+6,2))),"")</f>
        <v/>
      </c>
      <c r="F983" s="5">
        <f>IFERROR(MID(H983,FIND("10",H983,FIND("15",H983,FIND("01",H983)+16)+8)+2,50),"")</f>
        <v/>
      </c>
      <c r="G983" s="5" t="n"/>
      <c r="H983" s="5">
        <f>SUBSTITUTE(SUBSTITUTE(SUBSTITUTE(SUBSTITUTE(A983,"(",""),")","")," ",""),CHAR(29),"")</f>
        <v/>
      </c>
    </row>
    <row r="984">
      <c r="A984" s="7" t="n"/>
      <c r="B984" s="8">
        <f>IFERROR(MID(H984,FIND("01",H984)+2,14),"")</f>
        <v/>
      </c>
      <c r="C984" s="7">
        <f>IF(A984="","",IFERROR(VLOOKUP(B984,TblArticles,2,FALSE),"GTIN inconnu"))</f>
        <v/>
      </c>
      <c r="D984" s="8">
        <f>IF(A984="","",IFERROR(VLOOKUP(B984,TblArticles,3,FALSE),""))</f>
        <v/>
      </c>
      <c r="E984" s="9">
        <f>IFERROR(DATE(2000+VALUE(MID(H984,FIND("15",H984,FIND("01",H984)+16)+2,2)),VALUE(MID(H984,FIND("15",H984,FIND("01",H984)+16)+4,2)),VALUE(MID(H984,FIND("15",H984,FIND("01",H984)+16)+6,2))),"")</f>
        <v/>
      </c>
      <c r="F984" s="8">
        <f>IFERROR(MID(H984,FIND("10",H984,FIND("15",H984,FIND("01",H984)+16)+8)+2,50),"")</f>
        <v/>
      </c>
      <c r="G984" s="8" t="n"/>
      <c r="H984" s="8">
        <f>SUBSTITUTE(SUBSTITUTE(SUBSTITUTE(SUBSTITUTE(A984,"(",""),")","")," ",""),CHAR(29),"")</f>
        <v/>
      </c>
    </row>
    <row r="985">
      <c r="A985" s="4" t="n"/>
      <c r="B985" s="5">
        <f>IFERROR(MID(H985,FIND("01",H985)+2,14),"")</f>
        <v/>
      </c>
      <c r="C985" s="4">
        <f>IF(A985="","",IFERROR(VLOOKUP(B985,TblArticles,2,FALSE),"GTIN inconnu"))</f>
        <v/>
      </c>
      <c r="D985" s="5">
        <f>IF(A985="","",IFERROR(VLOOKUP(B985,TblArticles,3,FALSE),""))</f>
        <v/>
      </c>
      <c r="E985" s="6">
        <f>IFERROR(DATE(2000+VALUE(MID(H985,FIND("15",H985,FIND("01",H985)+16)+2,2)),VALUE(MID(H985,FIND("15",H985,FIND("01",H985)+16)+4,2)),VALUE(MID(H985,FIND("15",H985,FIND("01",H985)+16)+6,2))),"")</f>
        <v/>
      </c>
      <c r="F985" s="5">
        <f>IFERROR(MID(H985,FIND("10",H985,FIND("15",H985,FIND("01",H985)+16)+8)+2,50),"")</f>
        <v/>
      </c>
      <c r="G985" s="5" t="n"/>
      <c r="H985" s="5">
        <f>SUBSTITUTE(SUBSTITUTE(SUBSTITUTE(SUBSTITUTE(A985,"(",""),")","")," ",""),CHAR(29),"")</f>
        <v/>
      </c>
    </row>
    <row r="986">
      <c r="A986" s="7" t="n"/>
      <c r="B986" s="8">
        <f>IFERROR(MID(H986,FIND("01",H986)+2,14),"")</f>
        <v/>
      </c>
      <c r="C986" s="7">
        <f>IF(A986="","",IFERROR(VLOOKUP(B986,TblArticles,2,FALSE),"GTIN inconnu"))</f>
        <v/>
      </c>
      <c r="D986" s="8">
        <f>IF(A986="","",IFERROR(VLOOKUP(B986,TblArticles,3,FALSE),""))</f>
        <v/>
      </c>
      <c r="E986" s="9">
        <f>IFERROR(DATE(2000+VALUE(MID(H986,FIND("15",H986,FIND("01",H986)+16)+2,2)),VALUE(MID(H986,FIND("15",H986,FIND("01",H986)+16)+4,2)),VALUE(MID(H986,FIND("15",H986,FIND("01",H986)+16)+6,2))),"")</f>
        <v/>
      </c>
      <c r="F986" s="8">
        <f>IFERROR(MID(H986,FIND("10",H986,FIND("15",H986,FIND("01",H986)+16)+8)+2,50),"")</f>
        <v/>
      </c>
      <c r="G986" s="8" t="n"/>
      <c r="H986" s="8">
        <f>SUBSTITUTE(SUBSTITUTE(SUBSTITUTE(SUBSTITUTE(A986,"(",""),")","")," ",""),CHAR(29),"")</f>
        <v/>
      </c>
    </row>
    <row r="987">
      <c r="A987" s="4" t="n"/>
      <c r="B987" s="5">
        <f>IFERROR(MID(H987,FIND("01",H987)+2,14),"")</f>
        <v/>
      </c>
      <c r="C987" s="4">
        <f>IF(A987="","",IFERROR(VLOOKUP(B987,TblArticles,2,FALSE),"GTIN inconnu"))</f>
        <v/>
      </c>
      <c r="D987" s="5">
        <f>IF(A987="","",IFERROR(VLOOKUP(B987,TblArticles,3,FALSE),""))</f>
        <v/>
      </c>
      <c r="E987" s="6">
        <f>IFERROR(DATE(2000+VALUE(MID(H987,FIND("15",H987,FIND("01",H987)+16)+2,2)),VALUE(MID(H987,FIND("15",H987,FIND("01",H987)+16)+4,2)),VALUE(MID(H987,FIND("15",H987,FIND("01",H987)+16)+6,2))),"")</f>
        <v/>
      </c>
      <c r="F987" s="5">
        <f>IFERROR(MID(H987,FIND("10",H987,FIND("15",H987,FIND("01",H987)+16)+8)+2,50),"")</f>
        <v/>
      </c>
      <c r="G987" s="5" t="n"/>
      <c r="H987" s="5">
        <f>SUBSTITUTE(SUBSTITUTE(SUBSTITUTE(SUBSTITUTE(A987,"(",""),")","")," ",""),CHAR(29),"")</f>
        <v/>
      </c>
    </row>
    <row r="988">
      <c r="A988" s="7" t="n"/>
      <c r="B988" s="8">
        <f>IFERROR(MID(H988,FIND("01",H988)+2,14),"")</f>
        <v/>
      </c>
      <c r="C988" s="7">
        <f>IF(A988="","",IFERROR(VLOOKUP(B988,TblArticles,2,FALSE),"GTIN inconnu"))</f>
        <v/>
      </c>
      <c r="D988" s="8">
        <f>IF(A988="","",IFERROR(VLOOKUP(B988,TblArticles,3,FALSE),""))</f>
        <v/>
      </c>
      <c r="E988" s="9">
        <f>IFERROR(DATE(2000+VALUE(MID(H988,FIND("15",H988,FIND("01",H988)+16)+2,2)),VALUE(MID(H988,FIND("15",H988,FIND("01",H988)+16)+4,2)),VALUE(MID(H988,FIND("15",H988,FIND("01",H988)+16)+6,2))),"")</f>
        <v/>
      </c>
      <c r="F988" s="8">
        <f>IFERROR(MID(H988,FIND("10",H988,FIND("15",H988,FIND("01",H988)+16)+8)+2,50),"")</f>
        <v/>
      </c>
      <c r="G988" s="8" t="n"/>
      <c r="H988" s="8">
        <f>SUBSTITUTE(SUBSTITUTE(SUBSTITUTE(SUBSTITUTE(A988,"(",""),")","")," ",""),CHAR(29),"")</f>
        <v/>
      </c>
    </row>
    <row r="989">
      <c r="A989" s="4" t="n"/>
      <c r="B989" s="5">
        <f>IFERROR(MID(H989,FIND("01",H989)+2,14),"")</f>
        <v/>
      </c>
      <c r="C989" s="4">
        <f>IF(A989="","",IFERROR(VLOOKUP(B989,TblArticles,2,FALSE),"GTIN inconnu"))</f>
        <v/>
      </c>
      <c r="D989" s="5">
        <f>IF(A989="","",IFERROR(VLOOKUP(B989,TblArticles,3,FALSE),""))</f>
        <v/>
      </c>
      <c r="E989" s="6">
        <f>IFERROR(DATE(2000+VALUE(MID(H989,FIND("15",H989,FIND("01",H989)+16)+2,2)),VALUE(MID(H989,FIND("15",H989,FIND("01",H989)+16)+4,2)),VALUE(MID(H989,FIND("15",H989,FIND("01",H989)+16)+6,2))),"")</f>
        <v/>
      </c>
      <c r="F989" s="5">
        <f>IFERROR(MID(H989,FIND("10",H989,FIND("15",H989,FIND("01",H989)+16)+8)+2,50),"")</f>
        <v/>
      </c>
      <c r="G989" s="5" t="n"/>
      <c r="H989" s="5">
        <f>SUBSTITUTE(SUBSTITUTE(SUBSTITUTE(SUBSTITUTE(A989,"(",""),")","")," ",""),CHAR(29),"")</f>
        <v/>
      </c>
    </row>
    <row r="990">
      <c r="A990" s="7" t="n"/>
      <c r="B990" s="8">
        <f>IFERROR(MID(H990,FIND("01",H990)+2,14),"")</f>
        <v/>
      </c>
      <c r="C990" s="7">
        <f>IF(A990="","",IFERROR(VLOOKUP(B990,TblArticles,2,FALSE),"GTIN inconnu"))</f>
        <v/>
      </c>
      <c r="D990" s="8">
        <f>IF(A990="","",IFERROR(VLOOKUP(B990,TblArticles,3,FALSE),""))</f>
        <v/>
      </c>
      <c r="E990" s="9">
        <f>IFERROR(DATE(2000+VALUE(MID(H990,FIND("15",H990,FIND("01",H990)+16)+2,2)),VALUE(MID(H990,FIND("15",H990,FIND("01",H990)+16)+4,2)),VALUE(MID(H990,FIND("15",H990,FIND("01",H990)+16)+6,2))),"")</f>
        <v/>
      </c>
      <c r="F990" s="8">
        <f>IFERROR(MID(H990,FIND("10",H990,FIND("15",H990,FIND("01",H990)+16)+8)+2,50),"")</f>
        <v/>
      </c>
      <c r="G990" s="8" t="n"/>
      <c r="H990" s="8">
        <f>SUBSTITUTE(SUBSTITUTE(SUBSTITUTE(SUBSTITUTE(A990,"(",""),")","")," ",""),CHAR(29),"")</f>
        <v/>
      </c>
    </row>
    <row r="991">
      <c r="A991" s="4" t="n"/>
      <c r="B991" s="5">
        <f>IFERROR(MID(H991,FIND("01",H991)+2,14),"")</f>
        <v/>
      </c>
      <c r="C991" s="4">
        <f>IF(A991="","",IFERROR(VLOOKUP(B991,TblArticles,2,FALSE),"GTIN inconnu"))</f>
        <v/>
      </c>
      <c r="D991" s="5">
        <f>IF(A991="","",IFERROR(VLOOKUP(B991,TblArticles,3,FALSE),""))</f>
        <v/>
      </c>
      <c r="E991" s="6">
        <f>IFERROR(DATE(2000+VALUE(MID(H991,FIND("15",H991,FIND("01",H991)+16)+2,2)),VALUE(MID(H991,FIND("15",H991,FIND("01",H991)+16)+4,2)),VALUE(MID(H991,FIND("15",H991,FIND("01",H991)+16)+6,2))),"")</f>
        <v/>
      </c>
      <c r="F991" s="5">
        <f>IFERROR(MID(H991,FIND("10",H991,FIND("15",H991,FIND("01",H991)+16)+8)+2,50),"")</f>
        <v/>
      </c>
      <c r="G991" s="5" t="n"/>
      <c r="H991" s="5">
        <f>SUBSTITUTE(SUBSTITUTE(SUBSTITUTE(SUBSTITUTE(A991,"(",""),")","")," ",""),CHAR(29),"")</f>
        <v/>
      </c>
    </row>
    <row r="992">
      <c r="A992" s="7" t="n"/>
      <c r="B992" s="8">
        <f>IFERROR(MID(H992,FIND("01",H992)+2,14),"")</f>
        <v/>
      </c>
      <c r="C992" s="7">
        <f>IF(A992="","",IFERROR(VLOOKUP(B992,TblArticles,2,FALSE),"GTIN inconnu"))</f>
        <v/>
      </c>
      <c r="D992" s="8">
        <f>IF(A992="","",IFERROR(VLOOKUP(B992,TblArticles,3,FALSE),""))</f>
        <v/>
      </c>
      <c r="E992" s="9">
        <f>IFERROR(DATE(2000+VALUE(MID(H992,FIND("15",H992,FIND("01",H992)+16)+2,2)),VALUE(MID(H992,FIND("15",H992,FIND("01",H992)+16)+4,2)),VALUE(MID(H992,FIND("15",H992,FIND("01",H992)+16)+6,2))),"")</f>
        <v/>
      </c>
      <c r="F992" s="8">
        <f>IFERROR(MID(H992,FIND("10",H992,FIND("15",H992,FIND("01",H992)+16)+8)+2,50),"")</f>
        <v/>
      </c>
      <c r="G992" s="8" t="n"/>
      <c r="H992" s="8">
        <f>SUBSTITUTE(SUBSTITUTE(SUBSTITUTE(SUBSTITUTE(A992,"(",""),")","")," ",""),CHAR(29),"")</f>
        <v/>
      </c>
    </row>
    <row r="993">
      <c r="A993" s="4" t="n"/>
      <c r="B993" s="5">
        <f>IFERROR(MID(H993,FIND("01",H993)+2,14),"")</f>
        <v/>
      </c>
      <c r="C993" s="4">
        <f>IF(A993="","",IFERROR(VLOOKUP(B993,TblArticles,2,FALSE),"GTIN inconnu"))</f>
        <v/>
      </c>
      <c r="D993" s="5">
        <f>IF(A993="","",IFERROR(VLOOKUP(B993,TblArticles,3,FALSE),""))</f>
        <v/>
      </c>
      <c r="E993" s="6">
        <f>IFERROR(DATE(2000+VALUE(MID(H993,FIND("15",H993,FIND("01",H993)+16)+2,2)),VALUE(MID(H993,FIND("15",H993,FIND("01",H993)+16)+4,2)),VALUE(MID(H993,FIND("15",H993,FIND("01",H993)+16)+6,2))),"")</f>
        <v/>
      </c>
      <c r="F993" s="5">
        <f>IFERROR(MID(H993,FIND("10",H993,FIND("15",H993,FIND("01",H993)+16)+8)+2,50),"")</f>
        <v/>
      </c>
      <c r="G993" s="5" t="n"/>
      <c r="H993" s="5">
        <f>SUBSTITUTE(SUBSTITUTE(SUBSTITUTE(SUBSTITUTE(A993,"(",""),")","")," ",""),CHAR(29),"")</f>
        <v/>
      </c>
    </row>
    <row r="994">
      <c r="A994" s="7" t="n"/>
      <c r="B994" s="8">
        <f>IFERROR(MID(H994,FIND("01",H994)+2,14),"")</f>
        <v/>
      </c>
      <c r="C994" s="7">
        <f>IF(A994="","",IFERROR(VLOOKUP(B994,TblArticles,2,FALSE),"GTIN inconnu"))</f>
        <v/>
      </c>
      <c r="D994" s="8">
        <f>IF(A994="","",IFERROR(VLOOKUP(B994,TblArticles,3,FALSE),""))</f>
        <v/>
      </c>
      <c r="E994" s="9">
        <f>IFERROR(DATE(2000+VALUE(MID(H994,FIND("15",H994,FIND("01",H994)+16)+2,2)),VALUE(MID(H994,FIND("15",H994,FIND("01",H994)+16)+4,2)),VALUE(MID(H994,FIND("15",H994,FIND("01",H994)+16)+6,2))),"")</f>
        <v/>
      </c>
      <c r="F994" s="8">
        <f>IFERROR(MID(H994,FIND("10",H994,FIND("15",H994,FIND("01",H994)+16)+8)+2,50),"")</f>
        <v/>
      </c>
      <c r="G994" s="8" t="n"/>
      <c r="H994" s="8">
        <f>SUBSTITUTE(SUBSTITUTE(SUBSTITUTE(SUBSTITUTE(A994,"(",""),")","")," ",""),CHAR(29),"")</f>
        <v/>
      </c>
    </row>
    <row r="995">
      <c r="A995" s="4" t="n"/>
      <c r="B995" s="5">
        <f>IFERROR(MID(H995,FIND("01",H995)+2,14),"")</f>
        <v/>
      </c>
      <c r="C995" s="4">
        <f>IF(A995="","",IFERROR(VLOOKUP(B995,TblArticles,2,FALSE),"GTIN inconnu"))</f>
        <v/>
      </c>
      <c r="D995" s="5">
        <f>IF(A995="","",IFERROR(VLOOKUP(B995,TblArticles,3,FALSE),""))</f>
        <v/>
      </c>
      <c r="E995" s="6">
        <f>IFERROR(DATE(2000+VALUE(MID(H995,FIND("15",H995,FIND("01",H995)+16)+2,2)),VALUE(MID(H995,FIND("15",H995,FIND("01",H995)+16)+4,2)),VALUE(MID(H995,FIND("15",H995,FIND("01",H995)+16)+6,2))),"")</f>
        <v/>
      </c>
      <c r="F995" s="5">
        <f>IFERROR(MID(H995,FIND("10",H995,FIND("15",H995,FIND("01",H995)+16)+8)+2,50),"")</f>
        <v/>
      </c>
      <c r="G995" s="5" t="n"/>
      <c r="H995" s="5">
        <f>SUBSTITUTE(SUBSTITUTE(SUBSTITUTE(SUBSTITUTE(A995,"(",""),")","")," ",""),CHAR(29),"")</f>
        <v/>
      </c>
    </row>
    <row r="996">
      <c r="A996" s="7" t="n"/>
      <c r="B996" s="8">
        <f>IFERROR(MID(H996,FIND("01",H996)+2,14),"")</f>
        <v/>
      </c>
      <c r="C996" s="7">
        <f>IF(A996="","",IFERROR(VLOOKUP(B996,TblArticles,2,FALSE),"GTIN inconnu"))</f>
        <v/>
      </c>
      <c r="D996" s="8">
        <f>IF(A996="","",IFERROR(VLOOKUP(B996,TblArticles,3,FALSE),""))</f>
        <v/>
      </c>
      <c r="E996" s="9">
        <f>IFERROR(DATE(2000+VALUE(MID(H996,FIND("15",H996,FIND("01",H996)+16)+2,2)),VALUE(MID(H996,FIND("15",H996,FIND("01",H996)+16)+4,2)),VALUE(MID(H996,FIND("15",H996,FIND("01",H996)+16)+6,2))),"")</f>
        <v/>
      </c>
      <c r="F996" s="8">
        <f>IFERROR(MID(H996,FIND("10",H996,FIND("15",H996,FIND("01",H996)+16)+8)+2,50),"")</f>
        <v/>
      </c>
      <c r="G996" s="8" t="n"/>
      <c r="H996" s="8">
        <f>SUBSTITUTE(SUBSTITUTE(SUBSTITUTE(SUBSTITUTE(A996,"(",""),")","")," ",""),CHAR(29),"")</f>
        <v/>
      </c>
    </row>
    <row r="997">
      <c r="A997" s="4" t="n"/>
      <c r="B997" s="5">
        <f>IFERROR(MID(H997,FIND("01",H997)+2,14),"")</f>
        <v/>
      </c>
      <c r="C997" s="4">
        <f>IF(A997="","",IFERROR(VLOOKUP(B997,TblArticles,2,FALSE),"GTIN inconnu"))</f>
        <v/>
      </c>
      <c r="D997" s="5">
        <f>IF(A997="","",IFERROR(VLOOKUP(B997,TblArticles,3,FALSE),""))</f>
        <v/>
      </c>
      <c r="E997" s="6">
        <f>IFERROR(DATE(2000+VALUE(MID(H997,FIND("15",H997,FIND("01",H997)+16)+2,2)),VALUE(MID(H997,FIND("15",H997,FIND("01",H997)+16)+4,2)),VALUE(MID(H997,FIND("15",H997,FIND("01",H997)+16)+6,2))),"")</f>
        <v/>
      </c>
      <c r="F997" s="5">
        <f>IFERROR(MID(H997,FIND("10",H997,FIND("15",H997,FIND("01",H997)+16)+8)+2,50),"")</f>
        <v/>
      </c>
      <c r="G997" s="5" t="n"/>
      <c r="H997" s="5">
        <f>SUBSTITUTE(SUBSTITUTE(SUBSTITUTE(SUBSTITUTE(A997,"(",""),")","")," ",""),CHAR(29),"")</f>
        <v/>
      </c>
    </row>
    <row r="998">
      <c r="A998" s="7" t="n"/>
      <c r="B998" s="8">
        <f>IFERROR(MID(H998,FIND("01",H998)+2,14),"")</f>
        <v/>
      </c>
      <c r="C998" s="7">
        <f>IF(A998="","",IFERROR(VLOOKUP(B998,TblArticles,2,FALSE),"GTIN inconnu"))</f>
        <v/>
      </c>
      <c r="D998" s="8">
        <f>IF(A998="","",IFERROR(VLOOKUP(B998,TblArticles,3,FALSE),""))</f>
        <v/>
      </c>
      <c r="E998" s="9">
        <f>IFERROR(DATE(2000+VALUE(MID(H998,FIND("15",H998,FIND("01",H998)+16)+2,2)),VALUE(MID(H998,FIND("15",H998,FIND("01",H998)+16)+4,2)),VALUE(MID(H998,FIND("15",H998,FIND("01",H998)+16)+6,2))),"")</f>
        <v/>
      </c>
      <c r="F998" s="8">
        <f>IFERROR(MID(H998,FIND("10",H998,FIND("15",H998,FIND("01",H998)+16)+8)+2,50),"")</f>
        <v/>
      </c>
      <c r="G998" s="8" t="n"/>
      <c r="H998" s="8">
        <f>SUBSTITUTE(SUBSTITUTE(SUBSTITUTE(SUBSTITUTE(A998,"(",""),")","")," ",""),CHAR(29),"")</f>
        <v/>
      </c>
    </row>
    <row r="999">
      <c r="A999" s="4" t="n"/>
      <c r="B999" s="5">
        <f>IFERROR(MID(H999,FIND("01",H999)+2,14),"")</f>
        <v/>
      </c>
      <c r="C999" s="4">
        <f>IF(A999="","",IFERROR(VLOOKUP(B999,TblArticles,2,FALSE),"GTIN inconnu"))</f>
        <v/>
      </c>
      <c r="D999" s="5">
        <f>IF(A999="","",IFERROR(VLOOKUP(B999,TblArticles,3,FALSE),""))</f>
        <v/>
      </c>
      <c r="E999" s="6">
        <f>IFERROR(DATE(2000+VALUE(MID(H999,FIND("15",H999,FIND("01",H999)+16)+2,2)),VALUE(MID(H999,FIND("15",H999,FIND("01",H999)+16)+4,2)),VALUE(MID(H999,FIND("15",H999,FIND("01",H999)+16)+6,2))),"")</f>
        <v/>
      </c>
      <c r="F999" s="5">
        <f>IFERROR(MID(H999,FIND("10",H999,FIND("15",H999,FIND("01",H999)+16)+8)+2,50),"")</f>
        <v/>
      </c>
      <c r="G999" s="5" t="n"/>
      <c r="H999" s="5">
        <f>SUBSTITUTE(SUBSTITUTE(SUBSTITUTE(SUBSTITUTE(A999,"(",""),")","")," ",""),CHAR(29),"")</f>
        <v/>
      </c>
    </row>
    <row r="1000">
      <c r="A1000" s="7" t="n"/>
      <c r="B1000" s="8">
        <f>IFERROR(MID(H1000,FIND("01",H1000)+2,14),"")</f>
        <v/>
      </c>
      <c r="C1000" s="7">
        <f>IF(A1000="","",IFERROR(VLOOKUP(B1000,TblArticles,2,FALSE),"GTIN inconnu"))</f>
        <v/>
      </c>
      <c r="D1000" s="8">
        <f>IF(A1000="","",IFERROR(VLOOKUP(B1000,TblArticles,3,FALSE),""))</f>
        <v/>
      </c>
      <c r="E1000" s="9">
        <f>IFERROR(DATE(2000+VALUE(MID(H1000,FIND("15",H1000,FIND("01",H1000)+16)+2,2)),VALUE(MID(H1000,FIND("15",H1000,FIND("01",H1000)+16)+4,2)),VALUE(MID(H1000,FIND("15",H1000,FIND("01",H1000)+16)+6,2))),"")</f>
        <v/>
      </c>
      <c r="F1000" s="8">
        <f>IFERROR(MID(H1000,FIND("10",H1000,FIND("15",H1000,FIND("01",H1000)+16)+8)+2,50),"")</f>
        <v/>
      </c>
      <c r="G1000" s="8" t="n"/>
      <c r="H1000" s="8">
        <f>SUBSTITUTE(SUBSTITUTE(SUBSTITUTE(SUBSTITUTE(A1000,"(",""),")","")," ",""),CHAR(29),"")</f>
        <v/>
      </c>
    </row>
    <row r="1001">
      <c r="A1001" s="4" t="n"/>
      <c r="B1001" s="5">
        <f>IFERROR(MID(H1001,FIND("01",H1001)+2,14),"")</f>
        <v/>
      </c>
      <c r="C1001" s="4">
        <f>IF(A1001="","",IFERROR(VLOOKUP(B1001,TblArticles,2,FALSE),"GTIN inconnu"))</f>
        <v/>
      </c>
      <c r="D1001" s="5">
        <f>IF(A1001="","",IFERROR(VLOOKUP(B1001,TblArticles,3,FALSE),""))</f>
        <v/>
      </c>
      <c r="E1001" s="6">
        <f>IFERROR(DATE(2000+VALUE(MID(H1001,FIND("15",H1001,FIND("01",H1001)+16)+2,2)),VALUE(MID(H1001,FIND("15",H1001,FIND("01",H1001)+16)+4,2)),VALUE(MID(H1001,FIND("15",H1001,FIND("01",H1001)+16)+6,2))),"")</f>
        <v/>
      </c>
      <c r="F1001" s="5">
        <f>IFERROR(MID(H1001,FIND("10",H1001,FIND("15",H1001,FIND("01",H1001)+16)+8)+2,50),"")</f>
        <v/>
      </c>
      <c r="G1001" s="5" t="n"/>
      <c r="H1001" s="5">
        <f>SUBSTITUTE(SUBSTITUTE(SUBSTITUTE(SUBSTITUTE(A1001,"(",""),")","")," ",""),CHAR(29),"")</f>
        <v/>
      </c>
    </row>
    <row r="1002">
      <c r="A1002" s="7" t="n"/>
      <c r="B1002" s="8">
        <f>IFERROR(MID(H1002,FIND("01",H1002)+2,14),"")</f>
        <v/>
      </c>
      <c r="C1002" s="7">
        <f>IF(A1002="","",IFERROR(VLOOKUP(B1002,TblArticles,2,FALSE),"GTIN inconnu"))</f>
        <v/>
      </c>
      <c r="D1002" s="8">
        <f>IF(A1002="","",IFERROR(VLOOKUP(B1002,TblArticles,3,FALSE),""))</f>
        <v/>
      </c>
      <c r="E1002" s="9">
        <f>IFERROR(DATE(2000+VALUE(MID(H1002,FIND("15",H1002,FIND("01",H1002)+16)+2,2)),VALUE(MID(H1002,FIND("15",H1002,FIND("01",H1002)+16)+4,2)),VALUE(MID(H1002,FIND("15",H1002,FIND("01",H1002)+16)+6,2))),"")</f>
        <v/>
      </c>
      <c r="F1002" s="8">
        <f>IFERROR(MID(H1002,FIND("10",H1002,FIND("15",H1002,FIND("01",H1002)+16)+8)+2,50),"")</f>
        <v/>
      </c>
      <c r="G1002" s="8" t="n"/>
      <c r="H1002" s="8">
        <f>SUBSTITUTE(SUBSTITUTE(SUBSTITUTE(SUBSTITUTE(A1002,"(",""),")","")," ",""),CHAR(29),"")</f>
        <v/>
      </c>
    </row>
    <row r="1003">
      <c r="A1003" s="4" t="n"/>
      <c r="B1003" s="5">
        <f>IFERROR(MID(H1003,FIND("01",H1003)+2,14),"")</f>
        <v/>
      </c>
      <c r="C1003" s="4">
        <f>IF(A1003="","",IFERROR(VLOOKUP(B1003,TblArticles,2,FALSE),"GTIN inconnu"))</f>
        <v/>
      </c>
      <c r="D1003" s="5">
        <f>IF(A1003="","",IFERROR(VLOOKUP(B1003,TblArticles,3,FALSE),""))</f>
        <v/>
      </c>
      <c r="E1003" s="6">
        <f>IFERROR(DATE(2000+VALUE(MID(H1003,FIND("15",H1003,FIND("01",H1003)+16)+2,2)),VALUE(MID(H1003,FIND("15",H1003,FIND("01",H1003)+16)+4,2)),VALUE(MID(H1003,FIND("15",H1003,FIND("01",H1003)+16)+6,2))),"")</f>
        <v/>
      </c>
      <c r="F1003" s="5">
        <f>IFERROR(MID(H1003,FIND("10",H1003,FIND("15",H1003,FIND("01",H1003)+16)+8)+2,50),"")</f>
        <v/>
      </c>
      <c r="G1003" s="5" t="n"/>
      <c r="H1003" s="5">
        <f>SUBSTITUTE(SUBSTITUTE(SUBSTITUTE(SUBSTITUTE(A1003,"(",""),")","")," ",""),CHAR(29),"")</f>
        <v/>
      </c>
    </row>
    <row r="1004">
      <c r="A1004" s="7" t="n"/>
      <c r="B1004" s="8">
        <f>IFERROR(MID(H1004,FIND("01",H1004)+2,14),"")</f>
        <v/>
      </c>
      <c r="C1004" s="7">
        <f>IF(A1004="","",IFERROR(VLOOKUP(B1004,TblArticles,2,FALSE),"GTIN inconnu"))</f>
        <v/>
      </c>
      <c r="D1004" s="8">
        <f>IF(A1004="","",IFERROR(VLOOKUP(B1004,TblArticles,3,FALSE),""))</f>
        <v/>
      </c>
      <c r="E1004" s="9">
        <f>IFERROR(DATE(2000+VALUE(MID(H1004,FIND("15",H1004,FIND("01",H1004)+16)+2,2)),VALUE(MID(H1004,FIND("15",H1004,FIND("01",H1004)+16)+4,2)),VALUE(MID(H1004,FIND("15",H1004,FIND("01",H1004)+16)+6,2))),"")</f>
        <v/>
      </c>
      <c r="F1004" s="8">
        <f>IFERROR(MID(H1004,FIND("10",H1004,FIND("15",H1004,FIND("01",H1004)+16)+8)+2,50),"")</f>
        <v/>
      </c>
      <c r="G1004" s="8" t="n"/>
      <c r="H1004" s="8">
        <f>SUBSTITUTE(SUBSTITUTE(SUBSTITUTE(SUBSTITUTE(A1004,"(",""),")","")," ",""),CHAR(29),"")</f>
        <v/>
      </c>
    </row>
    <row r="1005">
      <c r="A1005" s="4" t="n"/>
      <c r="B1005" s="5">
        <f>IFERROR(MID(H1005,FIND("01",H1005)+2,14),"")</f>
        <v/>
      </c>
      <c r="C1005" s="4">
        <f>IF(A1005="","",IFERROR(VLOOKUP(B1005,TblArticles,2,FALSE),"GTIN inconnu"))</f>
        <v/>
      </c>
      <c r="D1005" s="5">
        <f>IF(A1005="","",IFERROR(VLOOKUP(B1005,TblArticles,3,FALSE),""))</f>
        <v/>
      </c>
      <c r="E1005" s="6">
        <f>IFERROR(DATE(2000+VALUE(MID(H1005,FIND("15",H1005,FIND("01",H1005)+16)+2,2)),VALUE(MID(H1005,FIND("15",H1005,FIND("01",H1005)+16)+4,2)),VALUE(MID(H1005,FIND("15",H1005,FIND("01",H1005)+16)+6,2))),"")</f>
        <v/>
      </c>
      <c r="F1005" s="5">
        <f>IFERROR(MID(H1005,FIND("10",H1005,FIND("15",H1005,FIND("01",H1005)+16)+8)+2,50),"")</f>
        <v/>
      </c>
      <c r="G1005" s="5" t="n"/>
      <c r="H1005" s="5">
        <f>SUBSTITUTE(SUBSTITUTE(SUBSTITUTE(SUBSTITUTE(A1005,"(",""),")","")," ",""),CHAR(29),"")</f>
        <v/>
      </c>
    </row>
    <row r="1006">
      <c r="A1006" s="7" t="n"/>
      <c r="B1006" s="8">
        <f>IFERROR(MID(H1006,FIND("01",H1006)+2,14),"")</f>
        <v/>
      </c>
      <c r="C1006" s="7">
        <f>IF(A1006="","",IFERROR(VLOOKUP(B1006,TblArticles,2,FALSE),"GTIN inconnu"))</f>
        <v/>
      </c>
      <c r="D1006" s="8">
        <f>IF(A1006="","",IFERROR(VLOOKUP(B1006,TblArticles,3,FALSE),""))</f>
        <v/>
      </c>
      <c r="E1006" s="9">
        <f>IFERROR(DATE(2000+VALUE(MID(H1006,FIND("15",H1006,FIND("01",H1006)+16)+2,2)),VALUE(MID(H1006,FIND("15",H1006,FIND("01",H1006)+16)+4,2)),VALUE(MID(H1006,FIND("15",H1006,FIND("01",H1006)+16)+6,2))),"")</f>
        <v/>
      </c>
      <c r="F1006" s="8">
        <f>IFERROR(MID(H1006,FIND("10",H1006,FIND("15",H1006,FIND("01",H1006)+16)+8)+2,50),"")</f>
        <v/>
      </c>
      <c r="G1006" s="8" t="n"/>
      <c r="H1006" s="8">
        <f>SUBSTITUTE(SUBSTITUTE(SUBSTITUTE(SUBSTITUTE(A1006,"(",""),")","")," ",""),CHAR(29),"")</f>
        <v/>
      </c>
    </row>
    <row r="1007">
      <c r="A1007" s="4" t="n"/>
      <c r="B1007" s="5">
        <f>IFERROR(MID(H1007,FIND("01",H1007)+2,14),"")</f>
        <v/>
      </c>
      <c r="C1007" s="4">
        <f>IF(A1007="","",IFERROR(VLOOKUP(B1007,TblArticles,2,FALSE),"GTIN inconnu"))</f>
        <v/>
      </c>
      <c r="D1007" s="5">
        <f>IF(A1007="","",IFERROR(VLOOKUP(B1007,TblArticles,3,FALSE),""))</f>
        <v/>
      </c>
      <c r="E1007" s="6">
        <f>IFERROR(DATE(2000+VALUE(MID(H1007,FIND("15",H1007,FIND("01",H1007)+16)+2,2)),VALUE(MID(H1007,FIND("15",H1007,FIND("01",H1007)+16)+4,2)),VALUE(MID(H1007,FIND("15",H1007,FIND("01",H1007)+16)+6,2))),"")</f>
        <v/>
      </c>
      <c r="F1007" s="5">
        <f>IFERROR(MID(H1007,FIND("10",H1007,FIND("15",H1007,FIND("01",H1007)+16)+8)+2,50),"")</f>
        <v/>
      </c>
      <c r="G1007" s="5" t="n"/>
      <c r="H1007" s="5">
        <f>SUBSTITUTE(SUBSTITUTE(SUBSTITUTE(SUBSTITUTE(A1007,"(",""),")","")," ",""),CHAR(29),"")</f>
        <v/>
      </c>
    </row>
    <row r="1008">
      <c r="A1008" s="7" t="n"/>
      <c r="B1008" s="8">
        <f>IFERROR(MID(H1008,FIND("01",H1008)+2,14),"")</f>
        <v/>
      </c>
      <c r="C1008" s="7">
        <f>IF(A1008="","",IFERROR(VLOOKUP(B1008,TblArticles,2,FALSE),"GTIN inconnu"))</f>
        <v/>
      </c>
      <c r="D1008" s="8">
        <f>IF(A1008="","",IFERROR(VLOOKUP(B1008,TblArticles,3,FALSE),""))</f>
        <v/>
      </c>
      <c r="E1008" s="9">
        <f>IFERROR(DATE(2000+VALUE(MID(H1008,FIND("15",H1008,FIND("01",H1008)+16)+2,2)),VALUE(MID(H1008,FIND("15",H1008,FIND("01",H1008)+16)+4,2)),VALUE(MID(H1008,FIND("15",H1008,FIND("01",H1008)+16)+6,2))),"")</f>
        <v/>
      </c>
      <c r="F1008" s="8">
        <f>IFERROR(MID(H1008,FIND("10",H1008,FIND("15",H1008,FIND("01",H1008)+16)+8)+2,50),"")</f>
        <v/>
      </c>
      <c r="G1008" s="8" t="n"/>
      <c r="H1008" s="8">
        <f>SUBSTITUTE(SUBSTITUTE(SUBSTITUTE(SUBSTITUTE(A1008,"(",""),")","")," ",""),CHAR(29),"")</f>
        <v/>
      </c>
    </row>
    <row r="1009">
      <c r="A1009" s="4" t="n"/>
      <c r="B1009" s="5">
        <f>IFERROR(MID(H1009,FIND("01",H1009)+2,14),"")</f>
        <v/>
      </c>
      <c r="C1009" s="4">
        <f>IF(A1009="","",IFERROR(VLOOKUP(B1009,TblArticles,2,FALSE),"GTIN inconnu"))</f>
        <v/>
      </c>
      <c r="D1009" s="5">
        <f>IF(A1009="","",IFERROR(VLOOKUP(B1009,TblArticles,3,FALSE),""))</f>
        <v/>
      </c>
      <c r="E1009" s="6">
        <f>IFERROR(DATE(2000+VALUE(MID(H1009,FIND("15",H1009,FIND("01",H1009)+16)+2,2)),VALUE(MID(H1009,FIND("15",H1009,FIND("01",H1009)+16)+4,2)),VALUE(MID(H1009,FIND("15",H1009,FIND("01",H1009)+16)+6,2))),"")</f>
        <v/>
      </c>
      <c r="F1009" s="5">
        <f>IFERROR(MID(H1009,FIND("10",H1009,FIND("15",H1009,FIND("01",H1009)+16)+8)+2,50),"")</f>
        <v/>
      </c>
      <c r="G1009" s="5" t="n"/>
      <c r="H1009" s="5">
        <f>SUBSTITUTE(SUBSTITUTE(SUBSTITUTE(SUBSTITUTE(A1009,"(",""),")","")," ",""),CHAR(29),"")</f>
        <v/>
      </c>
    </row>
    <row r="1010">
      <c r="A1010" s="7" t="n"/>
      <c r="B1010" s="8">
        <f>IFERROR(MID(H1010,FIND("01",H1010)+2,14),"")</f>
        <v/>
      </c>
      <c r="C1010" s="7">
        <f>IF(A1010="","",IFERROR(VLOOKUP(B1010,TblArticles,2,FALSE),"GTIN inconnu"))</f>
        <v/>
      </c>
      <c r="D1010" s="8">
        <f>IF(A1010="","",IFERROR(VLOOKUP(B1010,TblArticles,3,FALSE),""))</f>
        <v/>
      </c>
      <c r="E1010" s="9">
        <f>IFERROR(DATE(2000+VALUE(MID(H1010,FIND("15",H1010,FIND("01",H1010)+16)+2,2)),VALUE(MID(H1010,FIND("15",H1010,FIND("01",H1010)+16)+4,2)),VALUE(MID(H1010,FIND("15",H1010,FIND("01",H1010)+16)+6,2))),"")</f>
        <v/>
      </c>
      <c r="F1010" s="8">
        <f>IFERROR(MID(H1010,FIND("10",H1010,FIND("15",H1010,FIND("01",H1010)+16)+8)+2,50),"")</f>
        <v/>
      </c>
      <c r="G1010" s="8" t="n"/>
      <c r="H1010" s="8">
        <f>SUBSTITUTE(SUBSTITUTE(SUBSTITUTE(SUBSTITUTE(A1010,"(",""),")","")," ",""),CHAR(29),"")</f>
        <v/>
      </c>
    </row>
    <row r="1011">
      <c r="A1011" s="4" t="n"/>
      <c r="B1011" s="5">
        <f>IFERROR(MID(H1011,FIND("01",H1011)+2,14),"")</f>
        <v/>
      </c>
      <c r="C1011" s="4">
        <f>IF(A1011="","",IFERROR(VLOOKUP(B1011,TblArticles,2,FALSE),"GTIN inconnu"))</f>
        <v/>
      </c>
      <c r="D1011" s="5">
        <f>IF(A1011="","",IFERROR(VLOOKUP(B1011,TblArticles,3,FALSE),""))</f>
        <v/>
      </c>
      <c r="E1011" s="6">
        <f>IFERROR(DATE(2000+VALUE(MID(H1011,FIND("15",H1011,FIND("01",H1011)+16)+2,2)),VALUE(MID(H1011,FIND("15",H1011,FIND("01",H1011)+16)+4,2)),VALUE(MID(H1011,FIND("15",H1011,FIND("01",H1011)+16)+6,2))),"")</f>
        <v/>
      </c>
      <c r="F1011" s="5">
        <f>IFERROR(MID(H1011,FIND("10",H1011,FIND("15",H1011,FIND("01",H1011)+16)+8)+2,50),"")</f>
        <v/>
      </c>
      <c r="G1011" s="5" t="n"/>
      <c r="H1011" s="5">
        <f>SUBSTITUTE(SUBSTITUTE(SUBSTITUTE(SUBSTITUTE(A1011,"(",""),")","")," ",""),CHAR(29),"")</f>
        <v/>
      </c>
    </row>
    <row r="1012">
      <c r="A1012" s="7" t="n"/>
      <c r="B1012" s="8">
        <f>IFERROR(MID(H1012,FIND("01",H1012)+2,14),"")</f>
        <v/>
      </c>
      <c r="C1012" s="7">
        <f>IF(A1012="","",IFERROR(VLOOKUP(B1012,TblArticles,2,FALSE),"GTIN inconnu"))</f>
        <v/>
      </c>
      <c r="D1012" s="8">
        <f>IF(A1012="","",IFERROR(VLOOKUP(B1012,TblArticles,3,FALSE),""))</f>
        <v/>
      </c>
      <c r="E1012" s="9">
        <f>IFERROR(DATE(2000+VALUE(MID(H1012,FIND("15",H1012,FIND("01",H1012)+16)+2,2)),VALUE(MID(H1012,FIND("15",H1012,FIND("01",H1012)+16)+4,2)),VALUE(MID(H1012,FIND("15",H1012,FIND("01",H1012)+16)+6,2))),"")</f>
        <v/>
      </c>
      <c r="F1012" s="8">
        <f>IFERROR(MID(H1012,FIND("10",H1012,FIND("15",H1012,FIND("01",H1012)+16)+8)+2,50),"")</f>
        <v/>
      </c>
      <c r="G1012" s="8" t="n"/>
      <c r="H1012" s="8">
        <f>SUBSTITUTE(SUBSTITUTE(SUBSTITUTE(SUBSTITUTE(A1012,"(",""),")","")," ",""),CHAR(29),"")</f>
        <v/>
      </c>
    </row>
    <row r="1013">
      <c r="A1013" s="4" t="n"/>
      <c r="B1013" s="5">
        <f>IFERROR(MID(H1013,FIND("01",H1013)+2,14),"")</f>
        <v/>
      </c>
      <c r="C1013" s="4">
        <f>IF(A1013="","",IFERROR(VLOOKUP(B1013,TblArticles,2,FALSE),"GTIN inconnu"))</f>
        <v/>
      </c>
      <c r="D1013" s="5">
        <f>IF(A1013="","",IFERROR(VLOOKUP(B1013,TblArticles,3,FALSE),""))</f>
        <v/>
      </c>
      <c r="E1013" s="6">
        <f>IFERROR(DATE(2000+VALUE(MID(H1013,FIND("15",H1013,FIND("01",H1013)+16)+2,2)),VALUE(MID(H1013,FIND("15",H1013,FIND("01",H1013)+16)+4,2)),VALUE(MID(H1013,FIND("15",H1013,FIND("01",H1013)+16)+6,2))),"")</f>
        <v/>
      </c>
      <c r="F1013" s="5">
        <f>IFERROR(MID(H1013,FIND("10",H1013,FIND("15",H1013,FIND("01",H1013)+16)+8)+2,50),"")</f>
        <v/>
      </c>
      <c r="G1013" s="5" t="n"/>
      <c r="H1013" s="5">
        <f>SUBSTITUTE(SUBSTITUTE(SUBSTITUTE(SUBSTITUTE(A1013,"(",""),")","")," ",""),CHAR(29),"")</f>
        <v/>
      </c>
    </row>
    <row r="1014">
      <c r="A1014" s="7" t="n"/>
      <c r="B1014" s="8">
        <f>IFERROR(MID(H1014,FIND("01",H1014)+2,14),"")</f>
        <v/>
      </c>
      <c r="C1014" s="7">
        <f>IF(A1014="","",IFERROR(VLOOKUP(B1014,TblArticles,2,FALSE),"GTIN inconnu"))</f>
        <v/>
      </c>
      <c r="D1014" s="8">
        <f>IF(A1014="","",IFERROR(VLOOKUP(B1014,TblArticles,3,FALSE),""))</f>
        <v/>
      </c>
      <c r="E1014" s="9">
        <f>IFERROR(DATE(2000+VALUE(MID(H1014,FIND("15",H1014,FIND("01",H1014)+16)+2,2)),VALUE(MID(H1014,FIND("15",H1014,FIND("01",H1014)+16)+4,2)),VALUE(MID(H1014,FIND("15",H1014,FIND("01",H1014)+16)+6,2))),"")</f>
        <v/>
      </c>
      <c r="F1014" s="8">
        <f>IFERROR(MID(H1014,FIND("10",H1014,FIND("15",H1014,FIND("01",H1014)+16)+8)+2,50),"")</f>
        <v/>
      </c>
      <c r="G1014" s="8" t="n"/>
      <c r="H1014" s="8">
        <f>SUBSTITUTE(SUBSTITUTE(SUBSTITUTE(SUBSTITUTE(A1014,"(",""),")","")," ",""),CHAR(29),"")</f>
        <v/>
      </c>
    </row>
    <row r="1015">
      <c r="A1015" s="4" t="n"/>
      <c r="B1015" s="5">
        <f>IFERROR(MID(H1015,FIND("01",H1015)+2,14),"")</f>
        <v/>
      </c>
      <c r="C1015" s="4">
        <f>IF(A1015="","",IFERROR(VLOOKUP(B1015,TblArticles,2,FALSE),"GTIN inconnu"))</f>
        <v/>
      </c>
      <c r="D1015" s="5">
        <f>IF(A1015="","",IFERROR(VLOOKUP(B1015,TblArticles,3,FALSE),""))</f>
        <v/>
      </c>
      <c r="E1015" s="6">
        <f>IFERROR(DATE(2000+VALUE(MID(H1015,FIND("15",H1015,FIND("01",H1015)+16)+2,2)),VALUE(MID(H1015,FIND("15",H1015,FIND("01",H1015)+16)+4,2)),VALUE(MID(H1015,FIND("15",H1015,FIND("01",H1015)+16)+6,2))),"")</f>
        <v/>
      </c>
      <c r="F1015" s="5">
        <f>IFERROR(MID(H1015,FIND("10",H1015,FIND("15",H1015,FIND("01",H1015)+16)+8)+2,50),"")</f>
        <v/>
      </c>
      <c r="G1015" s="5" t="n"/>
      <c r="H1015" s="5">
        <f>SUBSTITUTE(SUBSTITUTE(SUBSTITUTE(SUBSTITUTE(A1015,"(",""),")","")," ",""),CHAR(29),"")</f>
        <v/>
      </c>
    </row>
    <row r="1016">
      <c r="A1016" s="7" t="n"/>
      <c r="B1016" s="8">
        <f>IFERROR(MID(H1016,FIND("01",H1016)+2,14),"")</f>
        <v/>
      </c>
      <c r="C1016" s="7">
        <f>IF(A1016="","",IFERROR(VLOOKUP(B1016,TblArticles,2,FALSE),"GTIN inconnu"))</f>
        <v/>
      </c>
      <c r="D1016" s="8">
        <f>IF(A1016="","",IFERROR(VLOOKUP(B1016,TblArticles,3,FALSE),""))</f>
        <v/>
      </c>
      <c r="E1016" s="9">
        <f>IFERROR(DATE(2000+VALUE(MID(H1016,FIND("15",H1016,FIND("01",H1016)+16)+2,2)),VALUE(MID(H1016,FIND("15",H1016,FIND("01",H1016)+16)+4,2)),VALUE(MID(H1016,FIND("15",H1016,FIND("01",H1016)+16)+6,2))),"")</f>
        <v/>
      </c>
      <c r="F1016" s="8">
        <f>IFERROR(MID(H1016,FIND("10",H1016,FIND("15",H1016,FIND("01",H1016)+16)+8)+2,50),"")</f>
        <v/>
      </c>
      <c r="G1016" s="8" t="n"/>
      <c r="H1016" s="8">
        <f>SUBSTITUTE(SUBSTITUTE(SUBSTITUTE(SUBSTITUTE(A1016,"(",""),")","")," ",""),CHAR(29),"")</f>
        <v/>
      </c>
    </row>
    <row r="1017">
      <c r="A1017" s="4" t="n"/>
      <c r="B1017" s="5">
        <f>IFERROR(MID(H1017,FIND("01",H1017)+2,14),"")</f>
        <v/>
      </c>
      <c r="C1017" s="4">
        <f>IF(A1017="","",IFERROR(VLOOKUP(B1017,TblArticles,2,FALSE),"GTIN inconnu"))</f>
        <v/>
      </c>
      <c r="D1017" s="5">
        <f>IF(A1017="","",IFERROR(VLOOKUP(B1017,TblArticles,3,FALSE),""))</f>
        <v/>
      </c>
      <c r="E1017" s="6">
        <f>IFERROR(DATE(2000+VALUE(MID(H1017,FIND("15",H1017,FIND("01",H1017)+16)+2,2)),VALUE(MID(H1017,FIND("15",H1017,FIND("01",H1017)+16)+4,2)),VALUE(MID(H1017,FIND("15",H1017,FIND("01",H1017)+16)+6,2))),"")</f>
        <v/>
      </c>
      <c r="F1017" s="5">
        <f>IFERROR(MID(H1017,FIND("10",H1017,FIND("15",H1017,FIND("01",H1017)+16)+8)+2,50),"")</f>
        <v/>
      </c>
      <c r="G1017" s="5" t="n"/>
      <c r="H1017" s="5">
        <f>SUBSTITUTE(SUBSTITUTE(SUBSTITUTE(SUBSTITUTE(A1017,"(",""),")","")," ",""),CHAR(29),"")</f>
        <v/>
      </c>
    </row>
    <row r="1018">
      <c r="A1018" s="7" t="n"/>
      <c r="B1018" s="8">
        <f>IFERROR(MID(H1018,FIND("01",H1018)+2,14),"")</f>
        <v/>
      </c>
      <c r="C1018" s="7">
        <f>IF(A1018="","",IFERROR(VLOOKUP(B1018,TblArticles,2,FALSE),"GTIN inconnu"))</f>
        <v/>
      </c>
      <c r="D1018" s="8">
        <f>IF(A1018="","",IFERROR(VLOOKUP(B1018,TblArticles,3,FALSE),""))</f>
        <v/>
      </c>
      <c r="E1018" s="9">
        <f>IFERROR(DATE(2000+VALUE(MID(H1018,FIND("15",H1018,FIND("01",H1018)+16)+2,2)),VALUE(MID(H1018,FIND("15",H1018,FIND("01",H1018)+16)+4,2)),VALUE(MID(H1018,FIND("15",H1018,FIND("01",H1018)+16)+6,2))),"")</f>
        <v/>
      </c>
      <c r="F1018" s="8">
        <f>IFERROR(MID(H1018,FIND("10",H1018,FIND("15",H1018,FIND("01",H1018)+16)+8)+2,50),"")</f>
        <v/>
      </c>
      <c r="G1018" s="8" t="n"/>
      <c r="H1018" s="8">
        <f>SUBSTITUTE(SUBSTITUTE(SUBSTITUTE(SUBSTITUTE(A1018,"(",""),")","")," ",""),CHAR(29),"")</f>
        <v/>
      </c>
    </row>
    <row r="1019">
      <c r="A1019" s="4" t="n"/>
      <c r="B1019" s="5">
        <f>IFERROR(MID(H1019,FIND("01",H1019)+2,14),"")</f>
        <v/>
      </c>
      <c r="C1019" s="4">
        <f>IF(A1019="","",IFERROR(VLOOKUP(B1019,TblArticles,2,FALSE),"GTIN inconnu"))</f>
        <v/>
      </c>
      <c r="D1019" s="5">
        <f>IF(A1019="","",IFERROR(VLOOKUP(B1019,TblArticles,3,FALSE),""))</f>
        <v/>
      </c>
      <c r="E1019" s="6">
        <f>IFERROR(DATE(2000+VALUE(MID(H1019,FIND("15",H1019,FIND("01",H1019)+16)+2,2)),VALUE(MID(H1019,FIND("15",H1019,FIND("01",H1019)+16)+4,2)),VALUE(MID(H1019,FIND("15",H1019,FIND("01",H1019)+16)+6,2))),"")</f>
        <v/>
      </c>
      <c r="F1019" s="5">
        <f>IFERROR(MID(H1019,FIND("10",H1019,FIND("15",H1019,FIND("01",H1019)+16)+8)+2,50),"")</f>
        <v/>
      </c>
      <c r="G1019" s="5" t="n"/>
      <c r="H1019" s="5">
        <f>SUBSTITUTE(SUBSTITUTE(SUBSTITUTE(SUBSTITUTE(A1019,"(",""),")","")," ",""),CHAR(29),"")</f>
        <v/>
      </c>
    </row>
    <row r="1020">
      <c r="A1020" s="7" t="n"/>
      <c r="B1020" s="8">
        <f>IFERROR(MID(H1020,FIND("01",H1020)+2,14),"")</f>
        <v/>
      </c>
      <c r="C1020" s="7">
        <f>IF(A1020="","",IFERROR(VLOOKUP(B1020,TblArticles,2,FALSE),"GTIN inconnu"))</f>
        <v/>
      </c>
      <c r="D1020" s="8">
        <f>IF(A1020="","",IFERROR(VLOOKUP(B1020,TblArticles,3,FALSE),""))</f>
        <v/>
      </c>
      <c r="E1020" s="9">
        <f>IFERROR(DATE(2000+VALUE(MID(H1020,FIND("15",H1020,FIND("01",H1020)+16)+2,2)),VALUE(MID(H1020,FIND("15",H1020,FIND("01",H1020)+16)+4,2)),VALUE(MID(H1020,FIND("15",H1020,FIND("01",H1020)+16)+6,2))),"")</f>
        <v/>
      </c>
      <c r="F1020" s="8">
        <f>IFERROR(MID(H1020,FIND("10",H1020,FIND("15",H1020,FIND("01",H1020)+16)+8)+2,50),"")</f>
        <v/>
      </c>
      <c r="G1020" s="8" t="n"/>
      <c r="H1020" s="8">
        <f>SUBSTITUTE(SUBSTITUTE(SUBSTITUTE(SUBSTITUTE(A1020,"(",""),")","")," ",""),CHAR(29),"")</f>
        <v/>
      </c>
    </row>
    <row r="1021">
      <c r="A1021" s="4" t="n"/>
      <c r="B1021" s="5">
        <f>IFERROR(MID(H1021,FIND("01",H1021)+2,14),"")</f>
        <v/>
      </c>
      <c r="C1021" s="4">
        <f>IF(A1021="","",IFERROR(VLOOKUP(B1021,TblArticles,2,FALSE),"GTIN inconnu"))</f>
        <v/>
      </c>
      <c r="D1021" s="5">
        <f>IF(A1021="","",IFERROR(VLOOKUP(B1021,TblArticles,3,FALSE),""))</f>
        <v/>
      </c>
      <c r="E1021" s="6">
        <f>IFERROR(DATE(2000+VALUE(MID(H1021,FIND("15",H1021,FIND("01",H1021)+16)+2,2)),VALUE(MID(H1021,FIND("15",H1021,FIND("01",H1021)+16)+4,2)),VALUE(MID(H1021,FIND("15",H1021,FIND("01",H1021)+16)+6,2))),"")</f>
        <v/>
      </c>
      <c r="F1021" s="5">
        <f>IFERROR(MID(H1021,FIND("10",H1021,FIND("15",H1021,FIND("01",H1021)+16)+8)+2,50),"")</f>
        <v/>
      </c>
      <c r="G1021" s="5" t="n"/>
      <c r="H1021" s="5">
        <f>SUBSTITUTE(SUBSTITUTE(SUBSTITUTE(SUBSTITUTE(A1021,"(",""),")","")," ",""),CHAR(29),"")</f>
        <v/>
      </c>
    </row>
    <row r="1022">
      <c r="A1022" s="7" t="n"/>
      <c r="B1022" s="8">
        <f>IFERROR(MID(H1022,FIND("01",H1022)+2,14),"")</f>
        <v/>
      </c>
      <c r="C1022" s="7">
        <f>IF(A1022="","",IFERROR(VLOOKUP(B1022,TblArticles,2,FALSE),"GTIN inconnu"))</f>
        <v/>
      </c>
      <c r="D1022" s="8">
        <f>IF(A1022="","",IFERROR(VLOOKUP(B1022,TblArticles,3,FALSE),""))</f>
        <v/>
      </c>
      <c r="E1022" s="9">
        <f>IFERROR(DATE(2000+VALUE(MID(H1022,FIND("15",H1022,FIND("01",H1022)+16)+2,2)),VALUE(MID(H1022,FIND("15",H1022,FIND("01",H1022)+16)+4,2)),VALUE(MID(H1022,FIND("15",H1022,FIND("01",H1022)+16)+6,2))),"")</f>
        <v/>
      </c>
      <c r="F1022" s="8">
        <f>IFERROR(MID(H1022,FIND("10",H1022,FIND("15",H1022,FIND("01",H1022)+16)+8)+2,50),"")</f>
        <v/>
      </c>
      <c r="G1022" s="8" t="n"/>
      <c r="H1022" s="8">
        <f>SUBSTITUTE(SUBSTITUTE(SUBSTITUTE(SUBSTITUTE(A1022,"(",""),")","")," ",""),CHAR(29),"")</f>
        <v/>
      </c>
    </row>
    <row r="1023">
      <c r="A1023" s="4" t="n"/>
      <c r="B1023" s="5">
        <f>IFERROR(MID(H1023,FIND("01",H1023)+2,14),"")</f>
        <v/>
      </c>
      <c r="C1023" s="4">
        <f>IF(A1023="","",IFERROR(VLOOKUP(B1023,TblArticles,2,FALSE),"GTIN inconnu"))</f>
        <v/>
      </c>
      <c r="D1023" s="5">
        <f>IF(A1023="","",IFERROR(VLOOKUP(B1023,TblArticles,3,FALSE),""))</f>
        <v/>
      </c>
      <c r="E1023" s="6">
        <f>IFERROR(DATE(2000+VALUE(MID(H1023,FIND("15",H1023,FIND("01",H1023)+16)+2,2)),VALUE(MID(H1023,FIND("15",H1023,FIND("01",H1023)+16)+4,2)),VALUE(MID(H1023,FIND("15",H1023,FIND("01",H1023)+16)+6,2))),"")</f>
        <v/>
      </c>
      <c r="F1023" s="5">
        <f>IFERROR(MID(H1023,FIND("10",H1023,FIND("15",H1023,FIND("01",H1023)+16)+8)+2,50),"")</f>
        <v/>
      </c>
      <c r="G1023" s="5" t="n"/>
      <c r="H1023" s="5">
        <f>SUBSTITUTE(SUBSTITUTE(SUBSTITUTE(SUBSTITUTE(A1023,"(",""),")","")," ",""),CHAR(29),"")</f>
        <v/>
      </c>
    </row>
    <row r="1024">
      <c r="A1024" s="7" t="n"/>
      <c r="B1024" s="8">
        <f>IFERROR(MID(H1024,FIND("01",H1024)+2,14),"")</f>
        <v/>
      </c>
      <c r="C1024" s="7">
        <f>IF(A1024="","",IFERROR(VLOOKUP(B1024,TblArticles,2,FALSE),"GTIN inconnu"))</f>
        <v/>
      </c>
      <c r="D1024" s="8">
        <f>IF(A1024="","",IFERROR(VLOOKUP(B1024,TblArticles,3,FALSE),""))</f>
        <v/>
      </c>
      <c r="E1024" s="9">
        <f>IFERROR(DATE(2000+VALUE(MID(H1024,FIND("15",H1024,FIND("01",H1024)+16)+2,2)),VALUE(MID(H1024,FIND("15",H1024,FIND("01",H1024)+16)+4,2)),VALUE(MID(H1024,FIND("15",H1024,FIND("01",H1024)+16)+6,2))),"")</f>
        <v/>
      </c>
      <c r="F1024" s="8">
        <f>IFERROR(MID(H1024,FIND("10",H1024,FIND("15",H1024,FIND("01",H1024)+16)+8)+2,50),"")</f>
        <v/>
      </c>
      <c r="G1024" s="8" t="n"/>
      <c r="H1024" s="8">
        <f>SUBSTITUTE(SUBSTITUTE(SUBSTITUTE(SUBSTITUTE(A1024,"(",""),")","")," ",""),CHAR(29),"")</f>
        <v/>
      </c>
    </row>
    <row r="1025">
      <c r="A1025" s="4" t="n"/>
      <c r="B1025" s="5">
        <f>IFERROR(MID(H1025,FIND("01",H1025)+2,14),"")</f>
        <v/>
      </c>
      <c r="C1025" s="4">
        <f>IF(A1025="","",IFERROR(VLOOKUP(B1025,TblArticles,2,FALSE),"GTIN inconnu"))</f>
        <v/>
      </c>
      <c r="D1025" s="5">
        <f>IF(A1025="","",IFERROR(VLOOKUP(B1025,TblArticles,3,FALSE),""))</f>
        <v/>
      </c>
      <c r="E1025" s="6">
        <f>IFERROR(DATE(2000+VALUE(MID(H1025,FIND("15",H1025,FIND("01",H1025)+16)+2,2)),VALUE(MID(H1025,FIND("15",H1025,FIND("01",H1025)+16)+4,2)),VALUE(MID(H1025,FIND("15",H1025,FIND("01",H1025)+16)+6,2))),"")</f>
        <v/>
      </c>
      <c r="F1025" s="5">
        <f>IFERROR(MID(H1025,FIND("10",H1025,FIND("15",H1025,FIND("01",H1025)+16)+8)+2,50),"")</f>
        <v/>
      </c>
      <c r="G1025" s="5" t="n"/>
      <c r="H1025" s="5">
        <f>SUBSTITUTE(SUBSTITUTE(SUBSTITUTE(SUBSTITUTE(A1025,"(",""),")","")," ",""),CHAR(29),"")</f>
        <v/>
      </c>
    </row>
    <row r="1026">
      <c r="A1026" s="7" t="n"/>
      <c r="B1026" s="8">
        <f>IFERROR(MID(H1026,FIND("01",H1026)+2,14),"")</f>
        <v/>
      </c>
      <c r="C1026" s="7">
        <f>IF(A1026="","",IFERROR(VLOOKUP(B1026,TblArticles,2,FALSE),"GTIN inconnu"))</f>
        <v/>
      </c>
      <c r="D1026" s="8">
        <f>IF(A1026="","",IFERROR(VLOOKUP(B1026,TblArticles,3,FALSE),""))</f>
        <v/>
      </c>
      <c r="E1026" s="9">
        <f>IFERROR(DATE(2000+VALUE(MID(H1026,FIND("15",H1026,FIND("01",H1026)+16)+2,2)),VALUE(MID(H1026,FIND("15",H1026,FIND("01",H1026)+16)+4,2)),VALUE(MID(H1026,FIND("15",H1026,FIND("01",H1026)+16)+6,2))),"")</f>
        <v/>
      </c>
      <c r="F1026" s="8">
        <f>IFERROR(MID(H1026,FIND("10",H1026,FIND("15",H1026,FIND("01",H1026)+16)+8)+2,50),"")</f>
        <v/>
      </c>
      <c r="G1026" s="8" t="n"/>
      <c r="H1026" s="8">
        <f>SUBSTITUTE(SUBSTITUTE(SUBSTITUTE(SUBSTITUTE(A1026,"(",""),")","")," ",""),CHAR(29),"")</f>
        <v/>
      </c>
    </row>
    <row r="1027">
      <c r="A1027" s="4" t="n"/>
      <c r="B1027" s="5">
        <f>IFERROR(MID(H1027,FIND("01",H1027)+2,14),"")</f>
        <v/>
      </c>
      <c r="C1027" s="4">
        <f>IF(A1027="","",IFERROR(VLOOKUP(B1027,TblArticles,2,FALSE),"GTIN inconnu"))</f>
        <v/>
      </c>
      <c r="D1027" s="5">
        <f>IF(A1027="","",IFERROR(VLOOKUP(B1027,TblArticles,3,FALSE),""))</f>
        <v/>
      </c>
      <c r="E1027" s="6">
        <f>IFERROR(DATE(2000+VALUE(MID(H1027,FIND("15",H1027,FIND("01",H1027)+16)+2,2)),VALUE(MID(H1027,FIND("15",H1027,FIND("01",H1027)+16)+4,2)),VALUE(MID(H1027,FIND("15",H1027,FIND("01",H1027)+16)+6,2))),"")</f>
        <v/>
      </c>
      <c r="F1027" s="5">
        <f>IFERROR(MID(H1027,FIND("10",H1027,FIND("15",H1027,FIND("01",H1027)+16)+8)+2,50),"")</f>
        <v/>
      </c>
      <c r="G1027" s="5" t="n"/>
      <c r="H1027" s="5">
        <f>SUBSTITUTE(SUBSTITUTE(SUBSTITUTE(SUBSTITUTE(A1027,"(",""),")","")," ",""),CHAR(29),"")</f>
        <v/>
      </c>
    </row>
    <row r="1028">
      <c r="A1028" s="7" t="n"/>
      <c r="B1028" s="8">
        <f>IFERROR(MID(H1028,FIND("01",H1028)+2,14),"")</f>
        <v/>
      </c>
      <c r="C1028" s="7">
        <f>IF(A1028="","",IFERROR(VLOOKUP(B1028,TblArticles,2,FALSE),"GTIN inconnu"))</f>
        <v/>
      </c>
      <c r="D1028" s="8">
        <f>IF(A1028="","",IFERROR(VLOOKUP(B1028,TblArticles,3,FALSE),""))</f>
        <v/>
      </c>
      <c r="E1028" s="9">
        <f>IFERROR(DATE(2000+VALUE(MID(H1028,FIND("15",H1028,FIND("01",H1028)+16)+2,2)),VALUE(MID(H1028,FIND("15",H1028,FIND("01",H1028)+16)+4,2)),VALUE(MID(H1028,FIND("15",H1028,FIND("01",H1028)+16)+6,2))),"")</f>
        <v/>
      </c>
      <c r="F1028" s="8">
        <f>IFERROR(MID(H1028,FIND("10",H1028,FIND("15",H1028,FIND("01",H1028)+16)+8)+2,50),"")</f>
        <v/>
      </c>
      <c r="G1028" s="8" t="n"/>
      <c r="H1028" s="8">
        <f>SUBSTITUTE(SUBSTITUTE(SUBSTITUTE(SUBSTITUTE(A1028,"(",""),")","")," ",""),CHAR(29),"")</f>
        <v/>
      </c>
    </row>
    <row r="1029">
      <c r="A1029" s="4" t="n"/>
      <c r="B1029" s="5">
        <f>IFERROR(MID(H1029,FIND("01",H1029)+2,14),"")</f>
        <v/>
      </c>
      <c r="C1029" s="4">
        <f>IF(A1029="","",IFERROR(VLOOKUP(B1029,TblArticles,2,FALSE),"GTIN inconnu"))</f>
        <v/>
      </c>
      <c r="D1029" s="5">
        <f>IF(A1029="","",IFERROR(VLOOKUP(B1029,TblArticles,3,FALSE),""))</f>
        <v/>
      </c>
      <c r="E1029" s="6">
        <f>IFERROR(DATE(2000+VALUE(MID(H1029,FIND("15",H1029,FIND("01",H1029)+16)+2,2)),VALUE(MID(H1029,FIND("15",H1029,FIND("01",H1029)+16)+4,2)),VALUE(MID(H1029,FIND("15",H1029,FIND("01",H1029)+16)+6,2))),"")</f>
        <v/>
      </c>
      <c r="F1029" s="5">
        <f>IFERROR(MID(H1029,FIND("10",H1029,FIND("15",H1029,FIND("01",H1029)+16)+8)+2,50),"")</f>
        <v/>
      </c>
      <c r="G1029" s="5" t="n"/>
      <c r="H1029" s="5">
        <f>SUBSTITUTE(SUBSTITUTE(SUBSTITUTE(SUBSTITUTE(A1029,"(",""),")","")," ",""),CHAR(29),"")</f>
        <v/>
      </c>
    </row>
    <row r="1030">
      <c r="A1030" s="7" t="n"/>
      <c r="B1030" s="8">
        <f>IFERROR(MID(H1030,FIND("01",H1030)+2,14),"")</f>
        <v/>
      </c>
      <c r="C1030" s="7">
        <f>IF(A1030="","",IFERROR(VLOOKUP(B1030,TblArticles,2,FALSE),"GTIN inconnu"))</f>
        <v/>
      </c>
      <c r="D1030" s="8">
        <f>IF(A1030="","",IFERROR(VLOOKUP(B1030,TblArticles,3,FALSE),""))</f>
        <v/>
      </c>
      <c r="E1030" s="9">
        <f>IFERROR(DATE(2000+VALUE(MID(H1030,FIND("15",H1030,FIND("01",H1030)+16)+2,2)),VALUE(MID(H1030,FIND("15",H1030,FIND("01",H1030)+16)+4,2)),VALUE(MID(H1030,FIND("15",H1030,FIND("01",H1030)+16)+6,2))),"")</f>
        <v/>
      </c>
      <c r="F1030" s="8">
        <f>IFERROR(MID(H1030,FIND("10",H1030,FIND("15",H1030,FIND("01",H1030)+16)+8)+2,50),"")</f>
        <v/>
      </c>
      <c r="G1030" s="8" t="n"/>
      <c r="H1030" s="8">
        <f>SUBSTITUTE(SUBSTITUTE(SUBSTITUTE(SUBSTITUTE(A1030,"(",""),")","")," ",""),CHAR(29),"")</f>
        <v/>
      </c>
    </row>
    <row r="1031">
      <c r="A1031" s="4" t="n"/>
      <c r="B1031" s="5">
        <f>IFERROR(MID(H1031,FIND("01",H1031)+2,14),"")</f>
        <v/>
      </c>
      <c r="C1031" s="4">
        <f>IF(A1031="","",IFERROR(VLOOKUP(B1031,TblArticles,2,FALSE),"GTIN inconnu"))</f>
        <v/>
      </c>
      <c r="D1031" s="5">
        <f>IF(A1031="","",IFERROR(VLOOKUP(B1031,TblArticles,3,FALSE),""))</f>
        <v/>
      </c>
      <c r="E1031" s="6">
        <f>IFERROR(DATE(2000+VALUE(MID(H1031,FIND("15",H1031,FIND("01",H1031)+16)+2,2)),VALUE(MID(H1031,FIND("15",H1031,FIND("01",H1031)+16)+4,2)),VALUE(MID(H1031,FIND("15",H1031,FIND("01",H1031)+16)+6,2))),"")</f>
        <v/>
      </c>
      <c r="F1031" s="5">
        <f>IFERROR(MID(H1031,FIND("10",H1031,FIND("15",H1031,FIND("01",H1031)+16)+8)+2,50),"")</f>
        <v/>
      </c>
      <c r="G1031" s="5" t="n"/>
      <c r="H1031" s="5">
        <f>SUBSTITUTE(SUBSTITUTE(SUBSTITUTE(SUBSTITUTE(A1031,"(",""),")","")," ",""),CHAR(29),"")</f>
        <v/>
      </c>
    </row>
    <row r="1032">
      <c r="A1032" s="7" t="n"/>
      <c r="B1032" s="8">
        <f>IFERROR(MID(H1032,FIND("01",H1032)+2,14),"")</f>
        <v/>
      </c>
      <c r="C1032" s="7">
        <f>IF(A1032="","",IFERROR(VLOOKUP(B1032,TblArticles,2,FALSE),"GTIN inconnu"))</f>
        <v/>
      </c>
      <c r="D1032" s="8">
        <f>IF(A1032="","",IFERROR(VLOOKUP(B1032,TblArticles,3,FALSE),""))</f>
        <v/>
      </c>
      <c r="E1032" s="9">
        <f>IFERROR(DATE(2000+VALUE(MID(H1032,FIND("15",H1032,FIND("01",H1032)+16)+2,2)),VALUE(MID(H1032,FIND("15",H1032,FIND("01",H1032)+16)+4,2)),VALUE(MID(H1032,FIND("15",H1032,FIND("01",H1032)+16)+6,2))),"")</f>
        <v/>
      </c>
      <c r="F1032" s="8">
        <f>IFERROR(MID(H1032,FIND("10",H1032,FIND("15",H1032,FIND("01",H1032)+16)+8)+2,50),"")</f>
        <v/>
      </c>
      <c r="G1032" s="8" t="n"/>
      <c r="H1032" s="8">
        <f>SUBSTITUTE(SUBSTITUTE(SUBSTITUTE(SUBSTITUTE(A1032,"(",""),")","")," ",""),CHAR(29),"")</f>
        <v/>
      </c>
    </row>
    <row r="1033">
      <c r="A1033" s="4" t="n"/>
      <c r="B1033" s="5">
        <f>IFERROR(MID(H1033,FIND("01",H1033)+2,14),"")</f>
        <v/>
      </c>
      <c r="C1033" s="4">
        <f>IF(A1033="","",IFERROR(VLOOKUP(B1033,TblArticles,2,FALSE),"GTIN inconnu"))</f>
        <v/>
      </c>
      <c r="D1033" s="5">
        <f>IF(A1033="","",IFERROR(VLOOKUP(B1033,TblArticles,3,FALSE),""))</f>
        <v/>
      </c>
      <c r="E1033" s="6">
        <f>IFERROR(DATE(2000+VALUE(MID(H1033,FIND("15",H1033,FIND("01",H1033)+16)+2,2)),VALUE(MID(H1033,FIND("15",H1033,FIND("01",H1033)+16)+4,2)),VALUE(MID(H1033,FIND("15",H1033,FIND("01",H1033)+16)+6,2))),"")</f>
        <v/>
      </c>
      <c r="F1033" s="5">
        <f>IFERROR(MID(H1033,FIND("10",H1033,FIND("15",H1033,FIND("01",H1033)+16)+8)+2,50),"")</f>
        <v/>
      </c>
      <c r="G1033" s="5" t="n"/>
      <c r="H1033" s="5">
        <f>SUBSTITUTE(SUBSTITUTE(SUBSTITUTE(SUBSTITUTE(A1033,"(",""),")","")," ",""),CHAR(29),"")</f>
        <v/>
      </c>
    </row>
    <row r="1034">
      <c r="A1034" s="7" t="n"/>
      <c r="B1034" s="8">
        <f>IFERROR(MID(H1034,FIND("01",H1034)+2,14),"")</f>
        <v/>
      </c>
      <c r="C1034" s="7">
        <f>IF(A1034="","",IFERROR(VLOOKUP(B1034,TblArticles,2,FALSE),"GTIN inconnu"))</f>
        <v/>
      </c>
      <c r="D1034" s="8">
        <f>IF(A1034="","",IFERROR(VLOOKUP(B1034,TblArticles,3,FALSE),""))</f>
        <v/>
      </c>
      <c r="E1034" s="9">
        <f>IFERROR(DATE(2000+VALUE(MID(H1034,FIND("15",H1034,FIND("01",H1034)+16)+2,2)),VALUE(MID(H1034,FIND("15",H1034,FIND("01",H1034)+16)+4,2)),VALUE(MID(H1034,FIND("15",H1034,FIND("01",H1034)+16)+6,2))),"")</f>
        <v/>
      </c>
      <c r="F1034" s="8">
        <f>IFERROR(MID(H1034,FIND("10",H1034,FIND("15",H1034,FIND("01",H1034)+16)+8)+2,50),"")</f>
        <v/>
      </c>
      <c r="G1034" s="8" t="n"/>
      <c r="H1034" s="8">
        <f>SUBSTITUTE(SUBSTITUTE(SUBSTITUTE(SUBSTITUTE(A1034,"(",""),")","")," ",""),CHAR(29),"")</f>
        <v/>
      </c>
    </row>
    <row r="1035">
      <c r="A1035" s="4" t="n"/>
      <c r="B1035" s="5">
        <f>IFERROR(MID(H1035,FIND("01",H1035)+2,14),"")</f>
        <v/>
      </c>
      <c r="C1035" s="4">
        <f>IF(A1035="","",IFERROR(VLOOKUP(B1035,TblArticles,2,FALSE),"GTIN inconnu"))</f>
        <v/>
      </c>
      <c r="D1035" s="5">
        <f>IF(A1035="","",IFERROR(VLOOKUP(B1035,TblArticles,3,FALSE),""))</f>
        <v/>
      </c>
      <c r="E1035" s="6">
        <f>IFERROR(DATE(2000+VALUE(MID(H1035,FIND("15",H1035,FIND("01",H1035)+16)+2,2)),VALUE(MID(H1035,FIND("15",H1035,FIND("01",H1035)+16)+4,2)),VALUE(MID(H1035,FIND("15",H1035,FIND("01",H1035)+16)+6,2))),"")</f>
        <v/>
      </c>
      <c r="F1035" s="5">
        <f>IFERROR(MID(H1035,FIND("10",H1035,FIND("15",H1035,FIND("01",H1035)+16)+8)+2,50),"")</f>
        <v/>
      </c>
      <c r="G1035" s="5" t="n"/>
      <c r="H1035" s="5">
        <f>SUBSTITUTE(SUBSTITUTE(SUBSTITUTE(SUBSTITUTE(A1035,"(",""),")","")," ",""),CHAR(29),"")</f>
        <v/>
      </c>
    </row>
    <row r="1036">
      <c r="A1036" s="7" t="n"/>
      <c r="B1036" s="8">
        <f>IFERROR(MID(H1036,FIND("01",H1036)+2,14),"")</f>
        <v/>
      </c>
      <c r="C1036" s="7">
        <f>IF(A1036="","",IFERROR(VLOOKUP(B1036,TblArticles,2,FALSE),"GTIN inconnu"))</f>
        <v/>
      </c>
      <c r="D1036" s="8">
        <f>IF(A1036="","",IFERROR(VLOOKUP(B1036,TblArticles,3,FALSE),""))</f>
        <v/>
      </c>
      <c r="E1036" s="9">
        <f>IFERROR(DATE(2000+VALUE(MID(H1036,FIND("15",H1036,FIND("01",H1036)+16)+2,2)),VALUE(MID(H1036,FIND("15",H1036,FIND("01",H1036)+16)+4,2)),VALUE(MID(H1036,FIND("15",H1036,FIND("01",H1036)+16)+6,2))),"")</f>
        <v/>
      </c>
      <c r="F1036" s="8">
        <f>IFERROR(MID(H1036,FIND("10",H1036,FIND("15",H1036,FIND("01",H1036)+16)+8)+2,50),"")</f>
        <v/>
      </c>
      <c r="G1036" s="8" t="n"/>
      <c r="H1036" s="8">
        <f>SUBSTITUTE(SUBSTITUTE(SUBSTITUTE(SUBSTITUTE(A1036,"(",""),")","")," ",""),CHAR(29),"")</f>
        <v/>
      </c>
    </row>
    <row r="1037">
      <c r="A1037" s="4" t="n"/>
      <c r="B1037" s="5">
        <f>IFERROR(MID(H1037,FIND("01",H1037)+2,14),"")</f>
        <v/>
      </c>
      <c r="C1037" s="4">
        <f>IF(A1037="","",IFERROR(VLOOKUP(B1037,TblArticles,2,FALSE),"GTIN inconnu"))</f>
        <v/>
      </c>
      <c r="D1037" s="5">
        <f>IF(A1037="","",IFERROR(VLOOKUP(B1037,TblArticles,3,FALSE),""))</f>
        <v/>
      </c>
      <c r="E1037" s="6">
        <f>IFERROR(DATE(2000+VALUE(MID(H1037,FIND("15",H1037,FIND("01",H1037)+16)+2,2)),VALUE(MID(H1037,FIND("15",H1037,FIND("01",H1037)+16)+4,2)),VALUE(MID(H1037,FIND("15",H1037,FIND("01",H1037)+16)+6,2))),"")</f>
        <v/>
      </c>
      <c r="F1037" s="5">
        <f>IFERROR(MID(H1037,FIND("10",H1037,FIND("15",H1037,FIND("01",H1037)+16)+8)+2,50),"")</f>
        <v/>
      </c>
      <c r="G1037" s="5" t="n"/>
      <c r="H1037" s="5">
        <f>SUBSTITUTE(SUBSTITUTE(SUBSTITUTE(SUBSTITUTE(A1037,"(",""),")","")," ",""),CHAR(29),"")</f>
        <v/>
      </c>
    </row>
    <row r="1038">
      <c r="A1038" s="7" t="n"/>
      <c r="B1038" s="8">
        <f>IFERROR(MID(H1038,FIND("01",H1038)+2,14),"")</f>
        <v/>
      </c>
      <c r="C1038" s="7">
        <f>IF(A1038="","",IFERROR(VLOOKUP(B1038,TblArticles,2,FALSE),"GTIN inconnu"))</f>
        <v/>
      </c>
      <c r="D1038" s="8">
        <f>IF(A1038="","",IFERROR(VLOOKUP(B1038,TblArticles,3,FALSE),""))</f>
        <v/>
      </c>
      <c r="E1038" s="9">
        <f>IFERROR(DATE(2000+VALUE(MID(H1038,FIND("15",H1038,FIND("01",H1038)+16)+2,2)),VALUE(MID(H1038,FIND("15",H1038,FIND("01",H1038)+16)+4,2)),VALUE(MID(H1038,FIND("15",H1038,FIND("01",H1038)+16)+6,2))),"")</f>
        <v/>
      </c>
      <c r="F1038" s="8">
        <f>IFERROR(MID(H1038,FIND("10",H1038,FIND("15",H1038,FIND("01",H1038)+16)+8)+2,50),"")</f>
        <v/>
      </c>
      <c r="G1038" s="8" t="n"/>
      <c r="H1038" s="8">
        <f>SUBSTITUTE(SUBSTITUTE(SUBSTITUTE(SUBSTITUTE(A1038,"(",""),")","")," ",""),CHAR(29),"")</f>
        <v/>
      </c>
    </row>
    <row r="1039">
      <c r="A1039" s="4" t="n"/>
      <c r="B1039" s="5">
        <f>IFERROR(MID(H1039,FIND("01",H1039)+2,14),"")</f>
        <v/>
      </c>
      <c r="C1039" s="4">
        <f>IF(A1039="","",IFERROR(VLOOKUP(B1039,TblArticles,2,FALSE),"GTIN inconnu"))</f>
        <v/>
      </c>
      <c r="D1039" s="5">
        <f>IF(A1039="","",IFERROR(VLOOKUP(B1039,TblArticles,3,FALSE),""))</f>
        <v/>
      </c>
      <c r="E1039" s="6">
        <f>IFERROR(DATE(2000+VALUE(MID(H1039,FIND("15",H1039,FIND("01",H1039)+16)+2,2)),VALUE(MID(H1039,FIND("15",H1039,FIND("01",H1039)+16)+4,2)),VALUE(MID(H1039,FIND("15",H1039,FIND("01",H1039)+16)+6,2))),"")</f>
        <v/>
      </c>
      <c r="F1039" s="5">
        <f>IFERROR(MID(H1039,FIND("10",H1039,FIND("15",H1039,FIND("01",H1039)+16)+8)+2,50),"")</f>
        <v/>
      </c>
      <c r="G1039" s="5" t="n"/>
      <c r="H1039" s="5">
        <f>SUBSTITUTE(SUBSTITUTE(SUBSTITUTE(SUBSTITUTE(A1039,"(",""),")","")," ",""),CHAR(29),"")</f>
        <v/>
      </c>
    </row>
    <row r="1040">
      <c r="A1040" s="7" t="n"/>
      <c r="B1040" s="8">
        <f>IFERROR(MID(H1040,FIND("01",H1040)+2,14),"")</f>
        <v/>
      </c>
      <c r="C1040" s="7">
        <f>IF(A1040="","",IFERROR(VLOOKUP(B1040,TblArticles,2,FALSE),"GTIN inconnu"))</f>
        <v/>
      </c>
      <c r="D1040" s="8">
        <f>IF(A1040="","",IFERROR(VLOOKUP(B1040,TblArticles,3,FALSE),""))</f>
        <v/>
      </c>
      <c r="E1040" s="9">
        <f>IFERROR(DATE(2000+VALUE(MID(H1040,FIND("15",H1040,FIND("01",H1040)+16)+2,2)),VALUE(MID(H1040,FIND("15",H1040,FIND("01",H1040)+16)+4,2)),VALUE(MID(H1040,FIND("15",H1040,FIND("01",H1040)+16)+6,2))),"")</f>
        <v/>
      </c>
      <c r="F1040" s="8">
        <f>IFERROR(MID(H1040,FIND("10",H1040,FIND("15",H1040,FIND("01",H1040)+16)+8)+2,50),"")</f>
        <v/>
      </c>
      <c r="G1040" s="8" t="n"/>
      <c r="H1040" s="8">
        <f>SUBSTITUTE(SUBSTITUTE(SUBSTITUTE(SUBSTITUTE(A1040,"(",""),")","")," ",""),CHAR(29),"")</f>
        <v/>
      </c>
    </row>
    <row r="1041">
      <c r="A1041" s="4" t="n"/>
      <c r="B1041" s="5">
        <f>IFERROR(MID(H1041,FIND("01",H1041)+2,14),"")</f>
        <v/>
      </c>
      <c r="C1041" s="4">
        <f>IF(A1041="","",IFERROR(VLOOKUP(B1041,TblArticles,2,FALSE),"GTIN inconnu"))</f>
        <v/>
      </c>
      <c r="D1041" s="5">
        <f>IF(A1041="","",IFERROR(VLOOKUP(B1041,TblArticles,3,FALSE),""))</f>
        <v/>
      </c>
      <c r="E1041" s="6">
        <f>IFERROR(DATE(2000+VALUE(MID(H1041,FIND("15",H1041,FIND("01",H1041)+16)+2,2)),VALUE(MID(H1041,FIND("15",H1041,FIND("01",H1041)+16)+4,2)),VALUE(MID(H1041,FIND("15",H1041,FIND("01",H1041)+16)+6,2))),"")</f>
        <v/>
      </c>
      <c r="F1041" s="5">
        <f>IFERROR(MID(H1041,FIND("10",H1041,FIND("15",H1041,FIND("01",H1041)+16)+8)+2,50),"")</f>
        <v/>
      </c>
      <c r="G1041" s="5" t="n"/>
      <c r="H1041" s="5">
        <f>SUBSTITUTE(SUBSTITUTE(SUBSTITUTE(SUBSTITUTE(A1041,"(",""),")","")," ",""),CHAR(29),"")</f>
        <v/>
      </c>
    </row>
    <row r="1042">
      <c r="A1042" s="7" t="n"/>
      <c r="B1042" s="8">
        <f>IFERROR(MID(H1042,FIND("01",H1042)+2,14),"")</f>
        <v/>
      </c>
      <c r="C1042" s="7">
        <f>IF(A1042="","",IFERROR(VLOOKUP(B1042,TblArticles,2,FALSE),"GTIN inconnu"))</f>
        <v/>
      </c>
      <c r="D1042" s="8">
        <f>IF(A1042="","",IFERROR(VLOOKUP(B1042,TblArticles,3,FALSE),""))</f>
        <v/>
      </c>
      <c r="E1042" s="9">
        <f>IFERROR(DATE(2000+VALUE(MID(H1042,FIND("15",H1042,FIND("01",H1042)+16)+2,2)),VALUE(MID(H1042,FIND("15",H1042,FIND("01",H1042)+16)+4,2)),VALUE(MID(H1042,FIND("15",H1042,FIND("01",H1042)+16)+6,2))),"")</f>
        <v/>
      </c>
      <c r="F1042" s="8">
        <f>IFERROR(MID(H1042,FIND("10",H1042,FIND("15",H1042,FIND("01",H1042)+16)+8)+2,50),"")</f>
        <v/>
      </c>
      <c r="G1042" s="8" t="n"/>
      <c r="H1042" s="8">
        <f>SUBSTITUTE(SUBSTITUTE(SUBSTITUTE(SUBSTITUTE(A1042,"(",""),")","")," ",""),CHAR(29),"")</f>
        <v/>
      </c>
    </row>
    <row r="1043">
      <c r="A1043" s="4" t="n"/>
      <c r="B1043" s="5">
        <f>IFERROR(MID(H1043,FIND("01",H1043)+2,14),"")</f>
        <v/>
      </c>
      <c r="C1043" s="4">
        <f>IF(A1043="","",IFERROR(VLOOKUP(B1043,TblArticles,2,FALSE),"GTIN inconnu"))</f>
        <v/>
      </c>
      <c r="D1043" s="5">
        <f>IF(A1043="","",IFERROR(VLOOKUP(B1043,TblArticles,3,FALSE),""))</f>
        <v/>
      </c>
      <c r="E1043" s="6">
        <f>IFERROR(DATE(2000+VALUE(MID(H1043,FIND("15",H1043,FIND("01",H1043)+16)+2,2)),VALUE(MID(H1043,FIND("15",H1043,FIND("01",H1043)+16)+4,2)),VALUE(MID(H1043,FIND("15",H1043,FIND("01",H1043)+16)+6,2))),"")</f>
        <v/>
      </c>
      <c r="F1043" s="5">
        <f>IFERROR(MID(H1043,FIND("10",H1043,FIND("15",H1043,FIND("01",H1043)+16)+8)+2,50),"")</f>
        <v/>
      </c>
      <c r="G1043" s="5" t="n"/>
      <c r="H1043" s="5">
        <f>SUBSTITUTE(SUBSTITUTE(SUBSTITUTE(SUBSTITUTE(A1043,"(",""),")","")," ",""),CHAR(29),"")</f>
        <v/>
      </c>
    </row>
    <row r="1044">
      <c r="A1044" s="7" t="n"/>
      <c r="B1044" s="8">
        <f>IFERROR(MID(H1044,FIND("01",H1044)+2,14),"")</f>
        <v/>
      </c>
      <c r="C1044" s="7">
        <f>IF(A1044="","",IFERROR(VLOOKUP(B1044,TblArticles,2,FALSE),"GTIN inconnu"))</f>
        <v/>
      </c>
      <c r="D1044" s="8">
        <f>IF(A1044="","",IFERROR(VLOOKUP(B1044,TblArticles,3,FALSE),""))</f>
        <v/>
      </c>
      <c r="E1044" s="9">
        <f>IFERROR(DATE(2000+VALUE(MID(H1044,FIND("15",H1044,FIND("01",H1044)+16)+2,2)),VALUE(MID(H1044,FIND("15",H1044,FIND("01",H1044)+16)+4,2)),VALUE(MID(H1044,FIND("15",H1044,FIND("01",H1044)+16)+6,2))),"")</f>
        <v/>
      </c>
      <c r="F1044" s="8">
        <f>IFERROR(MID(H1044,FIND("10",H1044,FIND("15",H1044,FIND("01",H1044)+16)+8)+2,50),"")</f>
        <v/>
      </c>
      <c r="G1044" s="8" t="n"/>
      <c r="H1044" s="8">
        <f>SUBSTITUTE(SUBSTITUTE(SUBSTITUTE(SUBSTITUTE(A1044,"(",""),")","")," ",""),CHAR(29),"")</f>
        <v/>
      </c>
    </row>
    <row r="1045">
      <c r="A1045" s="4" t="n"/>
      <c r="B1045" s="5">
        <f>IFERROR(MID(H1045,FIND("01",H1045)+2,14),"")</f>
        <v/>
      </c>
      <c r="C1045" s="4">
        <f>IF(A1045="","",IFERROR(VLOOKUP(B1045,TblArticles,2,FALSE),"GTIN inconnu"))</f>
        <v/>
      </c>
      <c r="D1045" s="5">
        <f>IF(A1045="","",IFERROR(VLOOKUP(B1045,TblArticles,3,FALSE),""))</f>
        <v/>
      </c>
      <c r="E1045" s="6">
        <f>IFERROR(DATE(2000+VALUE(MID(H1045,FIND("15",H1045,FIND("01",H1045)+16)+2,2)),VALUE(MID(H1045,FIND("15",H1045,FIND("01",H1045)+16)+4,2)),VALUE(MID(H1045,FIND("15",H1045,FIND("01",H1045)+16)+6,2))),"")</f>
        <v/>
      </c>
      <c r="F1045" s="5">
        <f>IFERROR(MID(H1045,FIND("10",H1045,FIND("15",H1045,FIND("01",H1045)+16)+8)+2,50),"")</f>
        <v/>
      </c>
      <c r="G1045" s="5" t="n"/>
      <c r="H1045" s="5">
        <f>SUBSTITUTE(SUBSTITUTE(SUBSTITUTE(SUBSTITUTE(A1045,"(",""),")","")," ",""),CHAR(29),"")</f>
        <v/>
      </c>
    </row>
    <row r="1046">
      <c r="A1046" s="7" t="n"/>
      <c r="B1046" s="8">
        <f>IFERROR(MID(H1046,FIND("01",H1046)+2,14),"")</f>
        <v/>
      </c>
      <c r="C1046" s="7">
        <f>IF(A1046="","",IFERROR(VLOOKUP(B1046,TblArticles,2,FALSE),"GTIN inconnu"))</f>
        <v/>
      </c>
      <c r="D1046" s="8">
        <f>IF(A1046="","",IFERROR(VLOOKUP(B1046,TblArticles,3,FALSE),""))</f>
        <v/>
      </c>
      <c r="E1046" s="9">
        <f>IFERROR(DATE(2000+VALUE(MID(H1046,FIND("15",H1046,FIND("01",H1046)+16)+2,2)),VALUE(MID(H1046,FIND("15",H1046,FIND("01",H1046)+16)+4,2)),VALUE(MID(H1046,FIND("15",H1046,FIND("01",H1046)+16)+6,2))),"")</f>
        <v/>
      </c>
      <c r="F1046" s="8">
        <f>IFERROR(MID(H1046,FIND("10",H1046,FIND("15",H1046,FIND("01",H1046)+16)+8)+2,50),"")</f>
        <v/>
      </c>
      <c r="G1046" s="8" t="n"/>
      <c r="H1046" s="8">
        <f>SUBSTITUTE(SUBSTITUTE(SUBSTITUTE(SUBSTITUTE(A1046,"(",""),")","")," ",""),CHAR(29),"")</f>
        <v/>
      </c>
    </row>
    <row r="1047">
      <c r="A1047" s="4" t="n"/>
      <c r="B1047" s="5">
        <f>IFERROR(MID(H1047,FIND("01",H1047)+2,14),"")</f>
        <v/>
      </c>
      <c r="C1047" s="4">
        <f>IF(A1047="","",IFERROR(VLOOKUP(B1047,TblArticles,2,FALSE),"GTIN inconnu"))</f>
        <v/>
      </c>
      <c r="D1047" s="5">
        <f>IF(A1047="","",IFERROR(VLOOKUP(B1047,TblArticles,3,FALSE),""))</f>
        <v/>
      </c>
      <c r="E1047" s="6">
        <f>IFERROR(DATE(2000+VALUE(MID(H1047,FIND("15",H1047,FIND("01",H1047)+16)+2,2)),VALUE(MID(H1047,FIND("15",H1047,FIND("01",H1047)+16)+4,2)),VALUE(MID(H1047,FIND("15",H1047,FIND("01",H1047)+16)+6,2))),"")</f>
        <v/>
      </c>
      <c r="F1047" s="5">
        <f>IFERROR(MID(H1047,FIND("10",H1047,FIND("15",H1047,FIND("01",H1047)+16)+8)+2,50),"")</f>
        <v/>
      </c>
      <c r="G1047" s="5" t="n"/>
      <c r="H1047" s="5">
        <f>SUBSTITUTE(SUBSTITUTE(SUBSTITUTE(SUBSTITUTE(A1047,"(",""),")","")," ",""),CHAR(29),"")</f>
        <v/>
      </c>
    </row>
    <row r="1048">
      <c r="A1048" s="7" t="n"/>
      <c r="B1048" s="8">
        <f>IFERROR(MID(H1048,FIND("01",H1048)+2,14),"")</f>
        <v/>
      </c>
      <c r="C1048" s="7">
        <f>IF(A1048="","",IFERROR(VLOOKUP(B1048,TblArticles,2,FALSE),"GTIN inconnu"))</f>
        <v/>
      </c>
      <c r="D1048" s="8">
        <f>IF(A1048="","",IFERROR(VLOOKUP(B1048,TblArticles,3,FALSE),""))</f>
        <v/>
      </c>
      <c r="E1048" s="9">
        <f>IFERROR(DATE(2000+VALUE(MID(H1048,FIND("15",H1048,FIND("01",H1048)+16)+2,2)),VALUE(MID(H1048,FIND("15",H1048,FIND("01",H1048)+16)+4,2)),VALUE(MID(H1048,FIND("15",H1048,FIND("01",H1048)+16)+6,2))),"")</f>
        <v/>
      </c>
      <c r="F1048" s="8">
        <f>IFERROR(MID(H1048,FIND("10",H1048,FIND("15",H1048,FIND("01",H1048)+16)+8)+2,50),"")</f>
        <v/>
      </c>
      <c r="G1048" s="8" t="n"/>
      <c r="H1048" s="8">
        <f>SUBSTITUTE(SUBSTITUTE(SUBSTITUTE(SUBSTITUTE(A1048,"(",""),")","")," ",""),CHAR(29),"")</f>
        <v/>
      </c>
    </row>
    <row r="1049">
      <c r="A1049" s="4" t="n"/>
      <c r="B1049" s="5">
        <f>IFERROR(MID(H1049,FIND("01",H1049)+2,14),"")</f>
        <v/>
      </c>
      <c r="C1049" s="4">
        <f>IF(A1049="","",IFERROR(VLOOKUP(B1049,TblArticles,2,FALSE),"GTIN inconnu"))</f>
        <v/>
      </c>
      <c r="D1049" s="5">
        <f>IF(A1049="","",IFERROR(VLOOKUP(B1049,TblArticles,3,FALSE),""))</f>
        <v/>
      </c>
      <c r="E1049" s="6">
        <f>IFERROR(DATE(2000+VALUE(MID(H1049,FIND("15",H1049,FIND("01",H1049)+16)+2,2)),VALUE(MID(H1049,FIND("15",H1049,FIND("01",H1049)+16)+4,2)),VALUE(MID(H1049,FIND("15",H1049,FIND("01",H1049)+16)+6,2))),"")</f>
        <v/>
      </c>
      <c r="F1049" s="5">
        <f>IFERROR(MID(H1049,FIND("10",H1049,FIND("15",H1049,FIND("01",H1049)+16)+8)+2,50),"")</f>
        <v/>
      </c>
      <c r="G1049" s="5" t="n"/>
      <c r="H1049" s="5">
        <f>SUBSTITUTE(SUBSTITUTE(SUBSTITUTE(SUBSTITUTE(A1049,"(",""),")","")," ",""),CHAR(29),"")</f>
        <v/>
      </c>
    </row>
    <row r="1050">
      <c r="A1050" s="7" t="n"/>
      <c r="B1050" s="8">
        <f>IFERROR(MID(H1050,FIND("01",H1050)+2,14),"")</f>
        <v/>
      </c>
      <c r="C1050" s="7">
        <f>IF(A1050="","",IFERROR(VLOOKUP(B1050,TblArticles,2,FALSE),"GTIN inconnu"))</f>
        <v/>
      </c>
      <c r="D1050" s="8">
        <f>IF(A1050="","",IFERROR(VLOOKUP(B1050,TblArticles,3,FALSE),""))</f>
        <v/>
      </c>
      <c r="E1050" s="9">
        <f>IFERROR(DATE(2000+VALUE(MID(H1050,FIND("15",H1050,FIND("01",H1050)+16)+2,2)),VALUE(MID(H1050,FIND("15",H1050,FIND("01",H1050)+16)+4,2)),VALUE(MID(H1050,FIND("15",H1050,FIND("01",H1050)+16)+6,2))),"")</f>
        <v/>
      </c>
      <c r="F1050" s="8">
        <f>IFERROR(MID(H1050,FIND("10",H1050,FIND("15",H1050,FIND("01",H1050)+16)+8)+2,50),"")</f>
        <v/>
      </c>
      <c r="G1050" s="8" t="n"/>
      <c r="H1050" s="8">
        <f>SUBSTITUTE(SUBSTITUTE(SUBSTITUTE(SUBSTITUTE(A1050,"(",""),")","")," ",""),CHAR(29),"")</f>
        <v/>
      </c>
    </row>
    <row r="1051">
      <c r="A1051" s="4" t="n"/>
      <c r="B1051" s="5">
        <f>IFERROR(MID(H1051,FIND("01",H1051)+2,14),"")</f>
        <v/>
      </c>
      <c r="C1051" s="4">
        <f>IF(A1051="","",IFERROR(VLOOKUP(B1051,TblArticles,2,FALSE),"GTIN inconnu"))</f>
        <v/>
      </c>
      <c r="D1051" s="5">
        <f>IF(A1051="","",IFERROR(VLOOKUP(B1051,TblArticles,3,FALSE),""))</f>
        <v/>
      </c>
      <c r="E1051" s="6">
        <f>IFERROR(DATE(2000+VALUE(MID(H1051,FIND("15",H1051,FIND("01",H1051)+16)+2,2)),VALUE(MID(H1051,FIND("15",H1051,FIND("01",H1051)+16)+4,2)),VALUE(MID(H1051,FIND("15",H1051,FIND("01",H1051)+16)+6,2))),"")</f>
        <v/>
      </c>
      <c r="F1051" s="5">
        <f>IFERROR(MID(H1051,FIND("10",H1051,FIND("15",H1051,FIND("01",H1051)+16)+8)+2,50),"")</f>
        <v/>
      </c>
      <c r="G1051" s="5" t="n"/>
      <c r="H1051" s="5">
        <f>SUBSTITUTE(SUBSTITUTE(SUBSTITUTE(SUBSTITUTE(A1051,"(",""),")","")," ",""),CHAR(29),"")</f>
        <v/>
      </c>
    </row>
    <row r="1052">
      <c r="A1052" s="7" t="n"/>
      <c r="B1052" s="8">
        <f>IFERROR(MID(H1052,FIND("01",H1052)+2,14),"")</f>
        <v/>
      </c>
      <c r="C1052" s="7">
        <f>IF(A1052="","",IFERROR(VLOOKUP(B1052,TblArticles,2,FALSE),"GTIN inconnu"))</f>
        <v/>
      </c>
      <c r="D1052" s="8">
        <f>IF(A1052="","",IFERROR(VLOOKUP(B1052,TblArticles,3,FALSE),""))</f>
        <v/>
      </c>
      <c r="E1052" s="9">
        <f>IFERROR(DATE(2000+VALUE(MID(H1052,FIND("15",H1052,FIND("01",H1052)+16)+2,2)),VALUE(MID(H1052,FIND("15",H1052,FIND("01",H1052)+16)+4,2)),VALUE(MID(H1052,FIND("15",H1052,FIND("01",H1052)+16)+6,2))),"")</f>
        <v/>
      </c>
      <c r="F1052" s="8">
        <f>IFERROR(MID(H1052,FIND("10",H1052,FIND("15",H1052,FIND("01",H1052)+16)+8)+2,50),"")</f>
        <v/>
      </c>
      <c r="G1052" s="8" t="n"/>
      <c r="H1052" s="8">
        <f>SUBSTITUTE(SUBSTITUTE(SUBSTITUTE(SUBSTITUTE(A1052,"(",""),")","")," ",""),CHAR(29),"")</f>
        <v/>
      </c>
    </row>
    <row r="1053">
      <c r="A1053" s="4" t="n"/>
      <c r="B1053" s="5">
        <f>IFERROR(MID(H1053,FIND("01",H1053)+2,14),"")</f>
        <v/>
      </c>
      <c r="C1053" s="4">
        <f>IF(A1053="","",IFERROR(VLOOKUP(B1053,TblArticles,2,FALSE),"GTIN inconnu"))</f>
        <v/>
      </c>
      <c r="D1053" s="5">
        <f>IF(A1053="","",IFERROR(VLOOKUP(B1053,TblArticles,3,FALSE),""))</f>
        <v/>
      </c>
      <c r="E1053" s="6">
        <f>IFERROR(DATE(2000+VALUE(MID(H1053,FIND("15",H1053,FIND("01",H1053)+16)+2,2)),VALUE(MID(H1053,FIND("15",H1053,FIND("01",H1053)+16)+4,2)),VALUE(MID(H1053,FIND("15",H1053,FIND("01",H1053)+16)+6,2))),"")</f>
        <v/>
      </c>
      <c r="F1053" s="5">
        <f>IFERROR(MID(H1053,FIND("10",H1053,FIND("15",H1053,FIND("01",H1053)+16)+8)+2,50),"")</f>
        <v/>
      </c>
      <c r="G1053" s="5" t="n"/>
      <c r="H1053" s="5">
        <f>SUBSTITUTE(SUBSTITUTE(SUBSTITUTE(SUBSTITUTE(A1053,"(",""),")","")," ",""),CHAR(29),"")</f>
        <v/>
      </c>
    </row>
    <row r="1054">
      <c r="A1054" s="7" t="n"/>
      <c r="B1054" s="8">
        <f>IFERROR(MID(H1054,FIND("01",H1054)+2,14),"")</f>
        <v/>
      </c>
      <c r="C1054" s="7">
        <f>IF(A1054="","",IFERROR(VLOOKUP(B1054,TblArticles,2,FALSE),"GTIN inconnu"))</f>
        <v/>
      </c>
      <c r="D1054" s="8">
        <f>IF(A1054="","",IFERROR(VLOOKUP(B1054,TblArticles,3,FALSE),""))</f>
        <v/>
      </c>
      <c r="E1054" s="9">
        <f>IFERROR(DATE(2000+VALUE(MID(H1054,FIND("15",H1054,FIND("01",H1054)+16)+2,2)),VALUE(MID(H1054,FIND("15",H1054,FIND("01",H1054)+16)+4,2)),VALUE(MID(H1054,FIND("15",H1054,FIND("01",H1054)+16)+6,2))),"")</f>
        <v/>
      </c>
      <c r="F1054" s="8">
        <f>IFERROR(MID(H1054,FIND("10",H1054,FIND("15",H1054,FIND("01",H1054)+16)+8)+2,50),"")</f>
        <v/>
      </c>
      <c r="G1054" s="8" t="n"/>
      <c r="H1054" s="8">
        <f>SUBSTITUTE(SUBSTITUTE(SUBSTITUTE(SUBSTITUTE(A1054,"(",""),")","")," ",""),CHAR(29),"")</f>
        <v/>
      </c>
    </row>
    <row r="1055">
      <c r="A1055" s="4" t="n"/>
      <c r="B1055" s="5">
        <f>IFERROR(MID(H1055,FIND("01",H1055)+2,14),"")</f>
        <v/>
      </c>
      <c r="C1055" s="4">
        <f>IF(A1055="","",IFERROR(VLOOKUP(B1055,TblArticles,2,FALSE),"GTIN inconnu"))</f>
        <v/>
      </c>
      <c r="D1055" s="5">
        <f>IF(A1055="","",IFERROR(VLOOKUP(B1055,TblArticles,3,FALSE),""))</f>
        <v/>
      </c>
      <c r="E1055" s="6">
        <f>IFERROR(DATE(2000+VALUE(MID(H1055,FIND("15",H1055,FIND("01",H1055)+16)+2,2)),VALUE(MID(H1055,FIND("15",H1055,FIND("01",H1055)+16)+4,2)),VALUE(MID(H1055,FIND("15",H1055,FIND("01",H1055)+16)+6,2))),"")</f>
        <v/>
      </c>
      <c r="F1055" s="5">
        <f>IFERROR(MID(H1055,FIND("10",H1055,FIND("15",H1055,FIND("01",H1055)+16)+8)+2,50),"")</f>
        <v/>
      </c>
      <c r="G1055" s="5" t="n"/>
      <c r="H1055" s="5">
        <f>SUBSTITUTE(SUBSTITUTE(SUBSTITUTE(SUBSTITUTE(A1055,"(",""),")","")," ",""),CHAR(29),"")</f>
        <v/>
      </c>
    </row>
    <row r="1056">
      <c r="A1056" s="7" t="n"/>
      <c r="B1056" s="8">
        <f>IFERROR(MID(H1056,FIND("01",H1056)+2,14),"")</f>
        <v/>
      </c>
      <c r="C1056" s="7">
        <f>IF(A1056="","",IFERROR(VLOOKUP(B1056,TblArticles,2,FALSE),"GTIN inconnu"))</f>
        <v/>
      </c>
      <c r="D1056" s="8">
        <f>IF(A1056="","",IFERROR(VLOOKUP(B1056,TblArticles,3,FALSE),""))</f>
        <v/>
      </c>
      <c r="E1056" s="9">
        <f>IFERROR(DATE(2000+VALUE(MID(H1056,FIND("15",H1056,FIND("01",H1056)+16)+2,2)),VALUE(MID(H1056,FIND("15",H1056,FIND("01",H1056)+16)+4,2)),VALUE(MID(H1056,FIND("15",H1056,FIND("01",H1056)+16)+6,2))),"")</f>
        <v/>
      </c>
      <c r="F1056" s="8">
        <f>IFERROR(MID(H1056,FIND("10",H1056,FIND("15",H1056,FIND("01",H1056)+16)+8)+2,50),"")</f>
        <v/>
      </c>
      <c r="G1056" s="8" t="n"/>
      <c r="H1056" s="8">
        <f>SUBSTITUTE(SUBSTITUTE(SUBSTITUTE(SUBSTITUTE(A1056,"(",""),")","")," ",""),CHAR(29),"")</f>
        <v/>
      </c>
    </row>
    <row r="1057">
      <c r="A1057" s="4" t="n"/>
      <c r="B1057" s="5">
        <f>IFERROR(MID(H1057,FIND("01",H1057)+2,14),"")</f>
        <v/>
      </c>
      <c r="C1057" s="4">
        <f>IF(A1057="","",IFERROR(VLOOKUP(B1057,TblArticles,2,FALSE),"GTIN inconnu"))</f>
        <v/>
      </c>
      <c r="D1057" s="5">
        <f>IF(A1057="","",IFERROR(VLOOKUP(B1057,TblArticles,3,FALSE),""))</f>
        <v/>
      </c>
      <c r="E1057" s="6">
        <f>IFERROR(DATE(2000+VALUE(MID(H1057,FIND("15",H1057,FIND("01",H1057)+16)+2,2)),VALUE(MID(H1057,FIND("15",H1057,FIND("01",H1057)+16)+4,2)),VALUE(MID(H1057,FIND("15",H1057,FIND("01",H1057)+16)+6,2))),"")</f>
        <v/>
      </c>
      <c r="F1057" s="5">
        <f>IFERROR(MID(H1057,FIND("10",H1057,FIND("15",H1057,FIND("01",H1057)+16)+8)+2,50),"")</f>
        <v/>
      </c>
      <c r="G1057" s="5" t="n"/>
      <c r="H1057" s="5">
        <f>SUBSTITUTE(SUBSTITUTE(SUBSTITUTE(SUBSTITUTE(A1057,"(",""),")","")," ",""),CHAR(29),"")</f>
        <v/>
      </c>
    </row>
    <row r="1058">
      <c r="A1058" s="7" t="n"/>
      <c r="B1058" s="8">
        <f>IFERROR(MID(H1058,FIND("01",H1058)+2,14),"")</f>
        <v/>
      </c>
      <c r="C1058" s="7">
        <f>IF(A1058="","",IFERROR(VLOOKUP(B1058,TblArticles,2,FALSE),"GTIN inconnu"))</f>
        <v/>
      </c>
      <c r="D1058" s="8">
        <f>IF(A1058="","",IFERROR(VLOOKUP(B1058,TblArticles,3,FALSE),""))</f>
        <v/>
      </c>
      <c r="E1058" s="9">
        <f>IFERROR(DATE(2000+VALUE(MID(H1058,FIND("15",H1058,FIND("01",H1058)+16)+2,2)),VALUE(MID(H1058,FIND("15",H1058,FIND("01",H1058)+16)+4,2)),VALUE(MID(H1058,FIND("15",H1058,FIND("01",H1058)+16)+6,2))),"")</f>
        <v/>
      </c>
      <c r="F1058" s="8">
        <f>IFERROR(MID(H1058,FIND("10",H1058,FIND("15",H1058,FIND("01",H1058)+16)+8)+2,50),"")</f>
        <v/>
      </c>
      <c r="G1058" s="8" t="n"/>
      <c r="H1058" s="8">
        <f>SUBSTITUTE(SUBSTITUTE(SUBSTITUTE(SUBSTITUTE(A1058,"(",""),")","")," ",""),CHAR(29),"")</f>
        <v/>
      </c>
    </row>
    <row r="1059">
      <c r="A1059" s="4" t="n"/>
      <c r="B1059" s="5">
        <f>IFERROR(MID(H1059,FIND("01",H1059)+2,14),"")</f>
        <v/>
      </c>
      <c r="C1059" s="4">
        <f>IF(A1059="","",IFERROR(VLOOKUP(B1059,TblArticles,2,FALSE),"GTIN inconnu"))</f>
        <v/>
      </c>
      <c r="D1059" s="5">
        <f>IF(A1059="","",IFERROR(VLOOKUP(B1059,TblArticles,3,FALSE),""))</f>
        <v/>
      </c>
      <c r="E1059" s="6">
        <f>IFERROR(DATE(2000+VALUE(MID(H1059,FIND("15",H1059,FIND("01",H1059)+16)+2,2)),VALUE(MID(H1059,FIND("15",H1059,FIND("01",H1059)+16)+4,2)),VALUE(MID(H1059,FIND("15",H1059,FIND("01",H1059)+16)+6,2))),"")</f>
        <v/>
      </c>
      <c r="F1059" s="5">
        <f>IFERROR(MID(H1059,FIND("10",H1059,FIND("15",H1059,FIND("01",H1059)+16)+8)+2,50),"")</f>
        <v/>
      </c>
      <c r="G1059" s="5" t="n"/>
      <c r="H1059" s="5">
        <f>SUBSTITUTE(SUBSTITUTE(SUBSTITUTE(SUBSTITUTE(A1059,"(",""),")","")," ",""),CHAR(29),"")</f>
        <v/>
      </c>
    </row>
    <row r="1060">
      <c r="A1060" s="7" t="n"/>
      <c r="B1060" s="8">
        <f>IFERROR(MID(H1060,FIND("01",H1060)+2,14),"")</f>
        <v/>
      </c>
      <c r="C1060" s="7">
        <f>IF(A1060="","",IFERROR(VLOOKUP(B1060,TblArticles,2,FALSE),"GTIN inconnu"))</f>
        <v/>
      </c>
      <c r="D1060" s="8">
        <f>IF(A1060="","",IFERROR(VLOOKUP(B1060,TblArticles,3,FALSE),""))</f>
        <v/>
      </c>
      <c r="E1060" s="9">
        <f>IFERROR(DATE(2000+VALUE(MID(H1060,FIND("15",H1060,FIND("01",H1060)+16)+2,2)),VALUE(MID(H1060,FIND("15",H1060,FIND("01",H1060)+16)+4,2)),VALUE(MID(H1060,FIND("15",H1060,FIND("01",H1060)+16)+6,2))),"")</f>
        <v/>
      </c>
      <c r="F1060" s="8">
        <f>IFERROR(MID(H1060,FIND("10",H1060,FIND("15",H1060,FIND("01",H1060)+16)+8)+2,50),"")</f>
        <v/>
      </c>
      <c r="G1060" s="8" t="n"/>
      <c r="H1060" s="8">
        <f>SUBSTITUTE(SUBSTITUTE(SUBSTITUTE(SUBSTITUTE(A1060,"(",""),")","")," ",""),CHAR(29),"")</f>
        <v/>
      </c>
    </row>
    <row r="1061">
      <c r="A1061" s="4" t="n"/>
      <c r="B1061" s="5">
        <f>IFERROR(MID(H1061,FIND("01",H1061)+2,14),"")</f>
        <v/>
      </c>
      <c r="C1061" s="4">
        <f>IF(A1061="","",IFERROR(VLOOKUP(B1061,TblArticles,2,FALSE),"GTIN inconnu"))</f>
        <v/>
      </c>
      <c r="D1061" s="5">
        <f>IF(A1061="","",IFERROR(VLOOKUP(B1061,TblArticles,3,FALSE),""))</f>
        <v/>
      </c>
      <c r="E1061" s="6">
        <f>IFERROR(DATE(2000+VALUE(MID(H1061,FIND("15",H1061,FIND("01",H1061)+16)+2,2)),VALUE(MID(H1061,FIND("15",H1061,FIND("01",H1061)+16)+4,2)),VALUE(MID(H1061,FIND("15",H1061,FIND("01",H1061)+16)+6,2))),"")</f>
        <v/>
      </c>
      <c r="F1061" s="5">
        <f>IFERROR(MID(H1061,FIND("10",H1061,FIND("15",H1061,FIND("01",H1061)+16)+8)+2,50),"")</f>
        <v/>
      </c>
      <c r="G1061" s="5" t="n"/>
      <c r="H1061" s="5">
        <f>SUBSTITUTE(SUBSTITUTE(SUBSTITUTE(SUBSTITUTE(A1061,"(",""),")","")," ",""),CHAR(29),"")</f>
        <v/>
      </c>
    </row>
    <row r="1062">
      <c r="A1062" s="7" t="n"/>
      <c r="B1062" s="8">
        <f>IFERROR(MID(H1062,FIND("01",H1062)+2,14),"")</f>
        <v/>
      </c>
      <c r="C1062" s="7">
        <f>IF(A1062="","",IFERROR(VLOOKUP(B1062,TblArticles,2,FALSE),"GTIN inconnu"))</f>
        <v/>
      </c>
      <c r="D1062" s="8">
        <f>IF(A1062="","",IFERROR(VLOOKUP(B1062,TblArticles,3,FALSE),""))</f>
        <v/>
      </c>
      <c r="E1062" s="9">
        <f>IFERROR(DATE(2000+VALUE(MID(H1062,FIND("15",H1062,FIND("01",H1062)+16)+2,2)),VALUE(MID(H1062,FIND("15",H1062,FIND("01",H1062)+16)+4,2)),VALUE(MID(H1062,FIND("15",H1062,FIND("01",H1062)+16)+6,2))),"")</f>
        <v/>
      </c>
      <c r="F1062" s="8">
        <f>IFERROR(MID(H1062,FIND("10",H1062,FIND("15",H1062,FIND("01",H1062)+16)+8)+2,50),"")</f>
        <v/>
      </c>
      <c r="G1062" s="8" t="n"/>
      <c r="H1062" s="8">
        <f>SUBSTITUTE(SUBSTITUTE(SUBSTITUTE(SUBSTITUTE(A1062,"(",""),")","")," ",""),CHAR(29),"")</f>
        <v/>
      </c>
    </row>
    <row r="1063">
      <c r="A1063" s="4" t="n"/>
      <c r="B1063" s="5">
        <f>IFERROR(MID(H1063,FIND("01",H1063)+2,14),"")</f>
        <v/>
      </c>
      <c r="C1063" s="4">
        <f>IF(A1063="","",IFERROR(VLOOKUP(B1063,TblArticles,2,FALSE),"GTIN inconnu"))</f>
        <v/>
      </c>
      <c r="D1063" s="5">
        <f>IF(A1063="","",IFERROR(VLOOKUP(B1063,TblArticles,3,FALSE),""))</f>
        <v/>
      </c>
      <c r="E1063" s="6">
        <f>IFERROR(DATE(2000+VALUE(MID(H1063,FIND("15",H1063,FIND("01",H1063)+16)+2,2)),VALUE(MID(H1063,FIND("15",H1063,FIND("01",H1063)+16)+4,2)),VALUE(MID(H1063,FIND("15",H1063,FIND("01",H1063)+16)+6,2))),"")</f>
        <v/>
      </c>
      <c r="F1063" s="5">
        <f>IFERROR(MID(H1063,FIND("10",H1063,FIND("15",H1063,FIND("01",H1063)+16)+8)+2,50),"")</f>
        <v/>
      </c>
      <c r="G1063" s="5" t="n"/>
      <c r="H1063" s="5">
        <f>SUBSTITUTE(SUBSTITUTE(SUBSTITUTE(SUBSTITUTE(A1063,"(",""),")","")," ",""),CHAR(29),"")</f>
        <v/>
      </c>
    </row>
    <row r="1064">
      <c r="A1064" s="7" t="n"/>
      <c r="B1064" s="8">
        <f>IFERROR(MID(H1064,FIND("01",H1064)+2,14),"")</f>
        <v/>
      </c>
      <c r="C1064" s="7">
        <f>IF(A1064="","",IFERROR(VLOOKUP(B1064,TblArticles,2,FALSE),"GTIN inconnu"))</f>
        <v/>
      </c>
      <c r="D1064" s="8">
        <f>IF(A1064="","",IFERROR(VLOOKUP(B1064,TblArticles,3,FALSE),""))</f>
        <v/>
      </c>
      <c r="E1064" s="9">
        <f>IFERROR(DATE(2000+VALUE(MID(H1064,FIND("15",H1064,FIND("01",H1064)+16)+2,2)),VALUE(MID(H1064,FIND("15",H1064,FIND("01",H1064)+16)+4,2)),VALUE(MID(H1064,FIND("15",H1064,FIND("01",H1064)+16)+6,2))),"")</f>
        <v/>
      </c>
      <c r="F1064" s="8">
        <f>IFERROR(MID(H1064,FIND("10",H1064,FIND("15",H1064,FIND("01",H1064)+16)+8)+2,50),"")</f>
        <v/>
      </c>
      <c r="G1064" s="8" t="n"/>
      <c r="H1064" s="8">
        <f>SUBSTITUTE(SUBSTITUTE(SUBSTITUTE(SUBSTITUTE(A1064,"(",""),")","")," ",""),CHAR(29),"")</f>
        <v/>
      </c>
    </row>
    <row r="1065">
      <c r="A1065" s="4" t="n"/>
      <c r="B1065" s="5">
        <f>IFERROR(MID(H1065,FIND("01",H1065)+2,14),"")</f>
        <v/>
      </c>
      <c r="C1065" s="4">
        <f>IF(A1065="","",IFERROR(VLOOKUP(B1065,TblArticles,2,FALSE),"GTIN inconnu"))</f>
        <v/>
      </c>
      <c r="D1065" s="5">
        <f>IF(A1065="","",IFERROR(VLOOKUP(B1065,TblArticles,3,FALSE),""))</f>
        <v/>
      </c>
      <c r="E1065" s="6">
        <f>IFERROR(DATE(2000+VALUE(MID(H1065,FIND("15",H1065,FIND("01",H1065)+16)+2,2)),VALUE(MID(H1065,FIND("15",H1065,FIND("01",H1065)+16)+4,2)),VALUE(MID(H1065,FIND("15",H1065,FIND("01",H1065)+16)+6,2))),"")</f>
        <v/>
      </c>
      <c r="F1065" s="5">
        <f>IFERROR(MID(H1065,FIND("10",H1065,FIND("15",H1065,FIND("01",H1065)+16)+8)+2,50),"")</f>
        <v/>
      </c>
      <c r="G1065" s="5" t="n"/>
      <c r="H1065" s="5">
        <f>SUBSTITUTE(SUBSTITUTE(SUBSTITUTE(SUBSTITUTE(A1065,"(",""),")","")," ",""),CHAR(29),"")</f>
        <v/>
      </c>
    </row>
    <row r="1066">
      <c r="A1066" s="7" t="n"/>
      <c r="B1066" s="8">
        <f>IFERROR(MID(H1066,FIND("01",H1066)+2,14),"")</f>
        <v/>
      </c>
      <c r="C1066" s="7">
        <f>IF(A1066="","",IFERROR(VLOOKUP(B1066,TblArticles,2,FALSE),"GTIN inconnu"))</f>
        <v/>
      </c>
      <c r="D1066" s="8">
        <f>IF(A1066="","",IFERROR(VLOOKUP(B1066,TblArticles,3,FALSE),""))</f>
        <v/>
      </c>
      <c r="E1066" s="9">
        <f>IFERROR(DATE(2000+VALUE(MID(H1066,FIND("15",H1066,FIND("01",H1066)+16)+2,2)),VALUE(MID(H1066,FIND("15",H1066,FIND("01",H1066)+16)+4,2)),VALUE(MID(H1066,FIND("15",H1066,FIND("01",H1066)+16)+6,2))),"")</f>
        <v/>
      </c>
      <c r="F1066" s="8">
        <f>IFERROR(MID(H1066,FIND("10",H1066,FIND("15",H1066,FIND("01",H1066)+16)+8)+2,50),"")</f>
        <v/>
      </c>
      <c r="G1066" s="8" t="n"/>
      <c r="H1066" s="8">
        <f>SUBSTITUTE(SUBSTITUTE(SUBSTITUTE(SUBSTITUTE(A1066,"(",""),")","")," ",""),CHAR(29),"")</f>
        <v/>
      </c>
    </row>
    <row r="1067">
      <c r="A1067" s="4" t="n"/>
      <c r="B1067" s="5">
        <f>IFERROR(MID(H1067,FIND("01",H1067)+2,14),"")</f>
        <v/>
      </c>
      <c r="C1067" s="4">
        <f>IF(A1067="","",IFERROR(VLOOKUP(B1067,TblArticles,2,FALSE),"GTIN inconnu"))</f>
        <v/>
      </c>
      <c r="D1067" s="5">
        <f>IF(A1067="","",IFERROR(VLOOKUP(B1067,TblArticles,3,FALSE),""))</f>
        <v/>
      </c>
      <c r="E1067" s="6">
        <f>IFERROR(DATE(2000+VALUE(MID(H1067,FIND("15",H1067,FIND("01",H1067)+16)+2,2)),VALUE(MID(H1067,FIND("15",H1067,FIND("01",H1067)+16)+4,2)),VALUE(MID(H1067,FIND("15",H1067,FIND("01",H1067)+16)+6,2))),"")</f>
        <v/>
      </c>
      <c r="F1067" s="5">
        <f>IFERROR(MID(H1067,FIND("10",H1067,FIND("15",H1067,FIND("01",H1067)+16)+8)+2,50),"")</f>
        <v/>
      </c>
      <c r="G1067" s="5" t="n"/>
      <c r="H1067" s="5">
        <f>SUBSTITUTE(SUBSTITUTE(SUBSTITUTE(SUBSTITUTE(A1067,"(",""),")","")," ",""),CHAR(29),"")</f>
        <v/>
      </c>
    </row>
    <row r="1068">
      <c r="A1068" s="7" t="n"/>
      <c r="B1068" s="8">
        <f>IFERROR(MID(H1068,FIND("01",H1068)+2,14),"")</f>
        <v/>
      </c>
      <c r="C1068" s="7">
        <f>IF(A1068="","",IFERROR(VLOOKUP(B1068,TblArticles,2,FALSE),"GTIN inconnu"))</f>
        <v/>
      </c>
      <c r="D1068" s="8">
        <f>IF(A1068="","",IFERROR(VLOOKUP(B1068,TblArticles,3,FALSE),""))</f>
        <v/>
      </c>
      <c r="E1068" s="9">
        <f>IFERROR(DATE(2000+VALUE(MID(H1068,FIND("15",H1068,FIND("01",H1068)+16)+2,2)),VALUE(MID(H1068,FIND("15",H1068,FIND("01",H1068)+16)+4,2)),VALUE(MID(H1068,FIND("15",H1068,FIND("01",H1068)+16)+6,2))),"")</f>
        <v/>
      </c>
      <c r="F1068" s="8">
        <f>IFERROR(MID(H1068,FIND("10",H1068,FIND("15",H1068,FIND("01",H1068)+16)+8)+2,50),"")</f>
        <v/>
      </c>
      <c r="G1068" s="8" t="n"/>
      <c r="H1068" s="8">
        <f>SUBSTITUTE(SUBSTITUTE(SUBSTITUTE(SUBSTITUTE(A1068,"(",""),")","")," ",""),CHAR(29),"")</f>
        <v/>
      </c>
    </row>
    <row r="1069">
      <c r="A1069" s="4" t="n"/>
      <c r="B1069" s="5">
        <f>IFERROR(MID(H1069,FIND("01",H1069)+2,14),"")</f>
        <v/>
      </c>
      <c r="C1069" s="4">
        <f>IF(A1069="","",IFERROR(VLOOKUP(B1069,TblArticles,2,FALSE),"GTIN inconnu"))</f>
        <v/>
      </c>
      <c r="D1069" s="5">
        <f>IF(A1069="","",IFERROR(VLOOKUP(B1069,TblArticles,3,FALSE),""))</f>
        <v/>
      </c>
      <c r="E1069" s="6">
        <f>IFERROR(DATE(2000+VALUE(MID(H1069,FIND("15",H1069,FIND("01",H1069)+16)+2,2)),VALUE(MID(H1069,FIND("15",H1069,FIND("01",H1069)+16)+4,2)),VALUE(MID(H1069,FIND("15",H1069,FIND("01",H1069)+16)+6,2))),"")</f>
        <v/>
      </c>
      <c r="F1069" s="5">
        <f>IFERROR(MID(H1069,FIND("10",H1069,FIND("15",H1069,FIND("01",H1069)+16)+8)+2,50),"")</f>
        <v/>
      </c>
      <c r="G1069" s="5" t="n"/>
      <c r="H1069" s="5">
        <f>SUBSTITUTE(SUBSTITUTE(SUBSTITUTE(SUBSTITUTE(A1069,"(",""),")","")," ",""),CHAR(29),"")</f>
        <v/>
      </c>
    </row>
    <row r="1070">
      <c r="A1070" s="7" t="n"/>
      <c r="B1070" s="8">
        <f>IFERROR(MID(H1070,FIND("01",H1070)+2,14),"")</f>
        <v/>
      </c>
      <c r="C1070" s="7">
        <f>IF(A1070="","",IFERROR(VLOOKUP(B1070,TblArticles,2,FALSE),"GTIN inconnu"))</f>
        <v/>
      </c>
      <c r="D1070" s="8">
        <f>IF(A1070="","",IFERROR(VLOOKUP(B1070,TblArticles,3,FALSE),""))</f>
        <v/>
      </c>
      <c r="E1070" s="9">
        <f>IFERROR(DATE(2000+VALUE(MID(H1070,FIND("15",H1070,FIND("01",H1070)+16)+2,2)),VALUE(MID(H1070,FIND("15",H1070,FIND("01",H1070)+16)+4,2)),VALUE(MID(H1070,FIND("15",H1070,FIND("01",H1070)+16)+6,2))),"")</f>
        <v/>
      </c>
      <c r="F1070" s="8">
        <f>IFERROR(MID(H1070,FIND("10",H1070,FIND("15",H1070,FIND("01",H1070)+16)+8)+2,50),"")</f>
        <v/>
      </c>
      <c r="G1070" s="8" t="n"/>
      <c r="H1070" s="8">
        <f>SUBSTITUTE(SUBSTITUTE(SUBSTITUTE(SUBSTITUTE(A1070,"(",""),")","")," ",""),CHAR(29),"")</f>
        <v/>
      </c>
    </row>
    <row r="1071">
      <c r="A1071" s="4" t="n"/>
      <c r="B1071" s="5">
        <f>IFERROR(MID(H1071,FIND("01",H1071)+2,14),"")</f>
        <v/>
      </c>
      <c r="C1071" s="4">
        <f>IF(A1071="","",IFERROR(VLOOKUP(B1071,TblArticles,2,FALSE),"GTIN inconnu"))</f>
        <v/>
      </c>
      <c r="D1071" s="5">
        <f>IF(A1071="","",IFERROR(VLOOKUP(B1071,TblArticles,3,FALSE),""))</f>
        <v/>
      </c>
      <c r="E1071" s="6">
        <f>IFERROR(DATE(2000+VALUE(MID(H1071,FIND("15",H1071,FIND("01",H1071)+16)+2,2)),VALUE(MID(H1071,FIND("15",H1071,FIND("01",H1071)+16)+4,2)),VALUE(MID(H1071,FIND("15",H1071,FIND("01",H1071)+16)+6,2))),"")</f>
        <v/>
      </c>
      <c r="F1071" s="5">
        <f>IFERROR(MID(H1071,FIND("10",H1071,FIND("15",H1071,FIND("01",H1071)+16)+8)+2,50),"")</f>
        <v/>
      </c>
      <c r="G1071" s="5" t="n"/>
      <c r="H1071" s="5">
        <f>SUBSTITUTE(SUBSTITUTE(SUBSTITUTE(SUBSTITUTE(A1071,"(",""),")","")," ",""),CHAR(29),"")</f>
        <v/>
      </c>
    </row>
    <row r="1072">
      <c r="A1072" s="7" t="n"/>
      <c r="B1072" s="8">
        <f>IFERROR(MID(H1072,FIND("01",H1072)+2,14),"")</f>
        <v/>
      </c>
      <c r="C1072" s="7">
        <f>IF(A1072="","",IFERROR(VLOOKUP(B1072,TblArticles,2,FALSE),"GTIN inconnu"))</f>
        <v/>
      </c>
      <c r="D1072" s="8">
        <f>IF(A1072="","",IFERROR(VLOOKUP(B1072,TblArticles,3,FALSE),""))</f>
        <v/>
      </c>
      <c r="E1072" s="9">
        <f>IFERROR(DATE(2000+VALUE(MID(H1072,FIND("15",H1072,FIND("01",H1072)+16)+2,2)),VALUE(MID(H1072,FIND("15",H1072,FIND("01",H1072)+16)+4,2)),VALUE(MID(H1072,FIND("15",H1072,FIND("01",H1072)+16)+6,2))),"")</f>
        <v/>
      </c>
      <c r="F1072" s="8">
        <f>IFERROR(MID(H1072,FIND("10",H1072,FIND("15",H1072,FIND("01",H1072)+16)+8)+2,50),"")</f>
        <v/>
      </c>
      <c r="G1072" s="8" t="n"/>
      <c r="H1072" s="8">
        <f>SUBSTITUTE(SUBSTITUTE(SUBSTITUTE(SUBSTITUTE(A1072,"(",""),")","")," ",""),CHAR(29),"")</f>
        <v/>
      </c>
    </row>
    <row r="1073">
      <c r="A1073" s="4" t="n"/>
      <c r="B1073" s="5">
        <f>IFERROR(MID(H1073,FIND("01",H1073)+2,14),"")</f>
        <v/>
      </c>
      <c r="C1073" s="4">
        <f>IF(A1073="","",IFERROR(VLOOKUP(B1073,TblArticles,2,FALSE),"GTIN inconnu"))</f>
        <v/>
      </c>
      <c r="D1073" s="5">
        <f>IF(A1073="","",IFERROR(VLOOKUP(B1073,TblArticles,3,FALSE),""))</f>
        <v/>
      </c>
      <c r="E1073" s="6">
        <f>IFERROR(DATE(2000+VALUE(MID(H1073,FIND("15",H1073,FIND("01",H1073)+16)+2,2)),VALUE(MID(H1073,FIND("15",H1073,FIND("01",H1073)+16)+4,2)),VALUE(MID(H1073,FIND("15",H1073,FIND("01",H1073)+16)+6,2))),"")</f>
        <v/>
      </c>
      <c r="F1073" s="5">
        <f>IFERROR(MID(H1073,FIND("10",H1073,FIND("15",H1073,FIND("01",H1073)+16)+8)+2,50),"")</f>
        <v/>
      </c>
      <c r="G1073" s="5" t="n"/>
      <c r="H1073" s="5">
        <f>SUBSTITUTE(SUBSTITUTE(SUBSTITUTE(SUBSTITUTE(A1073,"(",""),")","")," ",""),CHAR(29),"")</f>
        <v/>
      </c>
    </row>
    <row r="1074">
      <c r="A1074" s="7" t="n"/>
      <c r="B1074" s="8">
        <f>IFERROR(MID(H1074,FIND("01",H1074)+2,14),"")</f>
        <v/>
      </c>
      <c r="C1074" s="7">
        <f>IF(A1074="","",IFERROR(VLOOKUP(B1074,TblArticles,2,FALSE),"GTIN inconnu"))</f>
        <v/>
      </c>
      <c r="D1074" s="8">
        <f>IF(A1074="","",IFERROR(VLOOKUP(B1074,TblArticles,3,FALSE),""))</f>
        <v/>
      </c>
      <c r="E1074" s="9">
        <f>IFERROR(DATE(2000+VALUE(MID(H1074,FIND("15",H1074,FIND("01",H1074)+16)+2,2)),VALUE(MID(H1074,FIND("15",H1074,FIND("01",H1074)+16)+4,2)),VALUE(MID(H1074,FIND("15",H1074,FIND("01",H1074)+16)+6,2))),"")</f>
        <v/>
      </c>
      <c r="F1074" s="8">
        <f>IFERROR(MID(H1074,FIND("10",H1074,FIND("15",H1074,FIND("01",H1074)+16)+8)+2,50),"")</f>
        <v/>
      </c>
      <c r="G1074" s="8" t="n"/>
      <c r="H1074" s="8">
        <f>SUBSTITUTE(SUBSTITUTE(SUBSTITUTE(SUBSTITUTE(A1074,"(",""),")","")," ",""),CHAR(29),"")</f>
        <v/>
      </c>
    </row>
    <row r="1075">
      <c r="A1075" s="4" t="n"/>
      <c r="B1075" s="5">
        <f>IFERROR(MID(H1075,FIND("01",H1075)+2,14),"")</f>
        <v/>
      </c>
      <c r="C1075" s="4">
        <f>IF(A1075="","",IFERROR(VLOOKUP(B1075,TblArticles,2,FALSE),"GTIN inconnu"))</f>
        <v/>
      </c>
      <c r="D1075" s="5">
        <f>IF(A1075="","",IFERROR(VLOOKUP(B1075,TblArticles,3,FALSE),""))</f>
        <v/>
      </c>
      <c r="E1075" s="6">
        <f>IFERROR(DATE(2000+VALUE(MID(H1075,FIND("15",H1075,FIND("01",H1075)+16)+2,2)),VALUE(MID(H1075,FIND("15",H1075,FIND("01",H1075)+16)+4,2)),VALUE(MID(H1075,FIND("15",H1075,FIND("01",H1075)+16)+6,2))),"")</f>
        <v/>
      </c>
      <c r="F1075" s="5">
        <f>IFERROR(MID(H1075,FIND("10",H1075,FIND("15",H1075,FIND("01",H1075)+16)+8)+2,50),"")</f>
        <v/>
      </c>
      <c r="G1075" s="5" t="n"/>
      <c r="H1075" s="5">
        <f>SUBSTITUTE(SUBSTITUTE(SUBSTITUTE(SUBSTITUTE(A1075,"(",""),")","")," ",""),CHAR(29),"")</f>
        <v/>
      </c>
    </row>
    <row r="1076">
      <c r="A1076" s="7" t="n"/>
      <c r="B1076" s="8">
        <f>IFERROR(MID(H1076,FIND("01",H1076)+2,14),"")</f>
        <v/>
      </c>
      <c r="C1076" s="7">
        <f>IF(A1076="","",IFERROR(VLOOKUP(B1076,TblArticles,2,FALSE),"GTIN inconnu"))</f>
        <v/>
      </c>
      <c r="D1076" s="8">
        <f>IF(A1076="","",IFERROR(VLOOKUP(B1076,TblArticles,3,FALSE),""))</f>
        <v/>
      </c>
      <c r="E1076" s="9">
        <f>IFERROR(DATE(2000+VALUE(MID(H1076,FIND("15",H1076,FIND("01",H1076)+16)+2,2)),VALUE(MID(H1076,FIND("15",H1076,FIND("01",H1076)+16)+4,2)),VALUE(MID(H1076,FIND("15",H1076,FIND("01",H1076)+16)+6,2))),"")</f>
        <v/>
      </c>
      <c r="F1076" s="8">
        <f>IFERROR(MID(H1076,FIND("10",H1076,FIND("15",H1076,FIND("01",H1076)+16)+8)+2,50),"")</f>
        <v/>
      </c>
      <c r="G1076" s="8" t="n"/>
      <c r="H1076" s="8">
        <f>SUBSTITUTE(SUBSTITUTE(SUBSTITUTE(SUBSTITUTE(A1076,"(",""),")","")," ",""),CHAR(29),"")</f>
        <v/>
      </c>
    </row>
    <row r="1077">
      <c r="A1077" s="4" t="n"/>
      <c r="B1077" s="5">
        <f>IFERROR(MID(H1077,FIND("01",H1077)+2,14),"")</f>
        <v/>
      </c>
      <c r="C1077" s="4">
        <f>IF(A1077="","",IFERROR(VLOOKUP(B1077,TblArticles,2,FALSE),"GTIN inconnu"))</f>
        <v/>
      </c>
      <c r="D1077" s="5">
        <f>IF(A1077="","",IFERROR(VLOOKUP(B1077,TblArticles,3,FALSE),""))</f>
        <v/>
      </c>
      <c r="E1077" s="6">
        <f>IFERROR(DATE(2000+VALUE(MID(H1077,FIND("15",H1077,FIND("01",H1077)+16)+2,2)),VALUE(MID(H1077,FIND("15",H1077,FIND("01",H1077)+16)+4,2)),VALUE(MID(H1077,FIND("15",H1077,FIND("01",H1077)+16)+6,2))),"")</f>
        <v/>
      </c>
      <c r="F1077" s="5">
        <f>IFERROR(MID(H1077,FIND("10",H1077,FIND("15",H1077,FIND("01",H1077)+16)+8)+2,50),"")</f>
        <v/>
      </c>
      <c r="G1077" s="5" t="n"/>
      <c r="H1077" s="5">
        <f>SUBSTITUTE(SUBSTITUTE(SUBSTITUTE(SUBSTITUTE(A1077,"(",""),")","")," ",""),CHAR(29),"")</f>
        <v/>
      </c>
    </row>
    <row r="1078">
      <c r="A1078" s="7" t="n"/>
      <c r="B1078" s="8">
        <f>IFERROR(MID(H1078,FIND("01",H1078)+2,14),"")</f>
        <v/>
      </c>
      <c r="C1078" s="7">
        <f>IF(A1078="","",IFERROR(VLOOKUP(B1078,TblArticles,2,FALSE),"GTIN inconnu"))</f>
        <v/>
      </c>
      <c r="D1078" s="8">
        <f>IF(A1078="","",IFERROR(VLOOKUP(B1078,TblArticles,3,FALSE),""))</f>
        <v/>
      </c>
      <c r="E1078" s="9">
        <f>IFERROR(DATE(2000+VALUE(MID(H1078,FIND("15",H1078,FIND("01",H1078)+16)+2,2)),VALUE(MID(H1078,FIND("15",H1078,FIND("01",H1078)+16)+4,2)),VALUE(MID(H1078,FIND("15",H1078,FIND("01",H1078)+16)+6,2))),"")</f>
        <v/>
      </c>
      <c r="F1078" s="8">
        <f>IFERROR(MID(H1078,FIND("10",H1078,FIND("15",H1078,FIND("01",H1078)+16)+8)+2,50),"")</f>
        <v/>
      </c>
      <c r="G1078" s="8" t="n"/>
      <c r="H1078" s="8">
        <f>SUBSTITUTE(SUBSTITUTE(SUBSTITUTE(SUBSTITUTE(A1078,"(",""),")","")," ",""),CHAR(29),"")</f>
        <v/>
      </c>
    </row>
    <row r="1079">
      <c r="A1079" s="4" t="n"/>
      <c r="B1079" s="5">
        <f>IFERROR(MID(H1079,FIND("01",H1079)+2,14),"")</f>
        <v/>
      </c>
      <c r="C1079" s="4">
        <f>IF(A1079="","",IFERROR(VLOOKUP(B1079,TblArticles,2,FALSE),"GTIN inconnu"))</f>
        <v/>
      </c>
      <c r="D1079" s="5">
        <f>IF(A1079="","",IFERROR(VLOOKUP(B1079,TblArticles,3,FALSE),""))</f>
        <v/>
      </c>
      <c r="E1079" s="6">
        <f>IFERROR(DATE(2000+VALUE(MID(H1079,FIND("15",H1079,FIND("01",H1079)+16)+2,2)),VALUE(MID(H1079,FIND("15",H1079,FIND("01",H1079)+16)+4,2)),VALUE(MID(H1079,FIND("15",H1079,FIND("01",H1079)+16)+6,2))),"")</f>
        <v/>
      </c>
      <c r="F1079" s="5">
        <f>IFERROR(MID(H1079,FIND("10",H1079,FIND("15",H1079,FIND("01",H1079)+16)+8)+2,50),"")</f>
        <v/>
      </c>
      <c r="G1079" s="5" t="n"/>
      <c r="H1079" s="5">
        <f>SUBSTITUTE(SUBSTITUTE(SUBSTITUTE(SUBSTITUTE(A1079,"(",""),")","")," ",""),CHAR(29),"")</f>
        <v/>
      </c>
    </row>
    <row r="1080">
      <c r="A1080" s="7" t="n"/>
      <c r="B1080" s="8">
        <f>IFERROR(MID(H1080,FIND("01",H1080)+2,14),"")</f>
        <v/>
      </c>
      <c r="C1080" s="7">
        <f>IF(A1080="","",IFERROR(VLOOKUP(B1080,TblArticles,2,FALSE),"GTIN inconnu"))</f>
        <v/>
      </c>
      <c r="D1080" s="8">
        <f>IF(A1080="","",IFERROR(VLOOKUP(B1080,TblArticles,3,FALSE),""))</f>
        <v/>
      </c>
      <c r="E1080" s="9">
        <f>IFERROR(DATE(2000+VALUE(MID(H1080,FIND("15",H1080,FIND("01",H1080)+16)+2,2)),VALUE(MID(H1080,FIND("15",H1080,FIND("01",H1080)+16)+4,2)),VALUE(MID(H1080,FIND("15",H1080,FIND("01",H1080)+16)+6,2))),"")</f>
        <v/>
      </c>
      <c r="F1080" s="8">
        <f>IFERROR(MID(H1080,FIND("10",H1080,FIND("15",H1080,FIND("01",H1080)+16)+8)+2,50),"")</f>
        <v/>
      </c>
      <c r="G1080" s="8" t="n"/>
      <c r="H1080" s="8">
        <f>SUBSTITUTE(SUBSTITUTE(SUBSTITUTE(SUBSTITUTE(A1080,"(",""),")","")," ",""),CHAR(29),"")</f>
        <v/>
      </c>
    </row>
    <row r="1081">
      <c r="A1081" s="4" t="n"/>
      <c r="B1081" s="5">
        <f>IFERROR(MID(H1081,FIND("01",H1081)+2,14),"")</f>
        <v/>
      </c>
      <c r="C1081" s="4">
        <f>IF(A1081="","",IFERROR(VLOOKUP(B1081,TblArticles,2,FALSE),"GTIN inconnu"))</f>
        <v/>
      </c>
      <c r="D1081" s="5">
        <f>IF(A1081="","",IFERROR(VLOOKUP(B1081,TblArticles,3,FALSE),""))</f>
        <v/>
      </c>
      <c r="E1081" s="6">
        <f>IFERROR(DATE(2000+VALUE(MID(H1081,FIND("15",H1081,FIND("01",H1081)+16)+2,2)),VALUE(MID(H1081,FIND("15",H1081,FIND("01",H1081)+16)+4,2)),VALUE(MID(H1081,FIND("15",H1081,FIND("01",H1081)+16)+6,2))),"")</f>
        <v/>
      </c>
      <c r="F1081" s="5">
        <f>IFERROR(MID(H1081,FIND("10",H1081,FIND("15",H1081,FIND("01",H1081)+16)+8)+2,50),"")</f>
        <v/>
      </c>
      <c r="G1081" s="5" t="n"/>
      <c r="H1081" s="5">
        <f>SUBSTITUTE(SUBSTITUTE(SUBSTITUTE(SUBSTITUTE(A1081,"(",""),")","")," ",""),CHAR(29),"")</f>
        <v/>
      </c>
    </row>
    <row r="1082">
      <c r="A1082" s="7" t="n"/>
      <c r="B1082" s="8">
        <f>IFERROR(MID(H1082,FIND("01",H1082)+2,14),"")</f>
        <v/>
      </c>
      <c r="C1082" s="7">
        <f>IF(A1082="","",IFERROR(VLOOKUP(B1082,TblArticles,2,FALSE),"GTIN inconnu"))</f>
        <v/>
      </c>
      <c r="D1082" s="8">
        <f>IF(A1082="","",IFERROR(VLOOKUP(B1082,TblArticles,3,FALSE),""))</f>
        <v/>
      </c>
      <c r="E1082" s="9">
        <f>IFERROR(DATE(2000+VALUE(MID(H1082,FIND("15",H1082,FIND("01",H1082)+16)+2,2)),VALUE(MID(H1082,FIND("15",H1082,FIND("01",H1082)+16)+4,2)),VALUE(MID(H1082,FIND("15",H1082,FIND("01",H1082)+16)+6,2))),"")</f>
        <v/>
      </c>
      <c r="F1082" s="8">
        <f>IFERROR(MID(H1082,FIND("10",H1082,FIND("15",H1082,FIND("01",H1082)+16)+8)+2,50),"")</f>
        <v/>
      </c>
      <c r="G1082" s="8" t="n"/>
      <c r="H1082" s="8">
        <f>SUBSTITUTE(SUBSTITUTE(SUBSTITUTE(SUBSTITUTE(A1082,"(",""),")","")," ",""),CHAR(29),"")</f>
        <v/>
      </c>
    </row>
    <row r="1083">
      <c r="A1083" s="4" t="n"/>
      <c r="B1083" s="5">
        <f>IFERROR(MID(H1083,FIND("01",H1083)+2,14),"")</f>
        <v/>
      </c>
      <c r="C1083" s="4">
        <f>IF(A1083="","",IFERROR(VLOOKUP(B1083,TblArticles,2,FALSE),"GTIN inconnu"))</f>
        <v/>
      </c>
      <c r="D1083" s="5">
        <f>IF(A1083="","",IFERROR(VLOOKUP(B1083,TblArticles,3,FALSE),""))</f>
        <v/>
      </c>
      <c r="E1083" s="6">
        <f>IFERROR(DATE(2000+VALUE(MID(H1083,FIND("15",H1083,FIND("01",H1083)+16)+2,2)),VALUE(MID(H1083,FIND("15",H1083,FIND("01",H1083)+16)+4,2)),VALUE(MID(H1083,FIND("15",H1083,FIND("01",H1083)+16)+6,2))),"")</f>
        <v/>
      </c>
      <c r="F1083" s="5">
        <f>IFERROR(MID(H1083,FIND("10",H1083,FIND("15",H1083,FIND("01",H1083)+16)+8)+2,50),"")</f>
        <v/>
      </c>
      <c r="G1083" s="5" t="n"/>
      <c r="H1083" s="5">
        <f>SUBSTITUTE(SUBSTITUTE(SUBSTITUTE(SUBSTITUTE(A1083,"(",""),")","")," ",""),CHAR(29),"")</f>
        <v/>
      </c>
    </row>
    <row r="1084">
      <c r="A1084" s="7" t="n"/>
      <c r="B1084" s="8">
        <f>IFERROR(MID(H1084,FIND("01",H1084)+2,14),"")</f>
        <v/>
      </c>
      <c r="C1084" s="7">
        <f>IF(A1084="","",IFERROR(VLOOKUP(B1084,TblArticles,2,FALSE),"GTIN inconnu"))</f>
        <v/>
      </c>
      <c r="D1084" s="8">
        <f>IF(A1084="","",IFERROR(VLOOKUP(B1084,TblArticles,3,FALSE),""))</f>
        <v/>
      </c>
      <c r="E1084" s="9">
        <f>IFERROR(DATE(2000+VALUE(MID(H1084,FIND("15",H1084,FIND("01",H1084)+16)+2,2)),VALUE(MID(H1084,FIND("15",H1084,FIND("01",H1084)+16)+4,2)),VALUE(MID(H1084,FIND("15",H1084,FIND("01",H1084)+16)+6,2))),"")</f>
        <v/>
      </c>
      <c r="F1084" s="8">
        <f>IFERROR(MID(H1084,FIND("10",H1084,FIND("15",H1084,FIND("01",H1084)+16)+8)+2,50),"")</f>
        <v/>
      </c>
      <c r="G1084" s="8" t="n"/>
      <c r="H1084" s="8">
        <f>SUBSTITUTE(SUBSTITUTE(SUBSTITUTE(SUBSTITUTE(A1084,"(",""),")","")," ",""),CHAR(29),"")</f>
        <v/>
      </c>
    </row>
    <row r="1085">
      <c r="A1085" s="4" t="n"/>
      <c r="B1085" s="5">
        <f>IFERROR(MID(H1085,FIND("01",H1085)+2,14),"")</f>
        <v/>
      </c>
      <c r="C1085" s="4">
        <f>IF(A1085="","",IFERROR(VLOOKUP(B1085,TblArticles,2,FALSE),"GTIN inconnu"))</f>
        <v/>
      </c>
      <c r="D1085" s="5">
        <f>IF(A1085="","",IFERROR(VLOOKUP(B1085,TblArticles,3,FALSE),""))</f>
        <v/>
      </c>
      <c r="E1085" s="6">
        <f>IFERROR(DATE(2000+VALUE(MID(H1085,FIND("15",H1085,FIND("01",H1085)+16)+2,2)),VALUE(MID(H1085,FIND("15",H1085,FIND("01",H1085)+16)+4,2)),VALUE(MID(H1085,FIND("15",H1085,FIND("01",H1085)+16)+6,2))),"")</f>
        <v/>
      </c>
      <c r="F1085" s="5">
        <f>IFERROR(MID(H1085,FIND("10",H1085,FIND("15",H1085,FIND("01",H1085)+16)+8)+2,50),"")</f>
        <v/>
      </c>
      <c r="G1085" s="5" t="n"/>
      <c r="H1085" s="5">
        <f>SUBSTITUTE(SUBSTITUTE(SUBSTITUTE(SUBSTITUTE(A1085,"(",""),")","")," ",""),CHAR(29),"")</f>
        <v/>
      </c>
    </row>
    <row r="1086">
      <c r="A1086" s="7" t="n"/>
      <c r="B1086" s="8">
        <f>IFERROR(MID(H1086,FIND("01",H1086)+2,14),"")</f>
        <v/>
      </c>
      <c r="C1086" s="7">
        <f>IF(A1086="","",IFERROR(VLOOKUP(B1086,TblArticles,2,FALSE),"GTIN inconnu"))</f>
        <v/>
      </c>
      <c r="D1086" s="8">
        <f>IF(A1086="","",IFERROR(VLOOKUP(B1086,TblArticles,3,FALSE),""))</f>
        <v/>
      </c>
      <c r="E1086" s="9">
        <f>IFERROR(DATE(2000+VALUE(MID(H1086,FIND("15",H1086,FIND("01",H1086)+16)+2,2)),VALUE(MID(H1086,FIND("15",H1086,FIND("01",H1086)+16)+4,2)),VALUE(MID(H1086,FIND("15",H1086,FIND("01",H1086)+16)+6,2))),"")</f>
        <v/>
      </c>
      <c r="F1086" s="8">
        <f>IFERROR(MID(H1086,FIND("10",H1086,FIND("15",H1086,FIND("01",H1086)+16)+8)+2,50),"")</f>
        <v/>
      </c>
      <c r="G1086" s="8" t="n"/>
      <c r="H1086" s="8">
        <f>SUBSTITUTE(SUBSTITUTE(SUBSTITUTE(SUBSTITUTE(A1086,"(",""),")","")," ",""),CHAR(29),"")</f>
        <v/>
      </c>
    </row>
    <row r="1087">
      <c r="A1087" s="4" t="n"/>
      <c r="B1087" s="5">
        <f>IFERROR(MID(H1087,FIND("01",H1087)+2,14),"")</f>
        <v/>
      </c>
      <c r="C1087" s="4">
        <f>IF(A1087="","",IFERROR(VLOOKUP(B1087,TblArticles,2,FALSE),"GTIN inconnu"))</f>
        <v/>
      </c>
      <c r="D1087" s="5">
        <f>IF(A1087="","",IFERROR(VLOOKUP(B1087,TblArticles,3,FALSE),""))</f>
        <v/>
      </c>
      <c r="E1087" s="6">
        <f>IFERROR(DATE(2000+VALUE(MID(H1087,FIND("15",H1087,FIND("01",H1087)+16)+2,2)),VALUE(MID(H1087,FIND("15",H1087,FIND("01",H1087)+16)+4,2)),VALUE(MID(H1087,FIND("15",H1087,FIND("01",H1087)+16)+6,2))),"")</f>
        <v/>
      </c>
      <c r="F1087" s="5">
        <f>IFERROR(MID(H1087,FIND("10",H1087,FIND("15",H1087,FIND("01",H1087)+16)+8)+2,50),"")</f>
        <v/>
      </c>
      <c r="G1087" s="5" t="n"/>
      <c r="H1087" s="5">
        <f>SUBSTITUTE(SUBSTITUTE(SUBSTITUTE(SUBSTITUTE(A1087,"(",""),")","")," ",""),CHAR(29),"")</f>
        <v/>
      </c>
    </row>
    <row r="1088">
      <c r="A1088" s="7" t="n"/>
      <c r="B1088" s="8">
        <f>IFERROR(MID(H1088,FIND("01",H1088)+2,14),"")</f>
        <v/>
      </c>
      <c r="C1088" s="7">
        <f>IF(A1088="","",IFERROR(VLOOKUP(B1088,TblArticles,2,FALSE),"GTIN inconnu"))</f>
        <v/>
      </c>
      <c r="D1088" s="8">
        <f>IF(A1088="","",IFERROR(VLOOKUP(B1088,TblArticles,3,FALSE),""))</f>
        <v/>
      </c>
      <c r="E1088" s="9">
        <f>IFERROR(DATE(2000+VALUE(MID(H1088,FIND("15",H1088,FIND("01",H1088)+16)+2,2)),VALUE(MID(H1088,FIND("15",H1088,FIND("01",H1088)+16)+4,2)),VALUE(MID(H1088,FIND("15",H1088,FIND("01",H1088)+16)+6,2))),"")</f>
        <v/>
      </c>
      <c r="F1088" s="8">
        <f>IFERROR(MID(H1088,FIND("10",H1088,FIND("15",H1088,FIND("01",H1088)+16)+8)+2,50),"")</f>
        <v/>
      </c>
      <c r="G1088" s="8" t="n"/>
      <c r="H1088" s="8">
        <f>SUBSTITUTE(SUBSTITUTE(SUBSTITUTE(SUBSTITUTE(A1088,"(",""),")","")," ",""),CHAR(29),"")</f>
        <v/>
      </c>
    </row>
    <row r="1089">
      <c r="A1089" s="4" t="n"/>
      <c r="B1089" s="5">
        <f>IFERROR(MID(H1089,FIND("01",H1089)+2,14),"")</f>
        <v/>
      </c>
      <c r="C1089" s="4">
        <f>IF(A1089="","",IFERROR(VLOOKUP(B1089,TblArticles,2,FALSE),"GTIN inconnu"))</f>
        <v/>
      </c>
      <c r="D1089" s="5">
        <f>IF(A1089="","",IFERROR(VLOOKUP(B1089,TblArticles,3,FALSE),""))</f>
        <v/>
      </c>
      <c r="E1089" s="6">
        <f>IFERROR(DATE(2000+VALUE(MID(H1089,FIND("15",H1089,FIND("01",H1089)+16)+2,2)),VALUE(MID(H1089,FIND("15",H1089,FIND("01",H1089)+16)+4,2)),VALUE(MID(H1089,FIND("15",H1089,FIND("01",H1089)+16)+6,2))),"")</f>
        <v/>
      </c>
      <c r="F1089" s="5">
        <f>IFERROR(MID(H1089,FIND("10",H1089,FIND("15",H1089,FIND("01",H1089)+16)+8)+2,50),"")</f>
        <v/>
      </c>
      <c r="G1089" s="5" t="n"/>
      <c r="H1089" s="5">
        <f>SUBSTITUTE(SUBSTITUTE(SUBSTITUTE(SUBSTITUTE(A1089,"(",""),")","")," ",""),CHAR(29),"")</f>
        <v/>
      </c>
    </row>
    <row r="1090">
      <c r="A1090" s="7" t="n"/>
      <c r="B1090" s="8">
        <f>IFERROR(MID(H1090,FIND("01",H1090)+2,14),"")</f>
        <v/>
      </c>
      <c r="C1090" s="7">
        <f>IF(A1090="","",IFERROR(VLOOKUP(B1090,TblArticles,2,FALSE),"GTIN inconnu"))</f>
        <v/>
      </c>
      <c r="D1090" s="8">
        <f>IF(A1090="","",IFERROR(VLOOKUP(B1090,TblArticles,3,FALSE),""))</f>
        <v/>
      </c>
      <c r="E1090" s="9">
        <f>IFERROR(DATE(2000+VALUE(MID(H1090,FIND("15",H1090,FIND("01",H1090)+16)+2,2)),VALUE(MID(H1090,FIND("15",H1090,FIND("01",H1090)+16)+4,2)),VALUE(MID(H1090,FIND("15",H1090,FIND("01",H1090)+16)+6,2))),"")</f>
        <v/>
      </c>
      <c r="F1090" s="8">
        <f>IFERROR(MID(H1090,FIND("10",H1090,FIND("15",H1090,FIND("01",H1090)+16)+8)+2,50),"")</f>
        <v/>
      </c>
      <c r="G1090" s="8" t="n"/>
      <c r="H1090" s="8">
        <f>SUBSTITUTE(SUBSTITUTE(SUBSTITUTE(SUBSTITUTE(A1090,"(",""),")","")," ",""),CHAR(29),"")</f>
        <v/>
      </c>
    </row>
    <row r="1091">
      <c r="A1091" s="4" t="n"/>
      <c r="B1091" s="5">
        <f>IFERROR(MID(H1091,FIND("01",H1091)+2,14),"")</f>
        <v/>
      </c>
      <c r="C1091" s="4">
        <f>IF(A1091="","",IFERROR(VLOOKUP(B1091,TblArticles,2,FALSE),"GTIN inconnu"))</f>
        <v/>
      </c>
      <c r="D1091" s="5">
        <f>IF(A1091="","",IFERROR(VLOOKUP(B1091,TblArticles,3,FALSE),""))</f>
        <v/>
      </c>
      <c r="E1091" s="6">
        <f>IFERROR(DATE(2000+VALUE(MID(H1091,FIND("15",H1091,FIND("01",H1091)+16)+2,2)),VALUE(MID(H1091,FIND("15",H1091,FIND("01",H1091)+16)+4,2)),VALUE(MID(H1091,FIND("15",H1091,FIND("01",H1091)+16)+6,2))),"")</f>
        <v/>
      </c>
      <c r="F1091" s="5">
        <f>IFERROR(MID(H1091,FIND("10",H1091,FIND("15",H1091,FIND("01",H1091)+16)+8)+2,50),"")</f>
        <v/>
      </c>
      <c r="G1091" s="5" t="n"/>
      <c r="H1091" s="5">
        <f>SUBSTITUTE(SUBSTITUTE(SUBSTITUTE(SUBSTITUTE(A1091,"(",""),")","")," ",""),CHAR(29),"")</f>
        <v/>
      </c>
    </row>
    <row r="1092">
      <c r="A1092" s="7" t="n"/>
      <c r="B1092" s="8">
        <f>IFERROR(MID(H1092,FIND("01",H1092)+2,14),"")</f>
        <v/>
      </c>
      <c r="C1092" s="7">
        <f>IF(A1092="","",IFERROR(VLOOKUP(B1092,TblArticles,2,FALSE),"GTIN inconnu"))</f>
        <v/>
      </c>
      <c r="D1092" s="8">
        <f>IF(A1092="","",IFERROR(VLOOKUP(B1092,TblArticles,3,FALSE),""))</f>
        <v/>
      </c>
      <c r="E1092" s="9">
        <f>IFERROR(DATE(2000+VALUE(MID(H1092,FIND("15",H1092,FIND("01",H1092)+16)+2,2)),VALUE(MID(H1092,FIND("15",H1092,FIND("01",H1092)+16)+4,2)),VALUE(MID(H1092,FIND("15",H1092,FIND("01",H1092)+16)+6,2))),"")</f>
        <v/>
      </c>
      <c r="F1092" s="8">
        <f>IFERROR(MID(H1092,FIND("10",H1092,FIND("15",H1092,FIND("01",H1092)+16)+8)+2,50),"")</f>
        <v/>
      </c>
      <c r="G1092" s="8" t="n"/>
      <c r="H1092" s="8">
        <f>SUBSTITUTE(SUBSTITUTE(SUBSTITUTE(SUBSTITUTE(A1092,"(",""),")","")," ",""),CHAR(29),"")</f>
        <v/>
      </c>
    </row>
    <row r="1093">
      <c r="A1093" s="4" t="n"/>
      <c r="B1093" s="5">
        <f>IFERROR(MID(H1093,FIND("01",H1093)+2,14),"")</f>
        <v/>
      </c>
      <c r="C1093" s="4">
        <f>IF(A1093="","",IFERROR(VLOOKUP(B1093,TblArticles,2,FALSE),"GTIN inconnu"))</f>
        <v/>
      </c>
      <c r="D1093" s="5">
        <f>IF(A1093="","",IFERROR(VLOOKUP(B1093,TblArticles,3,FALSE),""))</f>
        <v/>
      </c>
      <c r="E1093" s="6">
        <f>IFERROR(DATE(2000+VALUE(MID(H1093,FIND("15",H1093,FIND("01",H1093)+16)+2,2)),VALUE(MID(H1093,FIND("15",H1093,FIND("01",H1093)+16)+4,2)),VALUE(MID(H1093,FIND("15",H1093,FIND("01",H1093)+16)+6,2))),"")</f>
        <v/>
      </c>
      <c r="F1093" s="5">
        <f>IFERROR(MID(H1093,FIND("10",H1093,FIND("15",H1093,FIND("01",H1093)+16)+8)+2,50),"")</f>
        <v/>
      </c>
      <c r="G1093" s="5" t="n"/>
      <c r="H1093" s="5">
        <f>SUBSTITUTE(SUBSTITUTE(SUBSTITUTE(SUBSTITUTE(A1093,"(",""),")","")," ",""),CHAR(29),"")</f>
        <v/>
      </c>
    </row>
    <row r="1094">
      <c r="A1094" s="7" t="n"/>
      <c r="B1094" s="8">
        <f>IFERROR(MID(H1094,FIND("01",H1094)+2,14),"")</f>
        <v/>
      </c>
      <c r="C1094" s="7">
        <f>IF(A1094="","",IFERROR(VLOOKUP(B1094,TblArticles,2,FALSE),"GTIN inconnu"))</f>
        <v/>
      </c>
      <c r="D1094" s="8">
        <f>IF(A1094="","",IFERROR(VLOOKUP(B1094,TblArticles,3,FALSE),""))</f>
        <v/>
      </c>
      <c r="E1094" s="9">
        <f>IFERROR(DATE(2000+VALUE(MID(H1094,FIND("15",H1094,FIND("01",H1094)+16)+2,2)),VALUE(MID(H1094,FIND("15",H1094,FIND("01",H1094)+16)+4,2)),VALUE(MID(H1094,FIND("15",H1094,FIND("01",H1094)+16)+6,2))),"")</f>
        <v/>
      </c>
      <c r="F1094" s="8">
        <f>IFERROR(MID(H1094,FIND("10",H1094,FIND("15",H1094,FIND("01",H1094)+16)+8)+2,50),"")</f>
        <v/>
      </c>
      <c r="G1094" s="8" t="n"/>
      <c r="H1094" s="8">
        <f>SUBSTITUTE(SUBSTITUTE(SUBSTITUTE(SUBSTITUTE(A1094,"(",""),")","")," ",""),CHAR(29),"")</f>
        <v/>
      </c>
    </row>
    <row r="1095">
      <c r="A1095" s="4" t="n"/>
      <c r="B1095" s="5">
        <f>IFERROR(MID(H1095,FIND("01",H1095)+2,14),"")</f>
        <v/>
      </c>
      <c r="C1095" s="4">
        <f>IF(A1095="","",IFERROR(VLOOKUP(B1095,TblArticles,2,FALSE),"GTIN inconnu"))</f>
        <v/>
      </c>
      <c r="D1095" s="5">
        <f>IF(A1095="","",IFERROR(VLOOKUP(B1095,TblArticles,3,FALSE),""))</f>
        <v/>
      </c>
      <c r="E1095" s="6">
        <f>IFERROR(DATE(2000+VALUE(MID(H1095,FIND("15",H1095,FIND("01",H1095)+16)+2,2)),VALUE(MID(H1095,FIND("15",H1095,FIND("01",H1095)+16)+4,2)),VALUE(MID(H1095,FIND("15",H1095,FIND("01",H1095)+16)+6,2))),"")</f>
        <v/>
      </c>
      <c r="F1095" s="5">
        <f>IFERROR(MID(H1095,FIND("10",H1095,FIND("15",H1095,FIND("01",H1095)+16)+8)+2,50),"")</f>
        <v/>
      </c>
      <c r="G1095" s="5" t="n"/>
      <c r="H1095" s="5">
        <f>SUBSTITUTE(SUBSTITUTE(SUBSTITUTE(SUBSTITUTE(A1095,"(",""),")","")," ",""),CHAR(29),"")</f>
        <v/>
      </c>
    </row>
    <row r="1096">
      <c r="A1096" s="7" t="n"/>
      <c r="B1096" s="8">
        <f>IFERROR(MID(H1096,FIND("01",H1096)+2,14),"")</f>
        <v/>
      </c>
      <c r="C1096" s="7">
        <f>IF(A1096="","",IFERROR(VLOOKUP(B1096,TblArticles,2,FALSE),"GTIN inconnu"))</f>
        <v/>
      </c>
      <c r="D1096" s="8">
        <f>IF(A1096="","",IFERROR(VLOOKUP(B1096,TblArticles,3,FALSE),""))</f>
        <v/>
      </c>
      <c r="E1096" s="9">
        <f>IFERROR(DATE(2000+VALUE(MID(H1096,FIND("15",H1096,FIND("01",H1096)+16)+2,2)),VALUE(MID(H1096,FIND("15",H1096,FIND("01",H1096)+16)+4,2)),VALUE(MID(H1096,FIND("15",H1096,FIND("01",H1096)+16)+6,2))),"")</f>
        <v/>
      </c>
      <c r="F1096" s="8">
        <f>IFERROR(MID(H1096,FIND("10",H1096,FIND("15",H1096,FIND("01",H1096)+16)+8)+2,50),"")</f>
        <v/>
      </c>
      <c r="G1096" s="8" t="n"/>
      <c r="H1096" s="8">
        <f>SUBSTITUTE(SUBSTITUTE(SUBSTITUTE(SUBSTITUTE(A1096,"(",""),")","")," ",""),CHAR(29),"")</f>
        <v/>
      </c>
    </row>
    <row r="1097">
      <c r="A1097" s="4" t="n"/>
      <c r="B1097" s="5">
        <f>IFERROR(MID(H1097,FIND("01",H1097)+2,14),"")</f>
        <v/>
      </c>
      <c r="C1097" s="4">
        <f>IF(A1097="","",IFERROR(VLOOKUP(B1097,TblArticles,2,FALSE),"GTIN inconnu"))</f>
        <v/>
      </c>
      <c r="D1097" s="5">
        <f>IF(A1097="","",IFERROR(VLOOKUP(B1097,TblArticles,3,FALSE),""))</f>
        <v/>
      </c>
      <c r="E1097" s="6">
        <f>IFERROR(DATE(2000+VALUE(MID(H1097,FIND("15",H1097,FIND("01",H1097)+16)+2,2)),VALUE(MID(H1097,FIND("15",H1097,FIND("01",H1097)+16)+4,2)),VALUE(MID(H1097,FIND("15",H1097,FIND("01",H1097)+16)+6,2))),"")</f>
        <v/>
      </c>
      <c r="F1097" s="5">
        <f>IFERROR(MID(H1097,FIND("10",H1097,FIND("15",H1097,FIND("01",H1097)+16)+8)+2,50),"")</f>
        <v/>
      </c>
      <c r="G1097" s="5" t="n"/>
      <c r="H1097" s="5">
        <f>SUBSTITUTE(SUBSTITUTE(SUBSTITUTE(SUBSTITUTE(A1097,"(",""),")","")," ",""),CHAR(29),"")</f>
        <v/>
      </c>
    </row>
    <row r="1098">
      <c r="A1098" s="7" t="n"/>
      <c r="B1098" s="8">
        <f>IFERROR(MID(H1098,FIND("01",H1098)+2,14),"")</f>
        <v/>
      </c>
      <c r="C1098" s="7">
        <f>IF(A1098="","",IFERROR(VLOOKUP(B1098,TblArticles,2,FALSE),"GTIN inconnu"))</f>
        <v/>
      </c>
      <c r="D1098" s="8">
        <f>IF(A1098="","",IFERROR(VLOOKUP(B1098,TblArticles,3,FALSE),""))</f>
        <v/>
      </c>
      <c r="E1098" s="9">
        <f>IFERROR(DATE(2000+VALUE(MID(H1098,FIND("15",H1098,FIND("01",H1098)+16)+2,2)),VALUE(MID(H1098,FIND("15",H1098,FIND("01",H1098)+16)+4,2)),VALUE(MID(H1098,FIND("15",H1098,FIND("01",H1098)+16)+6,2))),"")</f>
        <v/>
      </c>
      <c r="F1098" s="8">
        <f>IFERROR(MID(H1098,FIND("10",H1098,FIND("15",H1098,FIND("01",H1098)+16)+8)+2,50),"")</f>
        <v/>
      </c>
      <c r="G1098" s="8" t="n"/>
      <c r="H1098" s="8">
        <f>SUBSTITUTE(SUBSTITUTE(SUBSTITUTE(SUBSTITUTE(A1098,"(",""),")","")," ",""),CHAR(29),"")</f>
        <v/>
      </c>
    </row>
    <row r="1099">
      <c r="A1099" s="4" t="n"/>
      <c r="B1099" s="5">
        <f>IFERROR(MID(H1099,FIND("01",H1099)+2,14),"")</f>
        <v/>
      </c>
      <c r="C1099" s="4">
        <f>IF(A1099="","",IFERROR(VLOOKUP(B1099,TblArticles,2,FALSE),"GTIN inconnu"))</f>
        <v/>
      </c>
      <c r="D1099" s="5">
        <f>IF(A1099="","",IFERROR(VLOOKUP(B1099,TblArticles,3,FALSE),""))</f>
        <v/>
      </c>
      <c r="E1099" s="6">
        <f>IFERROR(DATE(2000+VALUE(MID(H1099,FIND("15",H1099,FIND("01",H1099)+16)+2,2)),VALUE(MID(H1099,FIND("15",H1099,FIND("01",H1099)+16)+4,2)),VALUE(MID(H1099,FIND("15",H1099,FIND("01",H1099)+16)+6,2))),"")</f>
        <v/>
      </c>
      <c r="F1099" s="5">
        <f>IFERROR(MID(H1099,FIND("10",H1099,FIND("15",H1099,FIND("01",H1099)+16)+8)+2,50),"")</f>
        <v/>
      </c>
      <c r="G1099" s="5" t="n"/>
      <c r="H1099" s="5">
        <f>SUBSTITUTE(SUBSTITUTE(SUBSTITUTE(SUBSTITUTE(A1099,"(",""),")","")," ",""),CHAR(29),"")</f>
        <v/>
      </c>
    </row>
    <row r="1100">
      <c r="A1100" s="7" t="n"/>
      <c r="B1100" s="8">
        <f>IFERROR(MID(H1100,FIND("01",H1100)+2,14),"")</f>
        <v/>
      </c>
      <c r="C1100" s="7">
        <f>IF(A1100="","",IFERROR(VLOOKUP(B1100,TblArticles,2,FALSE),"GTIN inconnu"))</f>
        <v/>
      </c>
      <c r="D1100" s="8">
        <f>IF(A1100="","",IFERROR(VLOOKUP(B1100,TblArticles,3,FALSE),""))</f>
        <v/>
      </c>
      <c r="E1100" s="9">
        <f>IFERROR(DATE(2000+VALUE(MID(H1100,FIND("15",H1100,FIND("01",H1100)+16)+2,2)),VALUE(MID(H1100,FIND("15",H1100,FIND("01",H1100)+16)+4,2)),VALUE(MID(H1100,FIND("15",H1100,FIND("01",H1100)+16)+6,2))),"")</f>
        <v/>
      </c>
      <c r="F1100" s="8">
        <f>IFERROR(MID(H1100,FIND("10",H1100,FIND("15",H1100,FIND("01",H1100)+16)+8)+2,50),"")</f>
        <v/>
      </c>
      <c r="G1100" s="8" t="n"/>
      <c r="H1100" s="8">
        <f>SUBSTITUTE(SUBSTITUTE(SUBSTITUTE(SUBSTITUTE(A1100,"(",""),")","")," ",""),CHAR(29),"")</f>
        <v/>
      </c>
    </row>
    <row r="1101">
      <c r="A1101" s="4" t="n"/>
      <c r="B1101" s="5">
        <f>IFERROR(MID(H1101,FIND("01",H1101)+2,14),"")</f>
        <v/>
      </c>
      <c r="C1101" s="4">
        <f>IF(A1101="","",IFERROR(VLOOKUP(B1101,TblArticles,2,FALSE),"GTIN inconnu"))</f>
        <v/>
      </c>
      <c r="D1101" s="5">
        <f>IF(A1101="","",IFERROR(VLOOKUP(B1101,TblArticles,3,FALSE),""))</f>
        <v/>
      </c>
      <c r="E1101" s="6">
        <f>IFERROR(DATE(2000+VALUE(MID(H1101,FIND("15",H1101,FIND("01",H1101)+16)+2,2)),VALUE(MID(H1101,FIND("15",H1101,FIND("01",H1101)+16)+4,2)),VALUE(MID(H1101,FIND("15",H1101,FIND("01",H1101)+16)+6,2))),"")</f>
        <v/>
      </c>
      <c r="F1101" s="5">
        <f>IFERROR(MID(H1101,FIND("10",H1101,FIND("15",H1101,FIND("01",H1101)+16)+8)+2,50),"")</f>
        <v/>
      </c>
      <c r="G1101" s="5" t="n"/>
      <c r="H1101" s="5">
        <f>SUBSTITUTE(SUBSTITUTE(SUBSTITUTE(SUBSTITUTE(A1101,"(",""),")","")," ",""),CHAR(29),"")</f>
        <v/>
      </c>
    </row>
    <row r="1102">
      <c r="A1102" s="7" t="n"/>
      <c r="B1102" s="8">
        <f>IFERROR(MID(H1102,FIND("01",H1102)+2,14),"")</f>
        <v/>
      </c>
      <c r="C1102" s="7">
        <f>IF(A1102="","",IFERROR(VLOOKUP(B1102,TblArticles,2,FALSE),"GTIN inconnu"))</f>
        <v/>
      </c>
      <c r="D1102" s="8">
        <f>IF(A1102="","",IFERROR(VLOOKUP(B1102,TblArticles,3,FALSE),""))</f>
        <v/>
      </c>
      <c r="E1102" s="9">
        <f>IFERROR(DATE(2000+VALUE(MID(H1102,FIND("15",H1102,FIND("01",H1102)+16)+2,2)),VALUE(MID(H1102,FIND("15",H1102,FIND("01",H1102)+16)+4,2)),VALUE(MID(H1102,FIND("15",H1102,FIND("01",H1102)+16)+6,2))),"")</f>
        <v/>
      </c>
      <c r="F1102" s="8">
        <f>IFERROR(MID(H1102,FIND("10",H1102,FIND("15",H1102,FIND("01",H1102)+16)+8)+2,50),"")</f>
        <v/>
      </c>
      <c r="G1102" s="8" t="n"/>
      <c r="H1102" s="8">
        <f>SUBSTITUTE(SUBSTITUTE(SUBSTITUTE(SUBSTITUTE(A1102,"(",""),")","")," ",""),CHAR(29),"")</f>
        <v/>
      </c>
    </row>
    <row r="1103">
      <c r="A1103" s="4" t="n"/>
      <c r="B1103" s="5">
        <f>IFERROR(MID(H1103,FIND("01",H1103)+2,14),"")</f>
        <v/>
      </c>
      <c r="C1103" s="4">
        <f>IF(A1103="","",IFERROR(VLOOKUP(B1103,TblArticles,2,FALSE),"GTIN inconnu"))</f>
        <v/>
      </c>
      <c r="D1103" s="5">
        <f>IF(A1103="","",IFERROR(VLOOKUP(B1103,TblArticles,3,FALSE),""))</f>
        <v/>
      </c>
      <c r="E1103" s="6">
        <f>IFERROR(DATE(2000+VALUE(MID(H1103,FIND("15",H1103,FIND("01",H1103)+16)+2,2)),VALUE(MID(H1103,FIND("15",H1103,FIND("01",H1103)+16)+4,2)),VALUE(MID(H1103,FIND("15",H1103,FIND("01",H1103)+16)+6,2))),"")</f>
        <v/>
      </c>
      <c r="F1103" s="5">
        <f>IFERROR(MID(H1103,FIND("10",H1103,FIND("15",H1103,FIND("01",H1103)+16)+8)+2,50),"")</f>
        <v/>
      </c>
      <c r="G1103" s="5" t="n"/>
      <c r="H1103" s="5">
        <f>SUBSTITUTE(SUBSTITUTE(SUBSTITUTE(SUBSTITUTE(A1103,"(",""),")","")," ",""),CHAR(29),"")</f>
        <v/>
      </c>
    </row>
    <row r="1104">
      <c r="A1104" s="7" t="n"/>
      <c r="B1104" s="8">
        <f>IFERROR(MID(H1104,FIND("01",H1104)+2,14),"")</f>
        <v/>
      </c>
      <c r="C1104" s="7">
        <f>IF(A1104="","",IFERROR(VLOOKUP(B1104,TblArticles,2,FALSE),"GTIN inconnu"))</f>
        <v/>
      </c>
      <c r="D1104" s="8">
        <f>IF(A1104="","",IFERROR(VLOOKUP(B1104,TblArticles,3,FALSE),""))</f>
        <v/>
      </c>
      <c r="E1104" s="9">
        <f>IFERROR(DATE(2000+VALUE(MID(H1104,FIND("15",H1104,FIND("01",H1104)+16)+2,2)),VALUE(MID(H1104,FIND("15",H1104,FIND("01",H1104)+16)+4,2)),VALUE(MID(H1104,FIND("15",H1104,FIND("01",H1104)+16)+6,2))),"")</f>
        <v/>
      </c>
      <c r="F1104" s="8">
        <f>IFERROR(MID(H1104,FIND("10",H1104,FIND("15",H1104,FIND("01",H1104)+16)+8)+2,50),"")</f>
        <v/>
      </c>
      <c r="G1104" s="8" t="n"/>
      <c r="H1104" s="8">
        <f>SUBSTITUTE(SUBSTITUTE(SUBSTITUTE(SUBSTITUTE(A1104,"(",""),")","")," ",""),CHAR(29),"")</f>
        <v/>
      </c>
    </row>
    <row r="1105">
      <c r="A1105" s="4" t="n"/>
      <c r="B1105" s="5">
        <f>IFERROR(MID(H1105,FIND("01",H1105)+2,14),"")</f>
        <v/>
      </c>
      <c r="C1105" s="4">
        <f>IF(A1105="","",IFERROR(VLOOKUP(B1105,TblArticles,2,FALSE),"GTIN inconnu"))</f>
        <v/>
      </c>
      <c r="D1105" s="5">
        <f>IF(A1105="","",IFERROR(VLOOKUP(B1105,TblArticles,3,FALSE),""))</f>
        <v/>
      </c>
      <c r="E1105" s="6">
        <f>IFERROR(DATE(2000+VALUE(MID(H1105,FIND("15",H1105,FIND("01",H1105)+16)+2,2)),VALUE(MID(H1105,FIND("15",H1105,FIND("01",H1105)+16)+4,2)),VALUE(MID(H1105,FIND("15",H1105,FIND("01",H1105)+16)+6,2))),"")</f>
        <v/>
      </c>
      <c r="F1105" s="5">
        <f>IFERROR(MID(H1105,FIND("10",H1105,FIND("15",H1105,FIND("01",H1105)+16)+8)+2,50),"")</f>
        <v/>
      </c>
      <c r="G1105" s="5" t="n"/>
      <c r="H1105" s="5">
        <f>SUBSTITUTE(SUBSTITUTE(SUBSTITUTE(SUBSTITUTE(A1105,"(",""),")","")," ",""),CHAR(29),"")</f>
        <v/>
      </c>
    </row>
    <row r="1106">
      <c r="A1106" s="7" t="n"/>
      <c r="B1106" s="8">
        <f>IFERROR(MID(H1106,FIND("01",H1106)+2,14),"")</f>
        <v/>
      </c>
      <c r="C1106" s="7">
        <f>IF(A1106="","",IFERROR(VLOOKUP(B1106,TblArticles,2,FALSE),"GTIN inconnu"))</f>
        <v/>
      </c>
      <c r="D1106" s="8">
        <f>IF(A1106="","",IFERROR(VLOOKUP(B1106,TblArticles,3,FALSE),""))</f>
        <v/>
      </c>
      <c r="E1106" s="9">
        <f>IFERROR(DATE(2000+VALUE(MID(H1106,FIND("15",H1106,FIND("01",H1106)+16)+2,2)),VALUE(MID(H1106,FIND("15",H1106,FIND("01",H1106)+16)+4,2)),VALUE(MID(H1106,FIND("15",H1106,FIND("01",H1106)+16)+6,2))),"")</f>
        <v/>
      </c>
      <c r="F1106" s="8">
        <f>IFERROR(MID(H1106,FIND("10",H1106,FIND("15",H1106,FIND("01",H1106)+16)+8)+2,50),"")</f>
        <v/>
      </c>
      <c r="G1106" s="8" t="n"/>
      <c r="H1106" s="8">
        <f>SUBSTITUTE(SUBSTITUTE(SUBSTITUTE(SUBSTITUTE(A1106,"(",""),")","")," ",""),CHAR(29),"")</f>
        <v/>
      </c>
    </row>
    <row r="1107">
      <c r="A1107" s="4" t="n"/>
      <c r="B1107" s="5">
        <f>IFERROR(MID(H1107,FIND("01",H1107)+2,14),"")</f>
        <v/>
      </c>
      <c r="C1107" s="4">
        <f>IF(A1107="","",IFERROR(VLOOKUP(B1107,TblArticles,2,FALSE),"GTIN inconnu"))</f>
        <v/>
      </c>
      <c r="D1107" s="5">
        <f>IF(A1107="","",IFERROR(VLOOKUP(B1107,TblArticles,3,FALSE),""))</f>
        <v/>
      </c>
      <c r="E1107" s="6">
        <f>IFERROR(DATE(2000+VALUE(MID(H1107,FIND("15",H1107,FIND("01",H1107)+16)+2,2)),VALUE(MID(H1107,FIND("15",H1107,FIND("01",H1107)+16)+4,2)),VALUE(MID(H1107,FIND("15",H1107,FIND("01",H1107)+16)+6,2))),"")</f>
        <v/>
      </c>
      <c r="F1107" s="5">
        <f>IFERROR(MID(H1107,FIND("10",H1107,FIND("15",H1107,FIND("01",H1107)+16)+8)+2,50),"")</f>
        <v/>
      </c>
      <c r="G1107" s="5" t="n"/>
      <c r="H1107" s="5">
        <f>SUBSTITUTE(SUBSTITUTE(SUBSTITUTE(SUBSTITUTE(A1107,"(",""),")","")," ",""),CHAR(29),"")</f>
        <v/>
      </c>
    </row>
    <row r="1108">
      <c r="A1108" s="7" t="n"/>
      <c r="B1108" s="8">
        <f>IFERROR(MID(H1108,FIND("01",H1108)+2,14),"")</f>
        <v/>
      </c>
      <c r="C1108" s="7">
        <f>IF(A1108="","",IFERROR(VLOOKUP(B1108,TblArticles,2,FALSE),"GTIN inconnu"))</f>
        <v/>
      </c>
      <c r="D1108" s="8">
        <f>IF(A1108="","",IFERROR(VLOOKUP(B1108,TblArticles,3,FALSE),""))</f>
        <v/>
      </c>
      <c r="E1108" s="9">
        <f>IFERROR(DATE(2000+VALUE(MID(H1108,FIND("15",H1108,FIND("01",H1108)+16)+2,2)),VALUE(MID(H1108,FIND("15",H1108,FIND("01",H1108)+16)+4,2)),VALUE(MID(H1108,FIND("15",H1108,FIND("01",H1108)+16)+6,2))),"")</f>
        <v/>
      </c>
      <c r="F1108" s="8">
        <f>IFERROR(MID(H1108,FIND("10",H1108,FIND("15",H1108,FIND("01",H1108)+16)+8)+2,50),"")</f>
        <v/>
      </c>
      <c r="G1108" s="8" t="n"/>
      <c r="H1108" s="8">
        <f>SUBSTITUTE(SUBSTITUTE(SUBSTITUTE(SUBSTITUTE(A1108,"(",""),")","")," ",""),CHAR(29),"")</f>
        <v/>
      </c>
    </row>
    <row r="1109">
      <c r="A1109" s="4" t="n"/>
      <c r="B1109" s="5">
        <f>IFERROR(MID(H1109,FIND("01",H1109)+2,14),"")</f>
        <v/>
      </c>
      <c r="C1109" s="4">
        <f>IF(A1109="","",IFERROR(VLOOKUP(B1109,TblArticles,2,FALSE),"GTIN inconnu"))</f>
        <v/>
      </c>
      <c r="D1109" s="5">
        <f>IF(A1109="","",IFERROR(VLOOKUP(B1109,TblArticles,3,FALSE),""))</f>
        <v/>
      </c>
      <c r="E1109" s="6">
        <f>IFERROR(DATE(2000+VALUE(MID(H1109,FIND("15",H1109,FIND("01",H1109)+16)+2,2)),VALUE(MID(H1109,FIND("15",H1109,FIND("01",H1109)+16)+4,2)),VALUE(MID(H1109,FIND("15",H1109,FIND("01",H1109)+16)+6,2))),"")</f>
        <v/>
      </c>
      <c r="F1109" s="5">
        <f>IFERROR(MID(H1109,FIND("10",H1109,FIND("15",H1109,FIND("01",H1109)+16)+8)+2,50),"")</f>
        <v/>
      </c>
      <c r="G1109" s="5" t="n"/>
      <c r="H1109" s="5">
        <f>SUBSTITUTE(SUBSTITUTE(SUBSTITUTE(SUBSTITUTE(A1109,"(",""),")","")," ",""),CHAR(29),"")</f>
        <v/>
      </c>
    </row>
    <row r="1110">
      <c r="A1110" s="7" t="n"/>
      <c r="B1110" s="8">
        <f>IFERROR(MID(H1110,FIND("01",H1110)+2,14),"")</f>
        <v/>
      </c>
      <c r="C1110" s="7">
        <f>IF(A1110="","",IFERROR(VLOOKUP(B1110,TblArticles,2,FALSE),"GTIN inconnu"))</f>
        <v/>
      </c>
      <c r="D1110" s="8">
        <f>IF(A1110="","",IFERROR(VLOOKUP(B1110,TblArticles,3,FALSE),""))</f>
        <v/>
      </c>
      <c r="E1110" s="9">
        <f>IFERROR(DATE(2000+VALUE(MID(H1110,FIND("15",H1110,FIND("01",H1110)+16)+2,2)),VALUE(MID(H1110,FIND("15",H1110,FIND("01",H1110)+16)+4,2)),VALUE(MID(H1110,FIND("15",H1110,FIND("01",H1110)+16)+6,2))),"")</f>
        <v/>
      </c>
      <c r="F1110" s="8">
        <f>IFERROR(MID(H1110,FIND("10",H1110,FIND("15",H1110,FIND("01",H1110)+16)+8)+2,50),"")</f>
        <v/>
      </c>
      <c r="G1110" s="8" t="n"/>
      <c r="H1110" s="8">
        <f>SUBSTITUTE(SUBSTITUTE(SUBSTITUTE(SUBSTITUTE(A1110,"(",""),")","")," ",""),CHAR(29),"")</f>
        <v/>
      </c>
    </row>
    <row r="1111">
      <c r="A1111" s="4" t="n"/>
      <c r="B1111" s="5">
        <f>IFERROR(MID(H1111,FIND("01",H1111)+2,14),"")</f>
        <v/>
      </c>
      <c r="C1111" s="4">
        <f>IF(A1111="","",IFERROR(VLOOKUP(B1111,TblArticles,2,FALSE),"GTIN inconnu"))</f>
        <v/>
      </c>
      <c r="D1111" s="5">
        <f>IF(A1111="","",IFERROR(VLOOKUP(B1111,TblArticles,3,FALSE),""))</f>
        <v/>
      </c>
      <c r="E1111" s="6">
        <f>IFERROR(DATE(2000+VALUE(MID(H1111,FIND("15",H1111,FIND("01",H1111)+16)+2,2)),VALUE(MID(H1111,FIND("15",H1111,FIND("01",H1111)+16)+4,2)),VALUE(MID(H1111,FIND("15",H1111,FIND("01",H1111)+16)+6,2))),"")</f>
        <v/>
      </c>
      <c r="F1111" s="5">
        <f>IFERROR(MID(H1111,FIND("10",H1111,FIND("15",H1111,FIND("01",H1111)+16)+8)+2,50),"")</f>
        <v/>
      </c>
      <c r="G1111" s="5" t="n"/>
      <c r="H1111" s="5">
        <f>SUBSTITUTE(SUBSTITUTE(SUBSTITUTE(SUBSTITUTE(A1111,"(",""),")","")," ",""),CHAR(29),"")</f>
        <v/>
      </c>
    </row>
    <row r="1112">
      <c r="A1112" s="7" t="n"/>
      <c r="B1112" s="8">
        <f>IFERROR(MID(H1112,FIND("01",H1112)+2,14),"")</f>
        <v/>
      </c>
      <c r="C1112" s="7">
        <f>IF(A1112="","",IFERROR(VLOOKUP(B1112,TblArticles,2,FALSE),"GTIN inconnu"))</f>
        <v/>
      </c>
      <c r="D1112" s="8">
        <f>IF(A1112="","",IFERROR(VLOOKUP(B1112,TblArticles,3,FALSE),""))</f>
        <v/>
      </c>
      <c r="E1112" s="9">
        <f>IFERROR(DATE(2000+VALUE(MID(H1112,FIND("15",H1112,FIND("01",H1112)+16)+2,2)),VALUE(MID(H1112,FIND("15",H1112,FIND("01",H1112)+16)+4,2)),VALUE(MID(H1112,FIND("15",H1112,FIND("01",H1112)+16)+6,2))),"")</f>
        <v/>
      </c>
      <c r="F1112" s="8">
        <f>IFERROR(MID(H1112,FIND("10",H1112,FIND("15",H1112,FIND("01",H1112)+16)+8)+2,50),"")</f>
        <v/>
      </c>
      <c r="G1112" s="8" t="n"/>
      <c r="H1112" s="8">
        <f>SUBSTITUTE(SUBSTITUTE(SUBSTITUTE(SUBSTITUTE(A1112,"(",""),")","")," ",""),CHAR(29),"")</f>
        <v/>
      </c>
    </row>
    <row r="1113">
      <c r="A1113" s="4" t="n"/>
      <c r="B1113" s="5">
        <f>IFERROR(MID(H1113,FIND("01",H1113)+2,14),"")</f>
        <v/>
      </c>
      <c r="C1113" s="4">
        <f>IF(A1113="","",IFERROR(VLOOKUP(B1113,TblArticles,2,FALSE),"GTIN inconnu"))</f>
        <v/>
      </c>
      <c r="D1113" s="5">
        <f>IF(A1113="","",IFERROR(VLOOKUP(B1113,TblArticles,3,FALSE),""))</f>
        <v/>
      </c>
      <c r="E1113" s="6">
        <f>IFERROR(DATE(2000+VALUE(MID(H1113,FIND("15",H1113,FIND("01",H1113)+16)+2,2)),VALUE(MID(H1113,FIND("15",H1113,FIND("01",H1113)+16)+4,2)),VALUE(MID(H1113,FIND("15",H1113,FIND("01",H1113)+16)+6,2))),"")</f>
        <v/>
      </c>
      <c r="F1113" s="5">
        <f>IFERROR(MID(H1113,FIND("10",H1113,FIND("15",H1113,FIND("01",H1113)+16)+8)+2,50),"")</f>
        <v/>
      </c>
      <c r="G1113" s="5" t="n"/>
      <c r="H1113" s="5">
        <f>SUBSTITUTE(SUBSTITUTE(SUBSTITUTE(SUBSTITUTE(A1113,"(",""),")","")," ",""),CHAR(29),"")</f>
        <v/>
      </c>
    </row>
    <row r="1114">
      <c r="A1114" s="7" t="n"/>
      <c r="B1114" s="8">
        <f>IFERROR(MID(H1114,FIND("01",H1114)+2,14),"")</f>
        <v/>
      </c>
      <c r="C1114" s="7">
        <f>IF(A1114="","",IFERROR(VLOOKUP(B1114,TblArticles,2,FALSE),"GTIN inconnu"))</f>
        <v/>
      </c>
      <c r="D1114" s="8">
        <f>IF(A1114="","",IFERROR(VLOOKUP(B1114,TblArticles,3,FALSE),""))</f>
        <v/>
      </c>
      <c r="E1114" s="9">
        <f>IFERROR(DATE(2000+VALUE(MID(H1114,FIND("15",H1114,FIND("01",H1114)+16)+2,2)),VALUE(MID(H1114,FIND("15",H1114,FIND("01",H1114)+16)+4,2)),VALUE(MID(H1114,FIND("15",H1114,FIND("01",H1114)+16)+6,2))),"")</f>
        <v/>
      </c>
      <c r="F1114" s="8">
        <f>IFERROR(MID(H1114,FIND("10",H1114,FIND("15",H1114,FIND("01",H1114)+16)+8)+2,50),"")</f>
        <v/>
      </c>
      <c r="G1114" s="8" t="n"/>
      <c r="H1114" s="8">
        <f>SUBSTITUTE(SUBSTITUTE(SUBSTITUTE(SUBSTITUTE(A1114,"(",""),")","")," ",""),CHAR(29),"")</f>
        <v/>
      </c>
    </row>
    <row r="1115">
      <c r="A1115" s="4" t="n"/>
      <c r="B1115" s="5">
        <f>IFERROR(MID(H1115,FIND("01",H1115)+2,14),"")</f>
        <v/>
      </c>
      <c r="C1115" s="4">
        <f>IF(A1115="","",IFERROR(VLOOKUP(B1115,TblArticles,2,FALSE),"GTIN inconnu"))</f>
        <v/>
      </c>
      <c r="D1115" s="5">
        <f>IF(A1115="","",IFERROR(VLOOKUP(B1115,TblArticles,3,FALSE),""))</f>
        <v/>
      </c>
      <c r="E1115" s="6">
        <f>IFERROR(DATE(2000+VALUE(MID(H1115,FIND("15",H1115,FIND("01",H1115)+16)+2,2)),VALUE(MID(H1115,FIND("15",H1115,FIND("01",H1115)+16)+4,2)),VALUE(MID(H1115,FIND("15",H1115,FIND("01",H1115)+16)+6,2))),"")</f>
        <v/>
      </c>
      <c r="F1115" s="5">
        <f>IFERROR(MID(H1115,FIND("10",H1115,FIND("15",H1115,FIND("01",H1115)+16)+8)+2,50),"")</f>
        <v/>
      </c>
      <c r="G1115" s="5" t="n"/>
      <c r="H1115" s="5">
        <f>SUBSTITUTE(SUBSTITUTE(SUBSTITUTE(SUBSTITUTE(A1115,"(",""),")","")," ",""),CHAR(29),"")</f>
        <v/>
      </c>
    </row>
    <row r="1116">
      <c r="A1116" s="7" t="n"/>
      <c r="B1116" s="8">
        <f>IFERROR(MID(H1116,FIND("01",H1116)+2,14),"")</f>
        <v/>
      </c>
      <c r="C1116" s="7">
        <f>IF(A1116="","",IFERROR(VLOOKUP(B1116,TblArticles,2,FALSE),"GTIN inconnu"))</f>
        <v/>
      </c>
      <c r="D1116" s="8">
        <f>IF(A1116="","",IFERROR(VLOOKUP(B1116,TblArticles,3,FALSE),""))</f>
        <v/>
      </c>
      <c r="E1116" s="9">
        <f>IFERROR(DATE(2000+VALUE(MID(H1116,FIND("15",H1116,FIND("01",H1116)+16)+2,2)),VALUE(MID(H1116,FIND("15",H1116,FIND("01",H1116)+16)+4,2)),VALUE(MID(H1116,FIND("15",H1116,FIND("01",H1116)+16)+6,2))),"")</f>
        <v/>
      </c>
      <c r="F1116" s="8">
        <f>IFERROR(MID(H1116,FIND("10",H1116,FIND("15",H1116,FIND("01",H1116)+16)+8)+2,50),"")</f>
        <v/>
      </c>
      <c r="G1116" s="8" t="n"/>
      <c r="H1116" s="8">
        <f>SUBSTITUTE(SUBSTITUTE(SUBSTITUTE(SUBSTITUTE(A1116,"(",""),")","")," ",""),CHAR(29),"")</f>
        <v/>
      </c>
    </row>
    <row r="1117">
      <c r="A1117" s="4" t="n"/>
      <c r="B1117" s="5">
        <f>IFERROR(MID(H1117,FIND("01",H1117)+2,14),"")</f>
        <v/>
      </c>
      <c r="C1117" s="4">
        <f>IF(A1117="","",IFERROR(VLOOKUP(B1117,TblArticles,2,FALSE),"GTIN inconnu"))</f>
        <v/>
      </c>
      <c r="D1117" s="5">
        <f>IF(A1117="","",IFERROR(VLOOKUP(B1117,TblArticles,3,FALSE),""))</f>
        <v/>
      </c>
      <c r="E1117" s="6">
        <f>IFERROR(DATE(2000+VALUE(MID(H1117,FIND("15",H1117,FIND("01",H1117)+16)+2,2)),VALUE(MID(H1117,FIND("15",H1117,FIND("01",H1117)+16)+4,2)),VALUE(MID(H1117,FIND("15",H1117,FIND("01",H1117)+16)+6,2))),"")</f>
        <v/>
      </c>
      <c r="F1117" s="5">
        <f>IFERROR(MID(H1117,FIND("10",H1117,FIND("15",H1117,FIND("01",H1117)+16)+8)+2,50),"")</f>
        <v/>
      </c>
      <c r="G1117" s="5" t="n"/>
      <c r="H1117" s="5">
        <f>SUBSTITUTE(SUBSTITUTE(SUBSTITUTE(SUBSTITUTE(A1117,"(",""),")","")," ",""),CHAR(29),"")</f>
        <v/>
      </c>
    </row>
    <row r="1118">
      <c r="A1118" s="7" t="n"/>
      <c r="B1118" s="8">
        <f>IFERROR(MID(H1118,FIND("01",H1118)+2,14),"")</f>
        <v/>
      </c>
      <c r="C1118" s="7">
        <f>IF(A1118="","",IFERROR(VLOOKUP(B1118,TblArticles,2,FALSE),"GTIN inconnu"))</f>
        <v/>
      </c>
      <c r="D1118" s="8">
        <f>IF(A1118="","",IFERROR(VLOOKUP(B1118,TblArticles,3,FALSE),""))</f>
        <v/>
      </c>
      <c r="E1118" s="9">
        <f>IFERROR(DATE(2000+VALUE(MID(H1118,FIND("15",H1118,FIND("01",H1118)+16)+2,2)),VALUE(MID(H1118,FIND("15",H1118,FIND("01",H1118)+16)+4,2)),VALUE(MID(H1118,FIND("15",H1118,FIND("01",H1118)+16)+6,2))),"")</f>
        <v/>
      </c>
      <c r="F1118" s="8">
        <f>IFERROR(MID(H1118,FIND("10",H1118,FIND("15",H1118,FIND("01",H1118)+16)+8)+2,50),"")</f>
        <v/>
      </c>
      <c r="G1118" s="8" t="n"/>
      <c r="H1118" s="8">
        <f>SUBSTITUTE(SUBSTITUTE(SUBSTITUTE(SUBSTITUTE(A1118,"(",""),")","")," ",""),CHAR(29),"")</f>
        <v/>
      </c>
    </row>
    <row r="1119">
      <c r="A1119" s="4" t="n"/>
      <c r="B1119" s="5">
        <f>IFERROR(MID(H1119,FIND("01",H1119)+2,14),"")</f>
        <v/>
      </c>
      <c r="C1119" s="4">
        <f>IF(A1119="","",IFERROR(VLOOKUP(B1119,TblArticles,2,FALSE),"GTIN inconnu"))</f>
        <v/>
      </c>
      <c r="D1119" s="5">
        <f>IF(A1119="","",IFERROR(VLOOKUP(B1119,TblArticles,3,FALSE),""))</f>
        <v/>
      </c>
      <c r="E1119" s="6">
        <f>IFERROR(DATE(2000+VALUE(MID(H1119,FIND("15",H1119,FIND("01",H1119)+16)+2,2)),VALUE(MID(H1119,FIND("15",H1119,FIND("01",H1119)+16)+4,2)),VALUE(MID(H1119,FIND("15",H1119,FIND("01",H1119)+16)+6,2))),"")</f>
        <v/>
      </c>
      <c r="F1119" s="5">
        <f>IFERROR(MID(H1119,FIND("10",H1119,FIND("15",H1119,FIND("01",H1119)+16)+8)+2,50),"")</f>
        <v/>
      </c>
      <c r="G1119" s="5" t="n"/>
      <c r="H1119" s="5">
        <f>SUBSTITUTE(SUBSTITUTE(SUBSTITUTE(SUBSTITUTE(A1119,"(",""),")","")," ",""),CHAR(29),"")</f>
        <v/>
      </c>
    </row>
    <row r="1120">
      <c r="A1120" s="7" t="n"/>
      <c r="B1120" s="8">
        <f>IFERROR(MID(H1120,FIND("01",H1120)+2,14),"")</f>
        <v/>
      </c>
      <c r="C1120" s="7">
        <f>IF(A1120="","",IFERROR(VLOOKUP(B1120,TblArticles,2,FALSE),"GTIN inconnu"))</f>
        <v/>
      </c>
      <c r="D1120" s="8">
        <f>IF(A1120="","",IFERROR(VLOOKUP(B1120,TblArticles,3,FALSE),""))</f>
        <v/>
      </c>
      <c r="E1120" s="9">
        <f>IFERROR(DATE(2000+VALUE(MID(H1120,FIND("15",H1120,FIND("01",H1120)+16)+2,2)),VALUE(MID(H1120,FIND("15",H1120,FIND("01",H1120)+16)+4,2)),VALUE(MID(H1120,FIND("15",H1120,FIND("01",H1120)+16)+6,2))),"")</f>
        <v/>
      </c>
      <c r="F1120" s="8">
        <f>IFERROR(MID(H1120,FIND("10",H1120,FIND("15",H1120,FIND("01",H1120)+16)+8)+2,50),"")</f>
        <v/>
      </c>
      <c r="G1120" s="8" t="n"/>
      <c r="H1120" s="8">
        <f>SUBSTITUTE(SUBSTITUTE(SUBSTITUTE(SUBSTITUTE(A1120,"(",""),")","")," ",""),CHAR(29),"")</f>
        <v/>
      </c>
    </row>
    <row r="1121">
      <c r="A1121" s="4" t="n"/>
      <c r="B1121" s="5">
        <f>IFERROR(MID(H1121,FIND("01",H1121)+2,14),"")</f>
        <v/>
      </c>
      <c r="C1121" s="4">
        <f>IF(A1121="","",IFERROR(VLOOKUP(B1121,TblArticles,2,FALSE),"GTIN inconnu"))</f>
        <v/>
      </c>
      <c r="D1121" s="5">
        <f>IF(A1121="","",IFERROR(VLOOKUP(B1121,TblArticles,3,FALSE),""))</f>
        <v/>
      </c>
      <c r="E1121" s="6">
        <f>IFERROR(DATE(2000+VALUE(MID(H1121,FIND("15",H1121,FIND("01",H1121)+16)+2,2)),VALUE(MID(H1121,FIND("15",H1121,FIND("01",H1121)+16)+4,2)),VALUE(MID(H1121,FIND("15",H1121,FIND("01",H1121)+16)+6,2))),"")</f>
        <v/>
      </c>
      <c r="F1121" s="5">
        <f>IFERROR(MID(H1121,FIND("10",H1121,FIND("15",H1121,FIND("01",H1121)+16)+8)+2,50),"")</f>
        <v/>
      </c>
      <c r="G1121" s="5" t="n"/>
      <c r="H1121" s="5">
        <f>SUBSTITUTE(SUBSTITUTE(SUBSTITUTE(SUBSTITUTE(A1121,"(",""),")","")," ",""),CHAR(29),"")</f>
        <v/>
      </c>
    </row>
    <row r="1122">
      <c r="A1122" s="7" t="n"/>
      <c r="B1122" s="8">
        <f>IFERROR(MID(H1122,FIND("01",H1122)+2,14),"")</f>
        <v/>
      </c>
      <c r="C1122" s="7">
        <f>IF(A1122="","",IFERROR(VLOOKUP(B1122,TblArticles,2,FALSE),"GTIN inconnu"))</f>
        <v/>
      </c>
      <c r="D1122" s="8">
        <f>IF(A1122="","",IFERROR(VLOOKUP(B1122,TblArticles,3,FALSE),""))</f>
        <v/>
      </c>
      <c r="E1122" s="9">
        <f>IFERROR(DATE(2000+VALUE(MID(H1122,FIND("15",H1122,FIND("01",H1122)+16)+2,2)),VALUE(MID(H1122,FIND("15",H1122,FIND("01",H1122)+16)+4,2)),VALUE(MID(H1122,FIND("15",H1122,FIND("01",H1122)+16)+6,2))),"")</f>
        <v/>
      </c>
      <c r="F1122" s="8">
        <f>IFERROR(MID(H1122,FIND("10",H1122,FIND("15",H1122,FIND("01",H1122)+16)+8)+2,50),"")</f>
        <v/>
      </c>
      <c r="G1122" s="8" t="n"/>
      <c r="H1122" s="8">
        <f>SUBSTITUTE(SUBSTITUTE(SUBSTITUTE(SUBSTITUTE(A1122,"(",""),")","")," ",""),CHAR(29),"")</f>
        <v/>
      </c>
    </row>
    <row r="1123">
      <c r="A1123" s="4" t="n"/>
      <c r="B1123" s="5">
        <f>IFERROR(MID(H1123,FIND("01",H1123)+2,14),"")</f>
        <v/>
      </c>
      <c r="C1123" s="4">
        <f>IF(A1123="","",IFERROR(VLOOKUP(B1123,TblArticles,2,FALSE),"GTIN inconnu"))</f>
        <v/>
      </c>
      <c r="D1123" s="5">
        <f>IF(A1123="","",IFERROR(VLOOKUP(B1123,TblArticles,3,FALSE),""))</f>
        <v/>
      </c>
      <c r="E1123" s="6">
        <f>IFERROR(DATE(2000+VALUE(MID(H1123,FIND("15",H1123,FIND("01",H1123)+16)+2,2)),VALUE(MID(H1123,FIND("15",H1123,FIND("01",H1123)+16)+4,2)),VALUE(MID(H1123,FIND("15",H1123,FIND("01",H1123)+16)+6,2))),"")</f>
        <v/>
      </c>
      <c r="F1123" s="5">
        <f>IFERROR(MID(H1123,FIND("10",H1123,FIND("15",H1123,FIND("01",H1123)+16)+8)+2,50),"")</f>
        <v/>
      </c>
      <c r="G1123" s="5" t="n"/>
      <c r="H1123" s="5">
        <f>SUBSTITUTE(SUBSTITUTE(SUBSTITUTE(SUBSTITUTE(A1123,"(",""),")","")," ",""),CHAR(29),"")</f>
        <v/>
      </c>
    </row>
    <row r="1124">
      <c r="A1124" s="7" t="n"/>
      <c r="B1124" s="8">
        <f>IFERROR(MID(H1124,FIND("01",H1124)+2,14),"")</f>
        <v/>
      </c>
      <c r="C1124" s="7">
        <f>IF(A1124="","",IFERROR(VLOOKUP(B1124,TblArticles,2,FALSE),"GTIN inconnu"))</f>
        <v/>
      </c>
      <c r="D1124" s="8">
        <f>IF(A1124="","",IFERROR(VLOOKUP(B1124,TblArticles,3,FALSE),""))</f>
        <v/>
      </c>
      <c r="E1124" s="9">
        <f>IFERROR(DATE(2000+VALUE(MID(H1124,FIND("15",H1124,FIND("01",H1124)+16)+2,2)),VALUE(MID(H1124,FIND("15",H1124,FIND("01",H1124)+16)+4,2)),VALUE(MID(H1124,FIND("15",H1124,FIND("01",H1124)+16)+6,2))),"")</f>
        <v/>
      </c>
      <c r="F1124" s="8">
        <f>IFERROR(MID(H1124,FIND("10",H1124,FIND("15",H1124,FIND("01",H1124)+16)+8)+2,50),"")</f>
        <v/>
      </c>
      <c r="G1124" s="8" t="n"/>
      <c r="H1124" s="8">
        <f>SUBSTITUTE(SUBSTITUTE(SUBSTITUTE(SUBSTITUTE(A1124,"(",""),")","")," ",""),CHAR(29),"")</f>
        <v/>
      </c>
    </row>
    <row r="1125">
      <c r="A1125" s="4" t="n"/>
      <c r="B1125" s="5">
        <f>IFERROR(MID(H1125,FIND("01",H1125)+2,14),"")</f>
        <v/>
      </c>
      <c r="C1125" s="4">
        <f>IF(A1125="","",IFERROR(VLOOKUP(B1125,TblArticles,2,FALSE),"GTIN inconnu"))</f>
        <v/>
      </c>
      <c r="D1125" s="5">
        <f>IF(A1125="","",IFERROR(VLOOKUP(B1125,TblArticles,3,FALSE),""))</f>
        <v/>
      </c>
      <c r="E1125" s="6">
        <f>IFERROR(DATE(2000+VALUE(MID(H1125,FIND("15",H1125,FIND("01",H1125)+16)+2,2)),VALUE(MID(H1125,FIND("15",H1125,FIND("01",H1125)+16)+4,2)),VALUE(MID(H1125,FIND("15",H1125,FIND("01",H1125)+16)+6,2))),"")</f>
        <v/>
      </c>
      <c r="F1125" s="5">
        <f>IFERROR(MID(H1125,FIND("10",H1125,FIND("15",H1125,FIND("01",H1125)+16)+8)+2,50),"")</f>
        <v/>
      </c>
      <c r="G1125" s="5" t="n"/>
      <c r="H1125" s="5">
        <f>SUBSTITUTE(SUBSTITUTE(SUBSTITUTE(SUBSTITUTE(A1125,"(",""),")","")," ",""),CHAR(29),"")</f>
        <v/>
      </c>
    </row>
    <row r="1126">
      <c r="A1126" s="7" t="n"/>
      <c r="B1126" s="8">
        <f>IFERROR(MID(H1126,FIND("01",H1126)+2,14),"")</f>
        <v/>
      </c>
      <c r="C1126" s="7">
        <f>IF(A1126="","",IFERROR(VLOOKUP(B1126,TblArticles,2,FALSE),"GTIN inconnu"))</f>
        <v/>
      </c>
      <c r="D1126" s="8">
        <f>IF(A1126="","",IFERROR(VLOOKUP(B1126,TblArticles,3,FALSE),""))</f>
        <v/>
      </c>
      <c r="E1126" s="9">
        <f>IFERROR(DATE(2000+VALUE(MID(H1126,FIND("15",H1126,FIND("01",H1126)+16)+2,2)),VALUE(MID(H1126,FIND("15",H1126,FIND("01",H1126)+16)+4,2)),VALUE(MID(H1126,FIND("15",H1126,FIND("01",H1126)+16)+6,2))),"")</f>
        <v/>
      </c>
      <c r="F1126" s="8">
        <f>IFERROR(MID(H1126,FIND("10",H1126,FIND("15",H1126,FIND("01",H1126)+16)+8)+2,50),"")</f>
        <v/>
      </c>
      <c r="G1126" s="8" t="n"/>
      <c r="H1126" s="8">
        <f>SUBSTITUTE(SUBSTITUTE(SUBSTITUTE(SUBSTITUTE(A1126,"(",""),")","")," ",""),CHAR(29),"")</f>
        <v/>
      </c>
    </row>
    <row r="1127">
      <c r="A1127" s="4" t="n"/>
      <c r="B1127" s="5">
        <f>IFERROR(MID(H1127,FIND("01",H1127)+2,14),"")</f>
        <v/>
      </c>
      <c r="C1127" s="4">
        <f>IF(A1127="","",IFERROR(VLOOKUP(B1127,TblArticles,2,FALSE),"GTIN inconnu"))</f>
        <v/>
      </c>
      <c r="D1127" s="5">
        <f>IF(A1127="","",IFERROR(VLOOKUP(B1127,TblArticles,3,FALSE),""))</f>
        <v/>
      </c>
      <c r="E1127" s="6">
        <f>IFERROR(DATE(2000+VALUE(MID(H1127,FIND("15",H1127,FIND("01",H1127)+16)+2,2)),VALUE(MID(H1127,FIND("15",H1127,FIND("01",H1127)+16)+4,2)),VALUE(MID(H1127,FIND("15",H1127,FIND("01",H1127)+16)+6,2))),"")</f>
        <v/>
      </c>
      <c r="F1127" s="5">
        <f>IFERROR(MID(H1127,FIND("10",H1127,FIND("15",H1127,FIND("01",H1127)+16)+8)+2,50),"")</f>
        <v/>
      </c>
      <c r="G1127" s="5" t="n"/>
      <c r="H1127" s="5">
        <f>SUBSTITUTE(SUBSTITUTE(SUBSTITUTE(SUBSTITUTE(A1127,"(",""),")","")," ",""),CHAR(29),"")</f>
        <v/>
      </c>
    </row>
    <row r="1128">
      <c r="A1128" s="7" t="n"/>
      <c r="B1128" s="8">
        <f>IFERROR(MID(H1128,FIND("01",H1128)+2,14),"")</f>
        <v/>
      </c>
      <c r="C1128" s="7">
        <f>IF(A1128="","",IFERROR(VLOOKUP(B1128,TblArticles,2,FALSE),"GTIN inconnu"))</f>
        <v/>
      </c>
      <c r="D1128" s="8">
        <f>IF(A1128="","",IFERROR(VLOOKUP(B1128,TblArticles,3,FALSE),""))</f>
        <v/>
      </c>
      <c r="E1128" s="9">
        <f>IFERROR(DATE(2000+VALUE(MID(H1128,FIND("15",H1128,FIND("01",H1128)+16)+2,2)),VALUE(MID(H1128,FIND("15",H1128,FIND("01",H1128)+16)+4,2)),VALUE(MID(H1128,FIND("15",H1128,FIND("01",H1128)+16)+6,2))),"")</f>
        <v/>
      </c>
      <c r="F1128" s="8">
        <f>IFERROR(MID(H1128,FIND("10",H1128,FIND("15",H1128,FIND("01",H1128)+16)+8)+2,50),"")</f>
        <v/>
      </c>
      <c r="G1128" s="8" t="n"/>
      <c r="H1128" s="8">
        <f>SUBSTITUTE(SUBSTITUTE(SUBSTITUTE(SUBSTITUTE(A1128,"(",""),")","")," ",""),CHAR(29),"")</f>
        <v/>
      </c>
    </row>
    <row r="1129">
      <c r="A1129" s="4" t="n"/>
      <c r="B1129" s="5">
        <f>IFERROR(MID(H1129,FIND("01",H1129)+2,14),"")</f>
        <v/>
      </c>
      <c r="C1129" s="4">
        <f>IF(A1129="","",IFERROR(VLOOKUP(B1129,TblArticles,2,FALSE),"GTIN inconnu"))</f>
        <v/>
      </c>
      <c r="D1129" s="5">
        <f>IF(A1129="","",IFERROR(VLOOKUP(B1129,TblArticles,3,FALSE),""))</f>
        <v/>
      </c>
      <c r="E1129" s="6">
        <f>IFERROR(DATE(2000+VALUE(MID(H1129,FIND("15",H1129,FIND("01",H1129)+16)+2,2)),VALUE(MID(H1129,FIND("15",H1129,FIND("01",H1129)+16)+4,2)),VALUE(MID(H1129,FIND("15",H1129,FIND("01",H1129)+16)+6,2))),"")</f>
        <v/>
      </c>
      <c r="F1129" s="5">
        <f>IFERROR(MID(H1129,FIND("10",H1129,FIND("15",H1129,FIND("01",H1129)+16)+8)+2,50),"")</f>
        <v/>
      </c>
      <c r="G1129" s="5" t="n"/>
      <c r="H1129" s="5">
        <f>SUBSTITUTE(SUBSTITUTE(SUBSTITUTE(SUBSTITUTE(A1129,"(",""),")","")," ",""),CHAR(29),"")</f>
        <v/>
      </c>
    </row>
    <row r="1130">
      <c r="A1130" s="7" t="n"/>
      <c r="B1130" s="8">
        <f>IFERROR(MID(H1130,FIND("01",H1130)+2,14),"")</f>
        <v/>
      </c>
      <c r="C1130" s="7">
        <f>IF(A1130="","",IFERROR(VLOOKUP(B1130,TblArticles,2,FALSE),"GTIN inconnu"))</f>
        <v/>
      </c>
      <c r="D1130" s="8">
        <f>IF(A1130="","",IFERROR(VLOOKUP(B1130,TblArticles,3,FALSE),""))</f>
        <v/>
      </c>
      <c r="E1130" s="9">
        <f>IFERROR(DATE(2000+VALUE(MID(H1130,FIND("15",H1130,FIND("01",H1130)+16)+2,2)),VALUE(MID(H1130,FIND("15",H1130,FIND("01",H1130)+16)+4,2)),VALUE(MID(H1130,FIND("15",H1130,FIND("01",H1130)+16)+6,2))),"")</f>
        <v/>
      </c>
      <c r="F1130" s="8">
        <f>IFERROR(MID(H1130,FIND("10",H1130,FIND("15",H1130,FIND("01",H1130)+16)+8)+2,50),"")</f>
        <v/>
      </c>
      <c r="G1130" s="8" t="n"/>
      <c r="H1130" s="8">
        <f>SUBSTITUTE(SUBSTITUTE(SUBSTITUTE(SUBSTITUTE(A1130,"(",""),")","")," ",""),CHAR(29),"")</f>
        <v/>
      </c>
    </row>
    <row r="1131">
      <c r="A1131" s="4" t="n"/>
      <c r="B1131" s="5">
        <f>IFERROR(MID(H1131,FIND("01",H1131)+2,14),"")</f>
        <v/>
      </c>
      <c r="C1131" s="4">
        <f>IF(A1131="","",IFERROR(VLOOKUP(B1131,TblArticles,2,FALSE),"GTIN inconnu"))</f>
        <v/>
      </c>
      <c r="D1131" s="5">
        <f>IF(A1131="","",IFERROR(VLOOKUP(B1131,TblArticles,3,FALSE),""))</f>
        <v/>
      </c>
      <c r="E1131" s="6">
        <f>IFERROR(DATE(2000+VALUE(MID(H1131,FIND("15",H1131,FIND("01",H1131)+16)+2,2)),VALUE(MID(H1131,FIND("15",H1131,FIND("01",H1131)+16)+4,2)),VALUE(MID(H1131,FIND("15",H1131,FIND("01",H1131)+16)+6,2))),"")</f>
        <v/>
      </c>
      <c r="F1131" s="5">
        <f>IFERROR(MID(H1131,FIND("10",H1131,FIND("15",H1131,FIND("01",H1131)+16)+8)+2,50),"")</f>
        <v/>
      </c>
      <c r="G1131" s="5" t="n"/>
      <c r="H1131" s="5">
        <f>SUBSTITUTE(SUBSTITUTE(SUBSTITUTE(SUBSTITUTE(A1131,"(",""),")","")," ",""),CHAR(29),"")</f>
        <v/>
      </c>
    </row>
    <row r="1132">
      <c r="A1132" s="7" t="n"/>
      <c r="B1132" s="8">
        <f>IFERROR(MID(H1132,FIND("01",H1132)+2,14),"")</f>
        <v/>
      </c>
      <c r="C1132" s="7">
        <f>IF(A1132="","",IFERROR(VLOOKUP(B1132,TblArticles,2,FALSE),"GTIN inconnu"))</f>
        <v/>
      </c>
      <c r="D1132" s="8">
        <f>IF(A1132="","",IFERROR(VLOOKUP(B1132,TblArticles,3,FALSE),""))</f>
        <v/>
      </c>
      <c r="E1132" s="9">
        <f>IFERROR(DATE(2000+VALUE(MID(H1132,FIND("15",H1132,FIND("01",H1132)+16)+2,2)),VALUE(MID(H1132,FIND("15",H1132,FIND("01",H1132)+16)+4,2)),VALUE(MID(H1132,FIND("15",H1132,FIND("01",H1132)+16)+6,2))),"")</f>
        <v/>
      </c>
      <c r="F1132" s="8">
        <f>IFERROR(MID(H1132,FIND("10",H1132,FIND("15",H1132,FIND("01",H1132)+16)+8)+2,50),"")</f>
        <v/>
      </c>
      <c r="G1132" s="8" t="n"/>
      <c r="H1132" s="8">
        <f>SUBSTITUTE(SUBSTITUTE(SUBSTITUTE(SUBSTITUTE(A1132,"(",""),")","")," ",""),CHAR(29),"")</f>
        <v/>
      </c>
    </row>
    <row r="1133">
      <c r="A1133" s="4" t="n"/>
      <c r="B1133" s="5">
        <f>IFERROR(MID(H1133,FIND("01",H1133)+2,14),"")</f>
        <v/>
      </c>
      <c r="C1133" s="4">
        <f>IF(A1133="","",IFERROR(VLOOKUP(B1133,TblArticles,2,FALSE),"GTIN inconnu"))</f>
        <v/>
      </c>
      <c r="D1133" s="5">
        <f>IF(A1133="","",IFERROR(VLOOKUP(B1133,TblArticles,3,FALSE),""))</f>
        <v/>
      </c>
      <c r="E1133" s="6">
        <f>IFERROR(DATE(2000+VALUE(MID(H1133,FIND("15",H1133,FIND("01",H1133)+16)+2,2)),VALUE(MID(H1133,FIND("15",H1133,FIND("01",H1133)+16)+4,2)),VALUE(MID(H1133,FIND("15",H1133,FIND("01",H1133)+16)+6,2))),"")</f>
        <v/>
      </c>
      <c r="F1133" s="5">
        <f>IFERROR(MID(H1133,FIND("10",H1133,FIND("15",H1133,FIND("01",H1133)+16)+8)+2,50),"")</f>
        <v/>
      </c>
      <c r="G1133" s="5" t="n"/>
      <c r="H1133" s="5">
        <f>SUBSTITUTE(SUBSTITUTE(SUBSTITUTE(SUBSTITUTE(A1133,"(",""),")","")," ",""),CHAR(29),"")</f>
        <v/>
      </c>
    </row>
    <row r="1134">
      <c r="A1134" s="7" t="n"/>
      <c r="B1134" s="8">
        <f>IFERROR(MID(H1134,FIND("01",H1134)+2,14),"")</f>
        <v/>
      </c>
      <c r="C1134" s="7">
        <f>IF(A1134="","",IFERROR(VLOOKUP(B1134,TblArticles,2,FALSE),"GTIN inconnu"))</f>
        <v/>
      </c>
      <c r="D1134" s="8">
        <f>IF(A1134="","",IFERROR(VLOOKUP(B1134,TblArticles,3,FALSE),""))</f>
        <v/>
      </c>
      <c r="E1134" s="9">
        <f>IFERROR(DATE(2000+VALUE(MID(H1134,FIND("15",H1134,FIND("01",H1134)+16)+2,2)),VALUE(MID(H1134,FIND("15",H1134,FIND("01",H1134)+16)+4,2)),VALUE(MID(H1134,FIND("15",H1134,FIND("01",H1134)+16)+6,2))),"")</f>
        <v/>
      </c>
      <c r="F1134" s="8">
        <f>IFERROR(MID(H1134,FIND("10",H1134,FIND("15",H1134,FIND("01",H1134)+16)+8)+2,50),"")</f>
        <v/>
      </c>
      <c r="G1134" s="8" t="n"/>
      <c r="H1134" s="8">
        <f>SUBSTITUTE(SUBSTITUTE(SUBSTITUTE(SUBSTITUTE(A1134,"(",""),")","")," ",""),CHAR(29),"")</f>
        <v/>
      </c>
    </row>
    <row r="1135">
      <c r="A1135" s="4" t="n"/>
      <c r="B1135" s="5">
        <f>IFERROR(MID(H1135,FIND("01",H1135)+2,14),"")</f>
        <v/>
      </c>
      <c r="C1135" s="4">
        <f>IF(A1135="","",IFERROR(VLOOKUP(B1135,TblArticles,2,FALSE),"GTIN inconnu"))</f>
        <v/>
      </c>
      <c r="D1135" s="5">
        <f>IF(A1135="","",IFERROR(VLOOKUP(B1135,TblArticles,3,FALSE),""))</f>
        <v/>
      </c>
      <c r="E1135" s="6">
        <f>IFERROR(DATE(2000+VALUE(MID(H1135,FIND("15",H1135,FIND("01",H1135)+16)+2,2)),VALUE(MID(H1135,FIND("15",H1135,FIND("01",H1135)+16)+4,2)),VALUE(MID(H1135,FIND("15",H1135,FIND("01",H1135)+16)+6,2))),"")</f>
        <v/>
      </c>
      <c r="F1135" s="5">
        <f>IFERROR(MID(H1135,FIND("10",H1135,FIND("15",H1135,FIND("01",H1135)+16)+8)+2,50),"")</f>
        <v/>
      </c>
      <c r="G1135" s="5" t="n"/>
      <c r="H1135" s="5">
        <f>SUBSTITUTE(SUBSTITUTE(SUBSTITUTE(SUBSTITUTE(A1135,"(",""),")","")," ",""),CHAR(29),"")</f>
        <v/>
      </c>
    </row>
    <row r="1136">
      <c r="A1136" s="7" t="n"/>
      <c r="B1136" s="8">
        <f>IFERROR(MID(H1136,FIND("01",H1136)+2,14),"")</f>
        <v/>
      </c>
      <c r="C1136" s="7">
        <f>IF(A1136="","",IFERROR(VLOOKUP(B1136,TblArticles,2,FALSE),"GTIN inconnu"))</f>
        <v/>
      </c>
      <c r="D1136" s="8">
        <f>IF(A1136="","",IFERROR(VLOOKUP(B1136,TblArticles,3,FALSE),""))</f>
        <v/>
      </c>
      <c r="E1136" s="9">
        <f>IFERROR(DATE(2000+VALUE(MID(H1136,FIND("15",H1136,FIND("01",H1136)+16)+2,2)),VALUE(MID(H1136,FIND("15",H1136,FIND("01",H1136)+16)+4,2)),VALUE(MID(H1136,FIND("15",H1136,FIND("01",H1136)+16)+6,2))),"")</f>
        <v/>
      </c>
      <c r="F1136" s="8">
        <f>IFERROR(MID(H1136,FIND("10",H1136,FIND("15",H1136,FIND("01",H1136)+16)+8)+2,50),"")</f>
        <v/>
      </c>
      <c r="G1136" s="8" t="n"/>
      <c r="H1136" s="8">
        <f>SUBSTITUTE(SUBSTITUTE(SUBSTITUTE(SUBSTITUTE(A1136,"(",""),")","")," ",""),CHAR(29),"")</f>
        <v/>
      </c>
    </row>
    <row r="1137">
      <c r="A1137" s="4" t="n"/>
      <c r="B1137" s="5">
        <f>IFERROR(MID(H1137,FIND("01",H1137)+2,14),"")</f>
        <v/>
      </c>
      <c r="C1137" s="4">
        <f>IF(A1137="","",IFERROR(VLOOKUP(B1137,TblArticles,2,FALSE),"GTIN inconnu"))</f>
        <v/>
      </c>
      <c r="D1137" s="5">
        <f>IF(A1137="","",IFERROR(VLOOKUP(B1137,TblArticles,3,FALSE),""))</f>
        <v/>
      </c>
      <c r="E1137" s="6">
        <f>IFERROR(DATE(2000+VALUE(MID(H1137,FIND("15",H1137,FIND("01",H1137)+16)+2,2)),VALUE(MID(H1137,FIND("15",H1137,FIND("01",H1137)+16)+4,2)),VALUE(MID(H1137,FIND("15",H1137,FIND("01",H1137)+16)+6,2))),"")</f>
        <v/>
      </c>
      <c r="F1137" s="5">
        <f>IFERROR(MID(H1137,FIND("10",H1137,FIND("15",H1137,FIND("01",H1137)+16)+8)+2,50),"")</f>
        <v/>
      </c>
      <c r="G1137" s="5" t="n"/>
      <c r="H1137" s="5">
        <f>SUBSTITUTE(SUBSTITUTE(SUBSTITUTE(SUBSTITUTE(A1137,"(",""),")","")," ",""),CHAR(29),"")</f>
        <v/>
      </c>
    </row>
    <row r="1138">
      <c r="A1138" s="7" t="n"/>
      <c r="B1138" s="8">
        <f>IFERROR(MID(H1138,FIND("01",H1138)+2,14),"")</f>
        <v/>
      </c>
      <c r="C1138" s="7">
        <f>IF(A1138="","",IFERROR(VLOOKUP(B1138,TblArticles,2,FALSE),"GTIN inconnu"))</f>
        <v/>
      </c>
      <c r="D1138" s="8">
        <f>IF(A1138="","",IFERROR(VLOOKUP(B1138,TblArticles,3,FALSE),""))</f>
        <v/>
      </c>
      <c r="E1138" s="9">
        <f>IFERROR(DATE(2000+VALUE(MID(H1138,FIND("15",H1138,FIND("01",H1138)+16)+2,2)),VALUE(MID(H1138,FIND("15",H1138,FIND("01",H1138)+16)+4,2)),VALUE(MID(H1138,FIND("15",H1138,FIND("01",H1138)+16)+6,2))),"")</f>
        <v/>
      </c>
      <c r="F1138" s="8">
        <f>IFERROR(MID(H1138,FIND("10",H1138,FIND("15",H1138,FIND("01",H1138)+16)+8)+2,50),"")</f>
        <v/>
      </c>
      <c r="G1138" s="8" t="n"/>
      <c r="H1138" s="8">
        <f>SUBSTITUTE(SUBSTITUTE(SUBSTITUTE(SUBSTITUTE(A1138,"(",""),")","")," ",""),CHAR(29),"")</f>
        <v/>
      </c>
    </row>
    <row r="1139">
      <c r="A1139" s="4" t="n"/>
      <c r="B1139" s="5">
        <f>IFERROR(MID(H1139,FIND("01",H1139)+2,14),"")</f>
        <v/>
      </c>
      <c r="C1139" s="4">
        <f>IF(A1139="","",IFERROR(VLOOKUP(B1139,TblArticles,2,FALSE),"GTIN inconnu"))</f>
        <v/>
      </c>
      <c r="D1139" s="5">
        <f>IF(A1139="","",IFERROR(VLOOKUP(B1139,TblArticles,3,FALSE),""))</f>
        <v/>
      </c>
      <c r="E1139" s="6">
        <f>IFERROR(DATE(2000+VALUE(MID(H1139,FIND("15",H1139,FIND("01",H1139)+16)+2,2)),VALUE(MID(H1139,FIND("15",H1139,FIND("01",H1139)+16)+4,2)),VALUE(MID(H1139,FIND("15",H1139,FIND("01",H1139)+16)+6,2))),"")</f>
        <v/>
      </c>
      <c r="F1139" s="5">
        <f>IFERROR(MID(H1139,FIND("10",H1139,FIND("15",H1139,FIND("01",H1139)+16)+8)+2,50),"")</f>
        <v/>
      </c>
      <c r="G1139" s="5" t="n"/>
      <c r="H1139" s="5">
        <f>SUBSTITUTE(SUBSTITUTE(SUBSTITUTE(SUBSTITUTE(A1139,"(",""),")","")," ",""),CHAR(29),"")</f>
        <v/>
      </c>
    </row>
    <row r="1140">
      <c r="A1140" s="7" t="n"/>
      <c r="B1140" s="8">
        <f>IFERROR(MID(H1140,FIND("01",H1140)+2,14),"")</f>
        <v/>
      </c>
      <c r="C1140" s="7">
        <f>IF(A1140="","",IFERROR(VLOOKUP(B1140,TblArticles,2,FALSE),"GTIN inconnu"))</f>
        <v/>
      </c>
      <c r="D1140" s="8">
        <f>IF(A1140="","",IFERROR(VLOOKUP(B1140,TblArticles,3,FALSE),""))</f>
        <v/>
      </c>
      <c r="E1140" s="9">
        <f>IFERROR(DATE(2000+VALUE(MID(H1140,FIND("15",H1140,FIND("01",H1140)+16)+2,2)),VALUE(MID(H1140,FIND("15",H1140,FIND("01",H1140)+16)+4,2)),VALUE(MID(H1140,FIND("15",H1140,FIND("01",H1140)+16)+6,2))),"")</f>
        <v/>
      </c>
      <c r="F1140" s="8">
        <f>IFERROR(MID(H1140,FIND("10",H1140,FIND("15",H1140,FIND("01",H1140)+16)+8)+2,50),"")</f>
        <v/>
      </c>
      <c r="G1140" s="8" t="n"/>
      <c r="H1140" s="8">
        <f>SUBSTITUTE(SUBSTITUTE(SUBSTITUTE(SUBSTITUTE(A1140,"(",""),")","")," ",""),CHAR(29),"")</f>
        <v/>
      </c>
    </row>
    <row r="1141">
      <c r="A1141" s="4" t="n"/>
      <c r="B1141" s="5">
        <f>IFERROR(MID(H1141,FIND("01",H1141)+2,14),"")</f>
        <v/>
      </c>
      <c r="C1141" s="4">
        <f>IF(A1141="","",IFERROR(VLOOKUP(B1141,TblArticles,2,FALSE),"GTIN inconnu"))</f>
        <v/>
      </c>
      <c r="D1141" s="5">
        <f>IF(A1141="","",IFERROR(VLOOKUP(B1141,TblArticles,3,FALSE),""))</f>
        <v/>
      </c>
      <c r="E1141" s="6">
        <f>IFERROR(DATE(2000+VALUE(MID(H1141,FIND("15",H1141,FIND("01",H1141)+16)+2,2)),VALUE(MID(H1141,FIND("15",H1141,FIND("01",H1141)+16)+4,2)),VALUE(MID(H1141,FIND("15",H1141,FIND("01",H1141)+16)+6,2))),"")</f>
        <v/>
      </c>
      <c r="F1141" s="5">
        <f>IFERROR(MID(H1141,FIND("10",H1141,FIND("15",H1141,FIND("01",H1141)+16)+8)+2,50),"")</f>
        <v/>
      </c>
      <c r="G1141" s="5" t="n"/>
      <c r="H1141" s="5">
        <f>SUBSTITUTE(SUBSTITUTE(SUBSTITUTE(SUBSTITUTE(A1141,"(",""),")","")," ",""),CHAR(29),"")</f>
        <v/>
      </c>
    </row>
    <row r="1142">
      <c r="A1142" s="7" t="n"/>
      <c r="B1142" s="8">
        <f>IFERROR(MID(H1142,FIND("01",H1142)+2,14),"")</f>
        <v/>
      </c>
      <c r="C1142" s="7">
        <f>IF(A1142="","",IFERROR(VLOOKUP(B1142,TblArticles,2,FALSE),"GTIN inconnu"))</f>
        <v/>
      </c>
      <c r="D1142" s="8">
        <f>IF(A1142="","",IFERROR(VLOOKUP(B1142,TblArticles,3,FALSE),""))</f>
        <v/>
      </c>
      <c r="E1142" s="9">
        <f>IFERROR(DATE(2000+VALUE(MID(H1142,FIND("15",H1142,FIND("01",H1142)+16)+2,2)),VALUE(MID(H1142,FIND("15",H1142,FIND("01",H1142)+16)+4,2)),VALUE(MID(H1142,FIND("15",H1142,FIND("01",H1142)+16)+6,2))),"")</f>
        <v/>
      </c>
      <c r="F1142" s="8">
        <f>IFERROR(MID(H1142,FIND("10",H1142,FIND("15",H1142,FIND("01",H1142)+16)+8)+2,50),"")</f>
        <v/>
      </c>
      <c r="G1142" s="8" t="n"/>
      <c r="H1142" s="8">
        <f>SUBSTITUTE(SUBSTITUTE(SUBSTITUTE(SUBSTITUTE(A1142,"(",""),")","")," ",""),CHAR(29),"")</f>
        <v/>
      </c>
    </row>
    <row r="1143">
      <c r="A1143" s="4" t="n"/>
      <c r="B1143" s="5">
        <f>IFERROR(MID(H1143,FIND("01",H1143)+2,14),"")</f>
        <v/>
      </c>
      <c r="C1143" s="4">
        <f>IF(A1143="","",IFERROR(VLOOKUP(B1143,TblArticles,2,FALSE),"GTIN inconnu"))</f>
        <v/>
      </c>
      <c r="D1143" s="5">
        <f>IF(A1143="","",IFERROR(VLOOKUP(B1143,TblArticles,3,FALSE),""))</f>
        <v/>
      </c>
      <c r="E1143" s="6">
        <f>IFERROR(DATE(2000+VALUE(MID(H1143,FIND("15",H1143,FIND("01",H1143)+16)+2,2)),VALUE(MID(H1143,FIND("15",H1143,FIND("01",H1143)+16)+4,2)),VALUE(MID(H1143,FIND("15",H1143,FIND("01",H1143)+16)+6,2))),"")</f>
        <v/>
      </c>
      <c r="F1143" s="5">
        <f>IFERROR(MID(H1143,FIND("10",H1143,FIND("15",H1143,FIND("01",H1143)+16)+8)+2,50),"")</f>
        <v/>
      </c>
      <c r="G1143" s="5" t="n"/>
      <c r="H1143" s="5">
        <f>SUBSTITUTE(SUBSTITUTE(SUBSTITUTE(SUBSTITUTE(A1143,"(",""),")","")," ",""),CHAR(29),"")</f>
        <v/>
      </c>
    </row>
    <row r="1144">
      <c r="A1144" s="7" t="n"/>
      <c r="B1144" s="8">
        <f>IFERROR(MID(H1144,FIND("01",H1144)+2,14),"")</f>
        <v/>
      </c>
      <c r="C1144" s="7">
        <f>IF(A1144="","",IFERROR(VLOOKUP(B1144,TblArticles,2,FALSE),"GTIN inconnu"))</f>
        <v/>
      </c>
      <c r="D1144" s="8">
        <f>IF(A1144="","",IFERROR(VLOOKUP(B1144,TblArticles,3,FALSE),""))</f>
        <v/>
      </c>
      <c r="E1144" s="9">
        <f>IFERROR(DATE(2000+VALUE(MID(H1144,FIND("15",H1144,FIND("01",H1144)+16)+2,2)),VALUE(MID(H1144,FIND("15",H1144,FIND("01",H1144)+16)+4,2)),VALUE(MID(H1144,FIND("15",H1144,FIND("01",H1144)+16)+6,2))),"")</f>
        <v/>
      </c>
      <c r="F1144" s="8">
        <f>IFERROR(MID(H1144,FIND("10",H1144,FIND("15",H1144,FIND("01",H1144)+16)+8)+2,50),"")</f>
        <v/>
      </c>
      <c r="G1144" s="8" t="n"/>
      <c r="H1144" s="8">
        <f>SUBSTITUTE(SUBSTITUTE(SUBSTITUTE(SUBSTITUTE(A1144,"(",""),")","")," ",""),CHAR(29),"")</f>
        <v/>
      </c>
    </row>
    <row r="1145">
      <c r="A1145" s="4" t="n"/>
      <c r="B1145" s="5">
        <f>IFERROR(MID(H1145,FIND("01",H1145)+2,14),"")</f>
        <v/>
      </c>
      <c r="C1145" s="4">
        <f>IF(A1145="","",IFERROR(VLOOKUP(B1145,TblArticles,2,FALSE),"GTIN inconnu"))</f>
        <v/>
      </c>
      <c r="D1145" s="5">
        <f>IF(A1145="","",IFERROR(VLOOKUP(B1145,TblArticles,3,FALSE),""))</f>
        <v/>
      </c>
      <c r="E1145" s="6">
        <f>IFERROR(DATE(2000+VALUE(MID(H1145,FIND("15",H1145,FIND("01",H1145)+16)+2,2)),VALUE(MID(H1145,FIND("15",H1145,FIND("01",H1145)+16)+4,2)),VALUE(MID(H1145,FIND("15",H1145,FIND("01",H1145)+16)+6,2))),"")</f>
        <v/>
      </c>
      <c r="F1145" s="5">
        <f>IFERROR(MID(H1145,FIND("10",H1145,FIND("15",H1145,FIND("01",H1145)+16)+8)+2,50),"")</f>
        <v/>
      </c>
      <c r="G1145" s="5" t="n"/>
      <c r="H1145" s="5">
        <f>SUBSTITUTE(SUBSTITUTE(SUBSTITUTE(SUBSTITUTE(A1145,"(",""),")","")," ",""),CHAR(29),"")</f>
        <v/>
      </c>
    </row>
    <row r="1146">
      <c r="A1146" s="7" t="n"/>
      <c r="B1146" s="8">
        <f>IFERROR(MID(H1146,FIND("01",H1146)+2,14),"")</f>
        <v/>
      </c>
      <c r="C1146" s="7">
        <f>IF(A1146="","",IFERROR(VLOOKUP(B1146,TblArticles,2,FALSE),"GTIN inconnu"))</f>
        <v/>
      </c>
      <c r="D1146" s="8">
        <f>IF(A1146="","",IFERROR(VLOOKUP(B1146,TblArticles,3,FALSE),""))</f>
        <v/>
      </c>
      <c r="E1146" s="9">
        <f>IFERROR(DATE(2000+VALUE(MID(H1146,FIND("15",H1146,FIND("01",H1146)+16)+2,2)),VALUE(MID(H1146,FIND("15",H1146,FIND("01",H1146)+16)+4,2)),VALUE(MID(H1146,FIND("15",H1146,FIND("01",H1146)+16)+6,2))),"")</f>
        <v/>
      </c>
      <c r="F1146" s="8">
        <f>IFERROR(MID(H1146,FIND("10",H1146,FIND("15",H1146,FIND("01",H1146)+16)+8)+2,50),"")</f>
        <v/>
      </c>
      <c r="G1146" s="8" t="n"/>
      <c r="H1146" s="8">
        <f>SUBSTITUTE(SUBSTITUTE(SUBSTITUTE(SUBSTITUTE(A1146,"(",""),")","")," ",""),CHAR(29),"")</f>
        <v/>
      </c>
    </row>
    <row r="1147">
      <c r="A1147" s="4" t="n"/>
      <c r="B1147" s="5">
        <f>IFERROR(MID(H1147,FIND("01",H1147)+2,14),"")</f>
        <v/>
      </c>
      <c r="C1147" s="4">
        <f>IF(A1147="","",IFERROR(VLOOKUP(B1147,TblArticles,2,FALSE),"GTIN inconnu"))</f>
        <v/>
      </c>
      <c r="D1147" s="5">
        <f>IF(A1147="","",IFERROR(VLOOKUP(B1147,TblArticles,3,FALSE),""))</f>
        <v/>
      </c>
      <c r="E1147" s="6">
        <f>IFERROR(DATE(2000+VALUE(MID(H1147,FIND("15",H1147,FIND("01",H1147)+16)+2,2)),VALUE(MID(H1147,FIND("15",H1147,FIND("01",H1147)+16)+4,2)),VALUE(MID(H1147,FIND("15",H1147,FIND("01",H1147)+16)+6,2))),"")</f>
        <v/>
      </c>
      <c r="F1147" s="5">
        <f>IFERROR(MID(H1147,FIND("10",H1147,FIND("15",H1147,FIND("01",H1147)+16)+8)+2,50),"")</f>
        <v/>
      </c>
      <c r="G1147" s="5" t="n"/>
      <c r="H1147" s="5">
        <f>SUBSTITUTE(SUBSTITUTE(SUBSTITUTE(SUBSTITUTE(A1147,"(",""),")","")," ",""),CHAR(29),"")</f>
        <v/>
      </c>
    </row>
    <row r="1148">
      <c r="A1148" s="7" t="n"/>
      <c r="B1148" s="8">
        <f>IFERROR(MID(H1148,FIND("01",H1148)+2,14),"")</f>
        <v/>
      </c>
      <c r="C1148" s="7">
        <f>IF(A1148="","",IFERROR(VLOOKUP(B1148,TblArticles,2,FALSE),"GTIN inconnu"))</f>
        <v/>
      </c>
      <c r="D1148" s="8">
        <f>IF(A1148="","",IFERROR(VLOOKUP(B1148,TblArticles,3,FALSE),""))</f>
        <v/>
      </c>
      <c r="E1148" s="9">
        <f>IFERROR(DATE(2000+VALUE(MID(H1148,FIND("15",H1148,FIND("01",H1148)+16)+2,2)),VALUE(MID(H1148,FIND("15",H1148,FIND("01",H1148)+16)+4,2)),VALUE(MID(H1148,FIND("15",H1148,FIND("01",H1148)+16)+6,2))),"")</f>
        <v/>
      </c>
      <c r="F1148" s="8">
        <f>IFERROR(MID(H1148,FIND("10",H1148,FIND("15",H1148,FIND("01",H1148)+16)+8)+2,50),"")</f>
        <v/>
      </c>
      <c r="G1148" s="8" t="n"/>
      <c r="H1148" s="8">
        <f>SUBSTITUTE(SUBSTITUTE(SUBSTITUTE(SUBSTITUTE(A1148,"(",""),")","")," ",""),CHAR(29),"")</f>
        <v/>
      </c>
    </row>
    <row r="1149">
      <c r="A1149" s="4" t="n"/>
      <c r="B1149" s="5">
        <f>IFERROR(MID(H1149,FIND("01",H1149)+2,14),"")</f>
        <v/>
      </c>
      <c r="C1149" s="4">
        <f>IF(A1149="","",IFERROR(VLOOKUP(B1149,TblArticles,2,FALSE),"GTIN inconnu"))</f>
        <v/>
      </c>
      <c r="D1149" s="5">
        <f>IF(A1149="","",IFERROR(VLOOKUP(B1149,TblArticles,3,FALSE),""))</f>
        <v/>
      </c>
      <c r="E1149" s="6">
        <f>IFERROR(DATE(2000+VALUE(MID(H1149,FIND("15",H1149,FIND("01",H1149)+16)+2,2)),VALUE(MID(H1149,FIND("15",H1149,FIND("01",H1149)+16)+4,2)),VALUE(MID(H1149,FIND("15",H1149,FIND("01",H1149)+16)+6,2))),"")</f>
        <v/>
      </c>
      <c r="F1149" s="5">
        <f>IFERROR(MID(H1149,FIND("10",H1149,FIND("15",H1149,FIND("01",H1149)+16)+8)+2,50),"")</f>
        <v/>
      </c>
      <c r="G1149" s="5" t="n"/>
      <c r="H1149" s="5">
        <f>SUBSTITUTE(SUBSTITUTE(SUBSTITUTE(SUBSTITUTE(A1149,"(",""),")","")," ",""),CHAR(29),"")</f>
        <v/>
      </c>
    </row>
    <row r="1150">
      <c r="A1150" s="7" t="n"/>
      <c r="B1150" s="8">
        <f>IFERROR(MID(H1150,FIND("01",H1150)+2,14),"")</f>
        <v/>
      </c>
      <c r="C1150" s="7">
        <f>IF(A1150="","",IFERROR(VLOOKUP(B1150,TblArticles,2,FALSE),"GTIN inconnu"))</f>
        <v/>
      </c>
      <c r="D1150" s="8">
        <f>IF(A1150="","",IFERROR(VLOOKUP(B1150,TblArticles,3,FALSE),""))</f>
        <v/>
      </c>
      <c r="E1150" s="9">
        <f>IFERROR(DATE(2000+VALUE(MID(H1150,FIND("15",H1150,FIND("01",H1150)+16)+2,2)),VALUE(MID(H1150,FIND("15",H1150,FIND("01",H1150)+16)+4,2)),VALUE(MID(H1150,FIND("15",H1150,FIND("01",H1150)+16)+6,2))),"")</f>
        <v/>
      </c>
      <c r="F1150" s="8">
        <f>IFERROR(MID(H1150,FIND("10",H1150,FIND("15",H1150,FIND("01",H1150)+16)+8)+2,50),"")</f>
        <v/>
      </c>
      <c r="G1150" s="8" t="n"/>
      <c r="H1150" s="8">
        <f>SUBSTITUTE(SUBSTITUTE(SUBSTITUTE(SUBSTITUTE(A1150,"(",""),")","")," ",""),CHAR(29),"")</f>
        <v/>
      </c>
    </row>
    <row r="1151">
      <c r="A1151" s="4" t="n"/>
      <c r="B1151" s="5">
        <f>IFERROR(MID(H1151,FIND("01",H1151)+2,14),"")</f>
        <v/>
      </c>
      <c r="C1151" s="4">
        <f>IF(A1151="","",IFERROR(VLOOKUP(B1151,TblArticles,2,FALSE),"GTIN inconnu"))</f>
        <v/>
      </c>
      <c r="D1151" s="5">
        <f>IF(A1151="","",IFERROR(VLOOKUP(B1151,TblArticles,3,FALSE),""))</f>
        <v/>
      </c>
      <c r="E1151" s="6">
        <f>IFERROR(DATE(2000+VALUE(MID(H1151,FIND("15",H1151,FIND("01",H1151)+16)+2,2)),VALUE(MID(H1151,FIND("15",H1151,FIND("01",H1151)+16)+4,2)),VALUE(MID(H1151,FIND("15",H1151,FIND("01",H1151)+16)+6,2))),"")</f>
        <v/>
      </c>
      <c r="F1151" s="5">
        <f>IFERROR(MID(H1151,FIND("10",H1151,FIND("15",H1151,FIND("01",H1151)+16)+8)+2,50),"")</f>
        <v/>
      </c>
      <c r="G1151" s="5" t="n"/>
      <c r="H1151" s="5">
        <f>SUBSTITUTE(SUBSTITUTE(SUBSTITUTE(SUBSTITUTE(A1151,"(",""),")","")," ",""),CHAR(29),"")</f>
        <v/>
      </c>
    </row>
    <row r="1152">
      <c r="A1152" s="7" t="n"/>
      <c r="B1152" s="8">
        <f>IFERROR(MID(H1152,FIND("01",H1152)+2,14),"")</f>
        <v/>
      </c>
      <c r="C1152" s="7">
        <f>IF(A1152="","",IFERROR(VLOOKUP(B1152,TblArticles,2,FALSE),"GTIN inconnu"))</f>
        <v/>
      </c>
      <c r="D1152" s="8">
        <f>IF(A1152="","",IFERROR(VLOOKUP(B1152,TblArticles,3,FALSE),""))</f>
        <v/>
      </c>
      <c r="E1152" s="9">
        <f>IFERROR(DATE(2000+VALUE(MID(H1152,FIND("15",H1152,FIND("01",H1152)+16)+2,2)),VALUE(MID(H1152,FIND("15",H1152,FIND("01",H1152)+16)+4,2)),VALUE(MID(H1152,FIND("15",H1152,FIND("01",H1152)+16)+6,2))),"")</f>
        <v/>
      </c>
      <c r="F1152" s="8">
        <f>IFERROR(MID(H1152,FIND("10",H1152,FIND("15",H1152,FIND("01",H1152)+16)+8)+2,50),"")</f>
        <v/>
      </c>
      <c r="G1152" s="8" t="n"/>
      <c r="H1152" s="8">
        <f>SUBSTITUTE(SUBSTITUTE(SUBSTITUTE(SUBSTITUTE(A1152,"(",""),")","")," ",""),CHAR(29),"")</f>
        <v/>
      </c>
    </row>
    <row r="1153">
      <c r="A1153" s="4" t="n"/>
      <c r="B1153" s="5">
        <f>IFERROR(MID(H1153,FIND("01",H1153)+2,14),"")</f>
        <v/>
      </c>
      <c r="C1153" s="4">
        <f>IF(A1153="","",IFERROR(VLOOKUP(B1153,TblArticles,2,FALSE),"GTIN inconnu"))</f>
        <v/>
      </c>
      <c r="D1153" s="5">
        <f>IF(A1153="","",IFERROR(VLOOKUP(B1153,TblArticles,3,FALSE),""))</f>
        <v/>
      </c>
      <c r="E1153" s="6">
        <f>IFERROR(DATE(2000+VALUE(MID(H1153,FIND("15",H1153,FIND("01",H1153)+16)+2,2)),VALUE(MID(H1153,FIND("15",H1153,FIND("01",H1153)+16)+4,2)),VALUE(MID(H1153,FIND("15",H1153,FIND("01",H1153)+16)+6,2))),"")</f>
        <v/>
      </c>
      <c r="F1153" s="5">
        <f>IFERROR(MID(H1153,FIND("10",H1153,FIND("15",H1153,FIND("01",H1153)+16)+8)+2,50),"")</f>
        <v/>
      </c>
      <c r="G1153" s="5" t="n"/>
      <c r="H1153" s="5">
        <f>SUBSTITUTE(SUBSTITUTE(SUBSTITUTE(SUBSTITUTE(A1153,"(",""),")","")," ",""),CHAR(29),"")</f>
        <v/>
      </c>
    </row>
    <row r="1154">
      <c r="A1154" s="7" t="n"/>
      <c r="B1154" s="8">
        <f>IFERROR(MID(H1154,FIND("01",H1154)+2,14),"")</f>
        <v/>
      </c>
      <c r="C1154" s="7">
        <f>IF(A1154="","",IFERROR(VLOOKUP(B1154,TblArticles,2,FALSE),"GTIN inconnu"))</f>
        <v/>
      </c>
      <c r="D1154" s="8">
        <f>IF(A1154="","",IFERROR(VLOOKUP(B1154,TblArticles,3,FALSE),""))</f>
        <v/>
      </c>
      <c r="E1154" s="9">
        <f>IFERROR(DATE(2000+VALUE(MID(H1154,FIND("15",H1154,FIND("01",H1154)+16)+2,2)),VALUE(MID(H1154,FIND("15",H1154,FIND("01",H1154)+16)+4,2)),VALUE(MID(H1154,FIND("15",H1154,FIND("01",H1154)+16)+6,2))),"")</f>
        <v/>
      </c>
      <c r="F1154" s="8">
        <f>IFERROR(MID(H1154,FIND("10",H1154,FIND("15",H1154,FIND("01",H1154)+16)+8)+2,50),"")</f>
        <v/>
      </c>
      <c r="G1154" s="8" t="n"/>
      <c r="H1154" s="8">
        <f>SUBSTITUTE(SUBSTITUTE(SUBSTITUTE(SUBSTITUTE(A1154,"(",""),")","")," ",""),CHAR(29),"")</f>
        <v/>
      </c>
    </row>
    <row r="1155">
      <c r="A1155" s="4" t="n"/>
      <c r="B1155" s="5">
        <f>IFERROR(MID(H1155,FIND("01",H1155)+2,14),"")</f>
        <v/>
      </c>
      <c r="C1155" s="4">
        <f>IF(A1155="","",IFERROR(VLOOKUP(B1155,TblArticles,2,FALSE),"GTIN inconnu"))</f>
        <v/>
      </c>
      <c r="D1155" s="5">
        <f>IF(A1155="","",IFERROR(VLOOKUP(B1155,TblArticles,3,FALSE),""))</f>
        <v/>
      </c>
      <c r="E1155" s="6">
        <f>IFERROR(DATE(2000+VALUE(MID(H1155,FIND("15",H1155,FIND("01",H1155)+16)+2,2)),VALUE(MID(H1155,FIND("15",H1155,FIND("01",H1155)+16)+4,2)),VALUE(MID(H1155,FIND("15",H1155,FIND("01",H1155)+16)+6,2))),"")</f>
        <v/>
      </c>
      <c r="F1155" s="5">
        <f>IFERROR(MID(H1155,FIND("10",H1155,FIND("15",H1155,FIND("01",H1155)+16)+8)+2,50),"")</f>
        <v/>
      </c>
      <c r="G1155" s="5" t="n"/>
      <c r="H1155" s="5">
        <f>SUBSTITUTE(SUBSTITUTE(SUBSTITUTE(SUBSTITUTE(A1155,"(",""),")","")," ",""),CHAR(29),"")</f>
        <v/>
      </c>
    </row>
    <row r="1156">
      <c r="A1156" s="7" t="n"/>
      <c r="B1156" s="8">
        <f>IFERROR(MID(H1156,FIND("01",H1156)+2,14),"")</f>
        <v/>
      </c>
      <c r="C1156" s="7">
        <f>IF(A1156="","",IFERROR(VLOOKUP(B1156,TblArticles,2,FALSE),"GTIN inconnu"))</f>
        <v/>
      </c>
      <c r="D1156" s="8">
        <f>IF(A1156="","",IFERROR(VLOOKUP(B1156,TblArticles,3,FALSE),""))</f>
        <v/>
      </c>
      <c r="E1156" s="9">
        <f>IFERROR(DATE(2000+VALUE(MID(H1156,FIND("15",H1156,FIND("01",H1156)+16)+2,2)),VALUE(MID(H1156,FIND("15",H1156,FIND("01",H1156)+16)+4,2)),VALUE(MID(H1156,FIND("15",H1156,FIND("01",H1156)+16)+6,2))),"")</f>
        <v/>
      </c>
      <c r="F1156" s="8">
        <f>IFERROR(MID(H1156,FIND("10",H1156,FIND("15",H1156,FIND("01",H1156)+16)+8)+2,50),"")</f>
        <v/>
      </c>
      <c r="G1156" s="8" t="n"/>
      <c r="H1156" s="8">
        <f>SUBSTITUTE(SUBSTITUTE(SUBSTITUTE(SUBSTITUTE(A1156,"(",""),")","")," ",""),CHAR(29),"")</f>
        <v/>
      </c>
    </row>
    <row r="1157">
      <c r="A1157" s="4" t="n"/>
      <c r="B1157" s="5">
        <f>IFERROR(MID(H1157,FIND("01",H1157)+2,14),"")</f>
        <v/>
      </c>
      <c r="C1157" s="4">
        <f>IF(A1157="","",IFERROR(VLOOKUP(B1157,TblArticles,2,FALSE),"GTIN inconnu"))</f>
        <v/>
      </c>
      <c r="D1157" s="5">
        <f>IF(A1157="","",IFERROR(VLOOKUP(B1157,TblArticles,3,FALSE),""))</f>
        <v/>
      </c>
      <c r="E1157" s="6">
        <f>IFERROR(DATE(2000+VALUE(MID(H1157,FIND("15",H1157,FIND("01",H1157)+16)+2,2)),VALUE(MID(H1157,FIND("15",H1157,FIND("01",H1157)+16)+4,2)),VALUE(MID(H1157,FIND("15",H1157,FIND("01",H1157)+16)+6,2))),"")</f>
        <v/>
      </c>
      <c r="F1157" s="5">
        <f>IFERROR(MID(H1157,FIND("10",H1157,FIND("15",H1157,FIND("01",H1157)+16)+8)+2,50),"")</f>
        <v/>
      </c>
      <c r="G1157" s="5" t="n"/>
      <c r="H1157" s="5">
        <f>SUBSTITUTE(SUBSTITUTE(SUBSTITUTE(SUBSTITUTE(A1157,"(",""),")","")," ",""),CHAR(29),"")</f>
        <v/>
      </c>
    </row>
    <row r="1158">
      <c r="A1158" s="7" t="n"/>
      <c r="B1158" s="8">
        <f>IFERROR(MID(H1158,FIND("01",H1158)+2,14),"")</f>
        <v/>
      </c>
      <c r="C1158" s="7">
        <f>IF(A1158="","",IFERROR(VLOOKUP(B1158,TblArticles,2,FALSE),"GTIN inconnu"))</f>
        <v/>
      </c>
      <c r="D1158" s="8">
        <f>IF(A1158="","",IFERROR(VLOOKUP(B1158,TblArticles,3,FALSE),""))</f>
        <v/>
      </c>
      <c r="E1158" s="9">
        <f>IFERROR(DATE(2000+VALUE(MID(H1158,FIND("15",H1158,FIND("01",H1158)+16)+2,2)),VALUE(MID(H1158,FIND("15",H1158,FIND("01",H1158)+16)+4,2)),VALUE(MID(H1158,FIND("15",H1158,FIND("01",H1158)+16)+6,2))),"")</f>
        <v/>
      </c>
      <c r="F1158" s="8">
        <f>IFERROR(MID(H1158,FIND("10",H1158,FIND("15",H1158,FIND("01",H1158)+16)+8)+2,50),"")</f>
        <v/>
      </c>
      <c r="G1158" s="8" t="n"/>
      <c r="H1158" s="8">
        <f>SUBSTITUTE(SUBSTITUTE(SUBSTITUTE(SUBSTITUTE(A1158,"(",""),")","")," ",""),CHAR(29),"")</f>
        <v/>
      </c>
    </row>
    <row r="1159">
      <c r="A1159" s="4" t="n"/>
      <c r="B1159" s="5">
        <f>IFERROR(MID(H1159,FIND("01",H1159)+2,14),"")</f>
        <v/>
      </c>
      <c r="C1159" s="4">
        <f>IF(A1159="","",IFERROR(VLOOKUP(B1159,TblArticles,2,FALSE),"GTIN inconnu"))</f>
        <v/>
      </c>
      <c r="D1159" s="5">
        <f>IF(A1159="","",IFERROR(VLOOKUP(B1159,TblArticles,3,FALSE),""))</f>
        <v/>
      </c>
      <c r="E1159" s="6">
        <f>IFERROR(DATE(2000+VALUE(MID(H1159,FIND("15",H1159,FIND("01",H1159)+16)+2,2)),VALUE(MID(H1159,FIND("15",H1159,FIND("01",H1159)+16)+4,2)),VALUE(MID(H1159,FIND("15",H1159,FIND("01",H1159)+16)+6,2))),"")</f>
        <v/>
      </c>
      <c r="F1159" s="5">
        <f>IFERROR(MID(H1159,FIND("10",H1159,FIND("15",H1159,FIND("01",H1159)+16)+8)+2,50),"")</f>
        <v/>
      </c>
      <c r="G1159" s="5" t="n"/>
      <c r="H1159" s="5">
        <f>SUBSTITUTE(SUBSTITUTE(SUBSTITUTE(SUBSTITUTE(A1159,"(",""),")","")," ",""),CHAR(29),"")</f>
        <v/>
      </c>
    </row>
    <row r="1160">
      <c r="A1160" s="7" t="n"/>
      <c r="B1160" s="8">
        <f>IFERROR(MID(H1160,FIND("01",H1160)+2,14),"")</f>
        <v/>
      </c>
      <c r="C1160" s="7">
        <f>IF(A1160="","",IFERROR(VLOOKUP(B1160,TblArticles,2,FALSE),"GTIN inconnu"))</f>
        <v/>
      </c>
      <c r="D1160" s="8">
        <f>IF(A1160="","",IFERROR(VLOOKUP(B1160,TblArticles,3,FALSE),""))</f>
        <v/>
      </c>
      <c r="E1160" s="9">
        <f>IFERROR(DATE(2000+VALUE(MID(H1160,FIND("15",H1160,FIND("01",H1160)+16)+2,2)),VALUE(MID(H1160,FIND("15",H1160,FIND("01",H1160)+16)+4,2)),VALUE(MID(H1160,FIND("15",H1160,FIND("01",H1160)+16)+6,2))),"")</f>
        <v/>
      </c>
      <c r="F1160" s="8">
        <f>IFERROR(MID(H1160,FIND("10",H1160,FIND("15",H1160,FIND("01",H1160)+16)+8)+2,50),"")</f>
        <v/>
      </c>
      <c r="G1160" s="8" t="n"/>
      <c r="H1160" s="8">
        <f>SUBSTITUTE(SUBSTITUTE(SUBSTITUTE(SUBSTITUTE(A1160,"(",""),")","")," ",""),CHAR(29),"")</f>
        <v/>
      </c>
    </row>
    <row r="1161">
      <c r="A1161" s="4" t="n"/>
      <c r="B1161" s="5">
        <f>IFERROR(MID(H1161,FIND("01",H1161)+2,14),"")</f>
        <v/>
      </c>
      <c r="C1161" s="4">
        <f>IF(A1161="","",IFERROR(VLOOKUP(B1161,TblArticles,2,FALSE),"GTIN inconnu"))</f>
        <v/>
      </c>
      <c r="D1161" s="5">
        <f>IF(A1161="","",IFERROR(VLOOKUP(B1161,TblArticles,3,FALSE),""))</f>
        <v/>
      </c>
      <c r="E1161" s="6">
        <f>IFERROR(DATE(2000+VALUE(MID(H1161,FIND("15",H1161,FIND("01",H1161)+16)+2,2)),VALUE(MID(H1161,FIND("15",H1161,FIND("01",H1161)+16)+4,2)),VALUE(MID(H1161,FIND("15",H1161,FIND("01",H1161)+16)+6,2))),"")</f>
        <v/>
      </c>
      <c r="F1161" s="5">
        <f>IFERROR(MID(H1161,FIND("10",H1161,FIND("15",H1161,FIND("01",H1161)+16)+8)+2,50),"")</f>
        <v/>
      </c>
      <c r="G1161" s="5" t="n"/>
      <c r="H1161" s="5">
        <f>SUBSTITUTE(SUBSTITUTE(SUBSTITUTE(SUBSTITUTE(A1161,"(",""),")","")," ",""),CHAR(29),"")</f>
        <v/>
      </c>
    </row>
    <row r="1162">
      <c r="A1162" s="7" t="n"/>
      <c r="B1162" s="8">
        <f>IFERROR(MID(H1162,FIND("01",H1162)+2,14),"")</f>
        <v/>
      </c>
      <c r="C1162" s="7">
        <f>IF(A1162="","",IFERROR(VLOOKUP(B1162,TblArticles,2,FALSE),"GTIN inconnu"))</f>
        <v/>
      </c>
      <c r="D1162" s="8">
        <f>IF(A1162="","",IFERROR(VLOOKUP(B1162,TblArticles,3,FALSE),""))</f>
        <v/>
      </c>
      <c r="E1162" s="9">
        <f>IFERROR(DATE(2000+VALUE(MID(H1162,FIND("15",H1162,FIND("01",H1162)+16)+2,2)),VALUE(MID(H1162,FIND("15",H1162,FIND("01",H1162)+16)+4,2)),VALUE(MID(H1162,FIND("15",H1162,FIND("01",H1162)+16)+6,2))),"")</f>
        <v/>
      </c>
      <c r="F1162" s="8">
        <f>IFERROR(MID(H1162,FIND("10",H1162,FIND("15",H1162,FIND("01",H1162)+16)+8)+2,50),"")</f>
        <v/>
      </c>
      <c r="G1162" s="8" t="n"/>
      <c r="H1162" s="8">
        <f>SUBSTITUTE(SUBSTITUTE(SUBSTITUTE(SUBSTITUTE(A1162,"(",""),")","")," ",""),CHAR(29),"")</f>
        <v/>
      </c>
    </row>
    <row r="1163">
      <c r="A1163" s="4" t="n"/>
      <c r="B1163" s="5">
        <f>IFERROR(MID(H1163,FIND("01",H1163)+2,14),"")</f>
        <v/>
      </c>
      <c r="C1163" s="4">
        <f>IF(A1163="","",IFERROR(VLOOKUP(B1163,TblArticles,2,FALSE),"GTIN inconnu"))</f>
        <v/>
      </c>
      <c r="D1163" s="5">
        <f>IF(A1163="","",IFERROR(VLOOKUP(B1163,TblArticles,3,FALSE),""))</f>
        <v/>
      </c>
      <c r="E1163" s="6">
        <f>IFERROR(DATE(2000+VALUE(MID(H1163,FIND("15",H1163,FIND("01",H1163)+16)+2,2)),VALUE(MID(H1163,FIND("15",H1163,FIND("01",H1163)+16)+4,2)),VALUE(MID(H1163,FIND("15",H1163,FIND("01",H1163)+16)+6,2))),"")</f>
        <v/>
      </c>
      <c r="F1163" s="5">
        <f>IFERROR(MID(H1163,FIND("10",H1163,FIND("15",H1163,FIND("01",H1163)+16)+8)+2,50),"")</f>
        <v/>
      </c>
      <c r="G1163" s="5" t="n"/>
      <c r="H1163" s="5">
        <f>SUBSTITUTE(SUBSTITUTE(SUBSTITUTE(SUBSTITUTE(A1163,"(",""),")","")," ",""),CHAR(29),"")</f>
        <v/>
      </c>
    </row>
    <row r="1164">
      <c r="A1164" s="7" t="n"/>
      <c r="B1164" s="8">
        <f>IFERROR(MID(H1164,FIND("01",H1164)+2,14),"")</f>
        <v/>
      </c>
      <c r="C1164" s="7">
        <f>IF(A1164="","",IFERROR(VLOOKUP(B1164,TblArticles,2,FALSE),"GTIN inconnu"))</f>
        <v/>
      </c>
      <c r="D1164" s="8">
        <f>IF(A1164="","",IFERROR(VLOOKUP(B1164,TblArticles,3,FALSE),""))</f>
        <v/>
      </c>
      <c r="E1164" s="9">
        <f>IFERROR(DATE(2000+VALUE(MID(H1164,FIND("15",H1164,FIND("01",H1164)+16)+2,2)),VALUE(MID(H1164,FIND("15",H1164,FIND("01",H1164)+16)+4,2)),VALUE(MID(H1164,FIND("15",H1164,FIND("01",H1164)+16)+6,2))),"")</f>
        <v/>
      </c>
      <c r="F1164" s="8">
        <f>IFERROR(MID(H1164,FIND("10",H1164,FIND("15",H1164,FIND("01",H1164)+16)+8)+2,50),"")</f>
        <v/>
      </c>
      <c r="G1164" s="8" t="n"/>
      <c r="H1164" s="8">
        <f>SUBSTITUTE(SUBSTITUTE(SUBSTITUTE(SUBSTITUTE(A1164,"(",""),")","")," ",""),CHAR(29),"")</f>
        <v/>
      </c>
    </row>
    <row r="1165">
      <c r="A1165" s="4" t="n"/>
      <c r="B1165" s="5">
        <f>IFERROR(MID(H1165,FIND("01",H1165)+2,14),"")</f>
        <v/>
      </c>
      <c r="C1165" s="4">
        <f>IF(A1165="","",IFERROR(VLOOKUP(B1165,TblArticles,2,FALSE),"GTIN inconnu"))</f>
        <v/>
      </c>
      <c r="D1165" s="5">
        <f>IF(A1165="","",IFERROR(VLOOKUP(B1165,TblArticles,3,FALSE),""))</f>
        <v/>
      </c>
      <c r="E1165" s="6">
        <f>IFERROR(DATE(2000+VALUE(MID(H1165,FIND("15",H1165,FIND("01",H1165)+16)+2,2)),VALUE(MID(H1165,FIND("15",H1165,FIND("01",H1165)+16)+4,2)),VALUE(MID(H1165,FIND("15",H1165,FIND("01",H1165)+16)+6,2))),"")</f>
        <v/>
      </c>
      <c r="F1165" s="5">
        <f>IFERROR(MID(H1165,FIND("10",H1165,FIND("15",H1165,FIND("01",H1165)+16)+8)+2,50),"")</f>
        <v/>
      </c>
      <c r="G1165" s="5" t="n"/>
      <c r="H1165" s="5">
        <f>SUBSTITUTE(SUBSTITUTE(SUBSTITUTE(SUBSTITUTE(A1165,"(",""),")","")," ",""),CHAR(29),"")</f>
        <v/>
      </c>
    </row>
    <row r="1166">
      <c r="A1166" s="7" t="n"/>
      <c r="B1166" s="8">
        <f>IFERROR(MID(H1166,FIND("01",H1166)+2,14),"")</f>
        <v/>
      </c>
      <c r="C1166" s="7">
        <f>IF(A1166="","",IFERROR(VLOOKUP(B1166,TblArticles,2,FALSE),"GTIN inconnu"))</f>
        <v/>
      </c>
      <c r="D1166" s="8">
        <f>IF(A1166="","",IFERROR(VLOOKUP(B1166,TblArticles,3,FALSE),""))</f>
        <v/>
      </c>
      <c r="E1166" s="9">
        <f>IFERROR(DATE(2000+VALUE(MID(H1166,FIND("15",H1166,FIND("01",H1166)+16)+2,2)),VALUE(MID(H1166,FIND("15",H1166,FIND("01",H1166)+16)+4,2)),VALUE(MID(H1166,FIND("15",H1166,FIND("01",H1166)+16)+6,2))),"")</f>
        <v/>
      </c>
      <c r="F1166" s="8">
        <f>IFERROR(MID(H1166,FIND("10",H1166,FIND("15",H1166,FIND("01",H1166)+16)+8)+2,50),"")</f>
        <v/>
      </c>
      <c r="G1166" s="8" t="n"/>
      <c r="H1166" s="8">
        <f>SUBSTITUTE(SUBSTITUTE(SUBSTITUTE(SUBSTITUTE(A1166,"(",""),")","")," ",""),CHAR(29),"")</f>
        <v/>
      </c>
    </row>
    <row r="1167">
      <c r="A1167" s="4" t="n"/>
      <c r="B1167" s="5">
        <f>IFERROR(MID(H1167,FIND("01",H1167)+2,14),"")</f>
        <v/>
      </c>
      <c r="C1167" s="4">
        <f>IF(A1167="","",IFERROR(VLOOKUP(B1167,TblArticles,2,FALSE),"GTIN inconnu"))</f>
        <v/>
      </c>
      <c r="D1167" s="5">
        <f>IF(A1167="","",IFERROR(VLOOKUP(B1167,TblArticles,3,FALSE),""))</f>
        <v/>
      </c>
      <c r="E1167" s="6">
        <f>IFERROR(DATE(2000+VALUE(MID(H1167,FIND("15",H1167,FIND("01",H1167)+16)+2,2)),VALUE(MID(H1167,FIND("15",H1167,FIND("01",H1167)+16)+4,2)),VALUE(MID(H1167,FIND("15",H1167,FIND("01",H1167)+16)+6,2))),"")</f>
        <v/>
      </c>
      <c r="F1167" s="5">
        <f>IFERROR(MID(H1167,FIND("10",H1167,FIND("15",H1167,FIND("01",H1167)+16)+8)+2,50),"")</f>
        <v/>
      </c>
      <c r="G1167" s="5" t="n"/>
      <c r="H1167" s="5">
        <f>SUBSTITUTE(SUBSTITUTE(SUBSTITUTE(SUBSTITUTE(A1167,"(",""),")","")," ",""),CHAR(29),"")</f>
        <v/>
      </c>
    </row>
    <row r="1168">
      <c r="A1168" s="7" t="n"/>
      <c r="B1168" s="8">
        <f>IFERROR(MID(H1168,FIND("01",H1168)+2,14),"")</f>
        <v/>
      </c>
      <c r="C1168" s="7">
        <f>IF(A1168="","",IFERROR(VLOOKUP(B1168,TblArticles,2,FALSE),"GTIN inconnu"))</f>
        <v/>
      </c>
      <c r="D1168" s="8">
        <f>IF(A1168="","",IFERROR(VLOOKUP(B1168,TblArticles,3,FALSE),""))</f>
        <v/>
      </c>
      <c r="E1168" s="9">
        <f>IFERROR(DATE(2000+VALUE(MID(H1168,FIND("15",H1168,FIND("01",H1168)+16)+2,2)),VALUE(MID(H1168,FIND("15",H1168,FIND("01",H1168)+16)+4,2)),VALUE(MID(H1168,FIND("15",H1168,FIND("01",H1168)+16)+6,2))),"")</f>
        <v/>
      </c>
      <c r="F1168" s="8">
        <f>IFERROR(MID(H1168,FIND("10",H1168,FIND("15",H1168,FIND("01",H1168)+16)+8)+2,50),"")</f>
        <v/>
      </c>
      <c r="G1168" s="8" t="n"/>
      <c r="H1168" s="8">
        <f>SUBSTITUTE(SUBSTITUTE(SUBSTITUTE(SUBSTITUTE(A1168,"(",""),")","")," ",""),CHAR(29),"")</f>
        <v/>
      </c>
    </row>
    <row r="1169">
      <c r="A1169" s="4" t="n"/>
      <c r="B1169" s="5">
        <f>IFERROR(MID(H1169,FIND("01",H1169)+2,14),"")</f>
        <v/>
      </c>
      <c r="C1169" s="4">
        <f>IF(A1169="","",IFERROR(VLOOKUP(B1169,TblArticles,2,FALSE),"GTIN inconnu"))</f>
        <v/>
      </c>
      <c r="D1169" s="5">
        <f>IF(A1169="","",IFERROR(VLOOKUP(B1169,TblArticles,3,FALSE),""))</f>
        <v/>
      </c>
      <c r="E1169" s="6">
        <f>IFERROR(DATE(2000+VALUE(MID(H1169,FIND("15",H1169,FIND("01",H1169)+16)+2,2)),VALUE(MID(H1169,FIND("15",H1169,FIND("01",H1169)+16)+4,2)),VALUE(MID(H1169,FIND("15",H1169,FIND("01",H1169)+16)+6,2))),"")</f>
        <v/>
      </c>
      <c r="F1169" s="5">
        <f>IFERROR(MID(H1169,FIND("10",H1169,FIND("15",H1169,FIND("01",H1169)+16)+8)+2,50),"")</f>
        <v/>
      </c>
      <c r="G1169" s="5" t="n"/>
      <c r="H1169" s="5">
        <f>SUBSTITUTE(SUBSTITUTE(SUBSTITUTE(SUBSTITUTE(A1169,"(",""),")","")," ",""),CHAR(29),"")</f>
        <v/>
      </c>
    </row>
    <row r="1170">
      <c r="A1170" s="7" t="n"/>
      <c r="B1170" s="8">
        <f>IFERROR(MID(H1170,FIND("01",H1170)+2,14),"")</f>
        <v/>
      </c>
      <c r="C1170" s="7">
        <f>IF(A1170="","",IFERROR(VLOOKUP(B1170,TblArticles,2,FALSE),"GTIN inconnu"))</f>
        <v/>
      </c>
      <c r="D1170" s="8">
        <f>IF(A1170="","",IFERROR(VLOOKUP(B1170,TblArticles,3,FALSE),""))</f>
        <v/>
      </c>
      <c r="E1170" s="9">
        <f>IFERROR(DATE(2000+VALUE(MID(H1170,FIND("15",H1170,FIND("01",H1170)+16)+2,2)),VALUE(MID(H1170,FIND("15",H1170,FIND("01",H1170)+16)+4,2)),VALUE(MID(H1170,FIND("15",H1170,FIND("01",H1170)+16)+6,2))),"")</f>
        <v/>
      </c>
      <c r="F1170" s="8">
        <f>IFERROR(MID(H1170,FIND("10",H1170,FIND("15",H1170,FIND("01",H1170)+16)+8)+2,50),"")</f>
        <v/>
      </c>
      <c r="G1170" s="8" t="n"/>
      <c r="H1170" s="8">
        <f>SUBSTITUTE(SUBSTITUTE(SUBSTITUTE(SUBSTITUTE(A1170,"(",""),")","")," ",""),CHAR(29),"")</f>
        <v/>
      </c>
    </row>
    <row r="1171">
      <c r="A1171" s="4" t="n"/>
      <c r="B1171" s="5">
        <f>IFERROR(MID(H1171,FIND("01",H1171)+2,14),"")</f>
        <v/>
      </c>
      <c r="C1171" s="4">
        <f>IF(A1171="","",IFERROR(VLOOKUP(B1171,TblArticles,2,FALSE),"GTIN inconnu"))</f>
        <v/>
      </c>
      <c r="D1171" s="5">
        <f>IF(A1171="","",IFERROR(VLOOKUP(B1171,TblArticles,3,FALSE),""))</f>
        <v/>
      </c>
      <c r="E1171" s="6">
        <f>IFERROR(DATE(2000+VALUE(MID(H1171,FIND("15",H1171,FIND("01",H1171)+16)+2,2)),VALUE(MID(H1171,FIND("15",H1171,FIND("01",H1171)+16)+4,2)),VALUE(MID(H1171,FIND("15",H1171,FIND("01",H1171)+16)+6,2))),"")</f>
        <v/>
      </c>
      <c r="F1171" s="5">
        <f>IFERROR(MID(H1171,FIND("10",H1171,FIND("15",H1171,FIND("01",H1171)+16)+8)+2,50),"")</f>
        <v/>
      </c>
      <c r="G1171" s="5" t="n"/>
      <c r="H1171" s="5">
        <f>SUBSTITUTE(SUBSTITUTE(SUBSTITUTE(SUBSTITUTE(A1171,"(",""),")","")," ",""),CHAR(29),"")</f>
        <v/>
      </c>
    </row>
    <row r="1172">
      <c r="A1172" s="7" t="n"/>
      <c r="B1172" s="8">
        <f>IFERROR(MID(H1172,FIND("01",H1172)+2,14),"")</f>
        <v/>
      </c>
      <c r="C1172" s="7">
        <f>IF(A1172="","",IFERROR(VLOOKUP(B1172,TblArticles,2,FALSE),"GTIN inconnu"))</f>
        <v/>
      </c>
      <c r="D1172" s="8">
        <f>IF(A1172="","",IFERROR(VLOOKUP(B1172,TblArticles,3,FALSE),""))</f>
        <v/>
      </c>
      <c r="E1172" s="9">
        <f>IFERROR(DATE(2000+VALUE(MID(H1172,FIND("15",H1172,FIND("01",H1172)+16)+2,2)),VALUE(MID(H1172,FIND("15",H1172,FIND("01",H1172)+16)+4,2)),VALUE(MID(H1172,FIND("15",H1172,FIND("01",H1172)+16)+6,2))),"")</f>
        <v/>
      </c>
      <c r="F1172" s="8">
        <f>IFERROR(MID(H1172,FIND("10",H1172,FIND("15",H1172,FIND("01",H1172)+16)+8)+2,50),"")</f>
        <v/>
      </c>
      <c r="G1172" s="8" t="n"/>
      <c r="H1172" s="8">
        <f>SUBSTITUTE(SUBSTITUTE(SUBSTITUTE(SUBSTITUTE(A1172,"(",""),")","")," ",""),CHAR(29),"")</f>
        <v/>
      </c>
    </row>
    <row r="1173">
      <c r="A1173" s="4" t="n"/>
      <c r="B1173" s="5">
        <f>IFERROR(MID(H1173,FIND("01",H1173)+2,14),"")</f>
        <v/>
      </c>
      <c r="C1173" s="4">
        <f>IF(A1173="","",IFERROR(VLOOKUP(B1173,TblArticles,2,FALSE),"GTIN inconnu"))</f>
        <v/>
      </c>
      <c r="D1173" s="5">
        <f>IF(A1173="","",IFERROR(VLOOKUP(B1173,TblArticles,3,FALSE),""))</f>
        <v/>
      </c>
      <c r="E1173" s="6">
        <f>IFERROR(DATE(2000+VALUE(MID(H1173,FIND("15",H1173,FIND("01",H1173)+16)+2,2)),VALUE(MID(H1173,FIND("15",H1173,FIND("01",H1173)+16)+4,2)),VALUE(MID(H1173,FIND("15",H1173,FIND("01",H1173)+16)+6,2))),"")</f>
        <v/>
      </c>
      <c r="F1173" s="5">
        <f>IFERROR(MID(H1173,FIND("10",H1173,FIND("15",H1173,FIND("01",H1173)+16)+8)+2,50),"")</f>
        <v/>
      </c>
      <c r="G1173" s="5" t="n"/>
      <c r="H1173" s="5">
        <f>SUBSTITUTE(SUBSTITUTE(SUBSTITUTE(SUBSTITUTE(A1173,"(",""),")","")," ",""),CHAR(29),"")</f>
        <v/>
      </c>
    </row>
    <row r="1174">
      <c r="A1174" s="7" t="n"/>
      <c r="B1174" s="8">
        <f>IFERROR(MID(H1174,FIND("01",H1174)+2,14),"")</f>
        <v/>
      </c>
      <c r="C1174" s="7">
        <f>IF(A1174="","",IFERROR(VLOOKUP(B1174,TblArticles,2,FALSE),"GTIN inconnu"))</f>
        <v/>
      </c>
      <c r="D1174" s="8">
        <f>IF(A1174="","",IFERROR(VLOOKUP(B1174,TblArticles,3,FALSE),""))</f>
        <v/>
      </c>
      <c r="E1174" s="9">
        <f>IFERROR(DATE(2000+VALUE(MID(H1174,FIND("15",H1174,FIND("01",H1174)+16)+2,2)),VALUE(MID(H1174,FIND("15",H1174,FIND("01",H1174)+16)+4,2)),VALUE(MID(H1174,FIND("15",H1174,FIND("01",H1174)+16)+6,2))),"")</f>
        <v/>
      </c>
      <c r="F1174" s="8">
        <f>IFERROR(MID(H1174,FIND("10",H1174,FIND("15",H1174,FIND("01",H1174)+16)+8)+2,50),"")</f>
        <v/>
      </c>
      <c r="G1174" s="8" t="n"/>
      <c r="H1174" s="8">
        <f>SUBSTITUTE(SUBSTITUTE(SUBSTITUTE(SUBSTITUTE(A1174,"(",""),")","")," ",""),CHAR(29),"")</f>
        <v/>
      </c>
    </row>
    <row r="1175">
      <c r="A1175" s="4" t="n"/>
      <c r="B1175" s="5">
        <f>IFERROR(MID(H1175,FIND("01",H1175)+2,14),"")</f>
        <v/>
      </c>
      <c r="C1175" s="4">
        <f>IF(A1175="","",IFERROR(VLOOKUP(B1175,TblArticles,2,FALSE),"GTIN inconnu"))</f>
        <v/>
      </c>
      <c r="D1175" s="5">
        <f>IF(A1175="","",IFERROR(VLOOKUP(B1175,TblArticles,3,FALSE),""))</f>
        <v/>
      </c>
      <c r="E1175" s="6">
        <f>IFERROR(DATE(2000+VALUE(MID(H1175,FIND("15",H1175,FIND("01",H1175)+16)+2,2)),VALUE(MID(H1175,FIND("15",H1175,FIND("01",H1175)+16)+4,2)),VALUE(MID(H1175,FIND("15",H1175,FIND("01",H1175)+16)+6,2))),"")</f>
        <v/>
      </c>
      <c r="F1175" s="5">
        <f>IFERROR(MID(H1175,FIND("10",H1175,FIND("15",H1175,FIND("01",H1175)+16)+8)+2,50),"")</f>
        <v/>
      </c>
      <c r="G1175" s="5" t="n"/>
      <c r="H1175" s="5">
        <f>SUBSTITUTE(SUBSTITUTE(SUBSTITUTE(SUBSTITUTE(A1175,"(",""),")","")," ",""),CHAR(29),"")</f>
        <v/>
      </c>
    </row>
    <row r="1176">
      <c r="A1176" s="7" t="n"/>
      <c r="B1176" s="8">
        <f>IFERROR(MID(H1176,FIND("01",H1176)+2,14),"")</f>
        <v/>
      </c>
      <c r="C1176" s="7">
        <f>IF(A1176="","",IFERROR(VLOOKUP(B1176,TblArticles,2,FALSE),"GTIN inconnu"))</f>
        <v/>
      </c>
      <c r="D1176" s="8">
        <f>IF(A1176="","",IFERROR(VLOOKUP(B1176,TblArticles,3,FALSE),""))</f>
        <v/>
      </c>
      <c r="E1176" s="9">
        <f>IFERROR(DATE(2000+VALUE(MID(H1176,FIND("15",H1176,FIND("01",H1176)+16)+2,2)),VALUE(MID(H1176,FIND("15",H1176,FIND("01",H1176)+16)+4,2)),VALUE(MID(H1176,FIND("15",H1176,FIND("01",H1176)+16)+6,2))),"")</f>
        <v/>
      </c>
      <c r="F1176" s="8">
        <f>IFERROR(MID(H1176,FIND("10",H1176,FIND("15",H1176,FIND("01",H1176)+16)+8)+2,50),"")</f>
        <v/>
      </c>
      <c r="G1176" s="8" t="n"/>
      <c r="H1176" s="8">
        <f>SUBSTITUTE(SUBSTITUTE(SUBSTITUTE(SUBSTITUTE(A1176,"(",""),")","")," ",""),CHAR(29),"")</f>
        <v/>
      </c>
    </row>
    <row r="1177">
      <c r="A1177" s="4" t="n"/>
      <c r="B1177" s="5">
        <f>IFERROR(MID(H1177,FIND("01",H1177)+2,14),"")</f>
        <v/>
      </c>
      <c r="C1177" s="4">
        <f>IF(A1177="","",IFERROR(VLOOKUP(B1177,TblArticles,2,FALSE),"GTIN inconnu"))</f>
        <v/>
      </c>
      <c r="D1177" s="5">
        <f>IF(A1177="","",IFERROR(VLOOKUP(B1177,TblArticles,3,FALSE),""))</f>
        <v/>
      </c>
      <c r="E1177" s="6">
        <f>IFERROR(DATE(2000+VALUE(MID(H1177,FIND("15",H1177,FIND("01",H1177)+16)+2,2)),VALUE(MID(H1177,FIND("15",H1177,FIND("01",H1177)+16)+4,2)),VALUE(MID(H1177,FIND("15",H1177,FIND("01",H1177)+16)+6,2))),"")</f>
        <v/>
      </c>
      <c r="F1177" s="5">
        <f>IFERROR(MID(H1177,FIND("10",H1177,FIND("15",H1177,FIND("01",H1177)+16)+8)+2,50),"")</f>
        <v/>
      </c>
      <c r="G1177" s="5" t="n"/>
      <c r="H1177" s="5">
        <f>SUBSTITUTE(SUBSTITUTE(SUBSTITUTE(SUBSTITUTE(A1177,"(",""),")","")," ",""),CHAR(29),"")</f>
        <v/>
      </c>
    </row>
    <row r="1178">
      <c r="A1178" s="7" t="n"/>
      <c r="B1178" s="8">
        <f>IFERROR(MID(H1178,FIND("01",H1178)+2,14),"")</f>
        <v/>
      </c>
      <c r="C1178" s="7">
        <f>IF(A1178="","",IFERROR(VLOOKUP(B1178,TblArticles,2,FALSE),"GTIN inconnu"))</f>
        <v/>
      </c>
      <c r="D1178" s="8">
        <f>IF(A1178="","",IFERROR(VLOOKUP(B1178,TblArticles,3,FALSE),""))</f>
        <v/>
      </c>
      <c r="E1178" s="9">
        <f>IFERROR(DATE(2000+VALUE(MID(H1178,FIND("15",H1178,FIND("01",H1178)+16)+2,2)),VALUE(MID(H1178,FIND("15",H1178,FIND("01",H1178)+16)+4,2)),VALUE(MID(H1178,FIND("15",H1178,FIND("01",H1178)+16)+6,2))),"")</f>
        <v/>
      </c>
      <c r="F1178" s="8">
        <f>IFERROR(MID(H1178,FIND("10",H1178,FIND("15",H1178,FIND("01",H1178)+16)+8)+2,50),"")</f>
        <v/>
      </c>
      <c r="G1178" s="8" t="n"/>
      <c r="H1178" s="8">
        <f>SUBSTITUTE(SUBSTITUTE(SUBSTITUTE(SUBSTITUTE(A1178,"(",""),")","")," ",""),CHAR(29),"")</f>
        <v/>
      </c>
    </row>
    <row r="1179">
      <c r="A1179" s="4" t="n"/>
      <c r="B1179" s="5">
        <f>IFERROR(MID(H1179,FIND("01",H1179)+2,14),"")</f>
        <v/>
      </c>
      <c r="C1179" s="4">
        <f>IF(A1179="","",IFERROR(VLOOKUP(B1179,TblArticles,2,FALSE),"GTIN inconnu"))</f>
        <v/>
      </c>
      <c r="D1179" s="5">
        <f>IF(A1179="","",IFERROR(VLOOKUP(B1179,TblArticles,3,FALSE),""))</f>
        <v/>
      </c>
      <c r="E1179" s="6">
        <f>IFERROR(DATE(2000+VALUE(MID(H1179,FIND("15",H1179,FIND("01",H1179)+16)+2,2)),VALUE(MID(H1179,FIND("15",H1179,FIND("01",H1179)+16)+4,2)),VALUE(MID(H1179,FIND("15",H1179,FIND("01",H1179)+16)+6,2))),"")</f>
        <v/>
      </c>
      <c r="F1179" s="5">
        <f>IFERROR(MID(H1179,FIND("10",H1179,FIND("15",H1179,FIND("01",H1179)+16)+8)+2,50),"")</f>
        <v/>
      </c>
      <c r="G1179" s="5" t="n"/>
      <c r="H1179" s="5">
        <f>SUBSTITUTE(SUBSTITUTE(SUBSTITUTE(SUBSTITUTE(A1179,"(",""),")","")," ",""),CHAR(29),"")</f>
        <v/>
      </c>
    </row>
    <row r="1180">
      <c r="A1180" s="7" t="n"/>
      <c r="B1180" s="8">
        <f>IFERROR(MID(H1180,FIND("01",H1180)+2,14),"")</f>
        <v/>
      </c>
      <c r="C1180" s="7">
        <f>IF(A1180="","",IFERROR(VLOOKUP(B1180,TblArticles,2,FALSE),"GTIN inconnu"))</f>
        <v/>
      </c>
      <c r="D1180" s="8">
        <f>IF(A1180="","",IFERROR(VLOOKUP(B1180,TblArticles,3,FALSE),""))</f>
        <v/>
      </c>
      <c r="E1180" s="9">
        <f>IFERROR(DATE(2000+VALUE(MID(H1180,FIND("15",H1180,FIND("01",H1180)+16)+2,2)),VALUE(MID(H1180,FIND("15",H1180,FIND("01",H1180)+16)+4,2)),VALUE(MID(H1180,FIND("15",H1180,FIND("01",H1180)+16)+6,2))),"")</f>
        <v/>
      </c>
      <c r="F1180" s="8">
        <f>IFERROR(MID(H1180,FIND("10",H1180,FIND("15",H1180,FIND("01",H1180)+16)+8)+2,50),"")</f>
        <v/>
      </c>
      <c r="G1180" s="8" t="n"/>
      <c r="H1180" s="8">
        <f>SUBSTITUTE(SUBSTITUTE(SUBSTITUTE(SUBSTITUTE(A1180,"(",""),")","")," ",""),CHAR(29),"")</f>
        <v/>
      </c>
    </row>
    <row r="1181">
      <c r="A1181" s="4" t="n"/>
      <c r="B1181" s="5">
        <f>IFERROR(MID(H1181,FIND("01",H1181)+2,14),"")</f>
        <v/>
      </c>
      <c r="C1181" s="4">
        <f>IF(A1181="","",IFERROR(VLOOKUP(B1181,TblArticles,2,FALSE),"GTIN inconnu"))</f>
        <v/>
      </c>
      <c r="D1181" s="5">
        <f>IF(A1181="","",IFERROR(VLOOKUP(B1181,TblArticles,3,FALSE),""))</f>
        <v/>
      </c>
      <c r="E1181" s="6">
        <f>IFERROR(DATE(2000+VALUE(MID(H1181,FIND("15",H1181,FIND("01",H1181)+16)+2,2)),VALUE(MID(H1181,FIND("15",H1181,FIND("01",H1181)+16)+4,2)),VALUE(MID(H1181,FIND("15",H1181,FIND("01",H1181)+16)+6,2))),"")</f>
        <v/>
      </c>
      <c r="F1181" s="5">
        <f>IFERROR(MID(H1181,FIND("10",H1181,FIND("15",H1181,FIND("01",H1181)+16)+8)+2,50),"")</f>
        <v/>
      </c>
      <c r="G1181" s="5" t="n"/>
      <c r="H1181" s="5">
        <f>SUBSTITUTE(SUBSTITUTE(SUBSTITUTE(SUBSTITUTE(A1181,"(",""),")","")," ",""),CHAR(29),"")</f>
        <v/>
      </c>
    </row>
    <row r="1182">
      <c r="A1182" s="7" t="n"/>
      <c r="B1182" s="8">
        <f>IFERROR(MID(H1182,FIND("01",H1182)+2,14),"")</f>
        <v/>
      </c>
      <c r="C1182" s="7">
        <f>IF(A1182="","",IFERROR(VLOOKUP(B1182,TblArticles,2,FALSE),"GTIN inconnu"))</f>
        <v/>
      </c>
      <c r="D1182" s="8">
        <f>IF(A1182="","",IFERROR(VLOOKUP(B1182,TblArticles,3,FALSE),""))</f>
        <v/>
      </c>
      <c r="E1182" s="9">
        <f>IFERROR(DATE(2000+VALUE(MID(H1182,FIND("15",H1182,FIND("01",H1182)+16)+2,2)),VALUE(MID(H1182,FIND("15",H1182,FIND("01",H1182)+16)+4,2)),VALUE(MID(H1182,FIND("15",H1182,FIND("01",H1182)+16)+6,2))),"")</f>
        <v/>
      </c>
      <c r="F1182" s="8">
        <f>IFERROR(MID(H1182,FIND("10",H1182,FIND("15",H1182,FIND("01",H1182)+16)+8)+2,50),"")</f>
        <v/>
      </c>
      <c r="G1182" s="8" t="n"/>
      <c r="H1182" s="8">
        <f>SUBSTITUTE(SUBSTITUTE(SUBSTITUTE(SUBSTITUTE(A1182,"(",""),")","")," ",""),CHAR(29),"")</f>
        <v/>
      </c>
    </row>
    <row r="1183">
      <c r="A1183" s="4" t="n"/>
      <c r="B1183" s="5">
        <f>IFERROR(MID(H1183,FIND("01",H1183)+2,14),"")</f>
        <v/>
      </c>
      <c r="C1183" s="4">
        <f>IF(A1183="","",IFERROR(VLOOKUP(B1183,TblArticles,2,FALSE),"GTIN inconnu"))</f>
        <v/>
      </c>
      <c r="D1183" s="5">
        <f>IF(A1183="","",IFERROR(VLOOKUP(B1183,TblArticles,3,FALSE),""))</f>
        <v/>
      </c>
      <c r="E1183" s="6">
        <f>IFERROR(DATE(2000+VALUE(MID(H1183,FIND("15",H1183,FIND("01",H1183)+16)+2,2)),VALUE(MID(H1183,FIND("15",H1183,FIND("01",H1183)+16)+4,2)),VALUE(MID(H1183,FIND("15",H1183,FIND("01",H1183)+16)+6,2))),"")</f>
        <v/>
      </c>
      <c r="F1183" s="5">
        <f>IFERROR(MID(H1183,FIND("10",H1183,FIND("15",H1183,FIND("01",H1183)+16)+8)+2,50),"")</f>
        <v/>
      </c>
      <c r="G1183" s="5" t="n"/>
      <c r="H1183" s="5">
        <f>SUBSTITUTE(SUBSTITUTE(SUBSTITUTE(SUBSTITUTE(A1183,"(",""),")","")," ",""),CHAR(29),"")</f>
        <v/>
      </c>
    </row>
    <row r="1184">
      <c r="A1184" s="7" t="n"/>
      <c r="B1184" s="8">
        <f>IFERROR(MID(H1184,FIND("01",H1184)+2,14),"")</f>
        <v/>
      </c>
      <c r="C1184" s="7">
        <f>IF(A1184="","",IFERROR(VLOOKUP(B1184,TblArticles,2,FALSE),"GTIN inconnu"))</f>
        <v/>
      </c>
      <c r="D1184" s="8">
        <f>IF(A1184="","",IFERROR(VLOOKUP(B1184,TblArticles,3,FALSE),""))</f>
        <v/>
      </c>
      <c r="E1184" s="9">
        <f>IFERROR(DATE(2000+VALUE(MID(H1184,FIND("15",H1184,FIND("01",H1184)+16)+2,2)),VALUE(MID(H1184,FIND("15",H1184,FIND("01",H1184)+16)+4,2)),VALUE(MID(H1184,FIND("15",H1184,FIND("01",H1184)+16)+6,2))),"")</f>
        <v/>
      </c>
      <c r="F1184" s="8">
        <f>IFERROR(MID(H1184,FIND("10",H1184,FIND("15",H1184,FIND("01",H1184)+16)+8)+2,50),"")</f>
        <v/>
      </c>
      <c r="G1184" s="8" t="n"/>
      <c r="H1184" s="8">
        <f>SUBSTITUTE(SUBSTITUTE(SUBSTITUTE(SUBSTITUTE(A1184,"(",""),")","")," ",""),CHAR(29),"")</f>
        <v/>
      </c>
    </row>
    <row r="1185">
      <c r="A1185" s="4" t="n"/>
      <c r="B1185" s="5">
        <f>IFERROR(MID(H1185,FIND("01",H1185)+2,14),"")</f>
        <v/>
      </c>
      <c r="C1185" s="4">
        <f>IF(A1185="","",IFERROR(VLOOKUP(B1185,TblArticles,2,FALSE),"GTIN inconnu"))</f>
        <v/>
      </c>
      <c r="D1185" s="5">
        <f>IF(A1185="","",IFERROR(VLOOKUP(B1185,TblArticles,3,FALSE),""))</f>
        <v/>
      </c>
      <c r="E1185" s="6">
        <f>IFERROR(DATE(2000+VALUE(MID(H1185,FIND("15",H1185,FIND("01",H1185)+16)+2,2)),VALUE(MID(H1185,FIND("15",H1185,FIND("01",H1185)+16)+4,2)),VALUE(MID(H1185,FIND("15",H1185,FIND("01",H1185)+16)+6,2))),"")</f>
        <v/>
      </c>
      <c r="F1185" s="5">
        <f>IFERROR(MID(H1185,FIND("10",H1185,FIND("15",H1185,FIND("01",H1185)+16)+8)+2,50),"")</f>
        <v/>
      </c>
      <c r="G1185" s="5" t="n"/>
      <c r="H1185" s="5">
        <f>SUBSTITUTE(SUBSTITUTE(SUBSTITUTE(SUBSTITUTE(A1185,"(",""),")","")," ",""),CHAR(29),"")</f>
        <v/>
      </c>
    </row>
    <row r="1186">
      <c r="A1186" s="7" t="n"/>
      <c r="B1186" s="8">
        <f>IFERROR(MID(H1186,FIND("01",H1186)+2,14),"")</f>
        <v/>
      </c>
      <c r="C1186" s="7">
        <f>IF(A1186="","",IFERROR(VLOOKUP(B1186,TblArticles,2,FALSE),"GTIN inconnu"))</f>
        <v/>
      </c>
      <c r="D1186" s="8">
        <f>IF(A1186="","",IFERROR(VLOOKUP(B1186,TblArticles,3,FALSE),""))</f>
        <v/>
      </c>
      <c r="E1186" s="9">
        <f>IFERROR(DATE(2000+VALUE(MID(H1186,FIND("15",H1186,FIND("01",H1186)+16)+2,2)),VALUE(MID(H1186,FIND("15",H1186,FIND("01",H1186)+16)+4,2)),VALUE(MID(H1186,FIND("15",H1186,FIND("01",H1186)+16)+6,2))),"")</f>
        <v/>
      </c>
      <c r="F1186" s="8">
        <f>IFERROR(MID(H1186,FIND("10",H1186,FIND("15",H1186,FIND("01",H1186)+16)+8)+2,50),"")</f>
        <v/>
      </c>
      <c r="G1186" s="8" t="n"/>
      <c r="H1186" s="8">
        <f>SUBSTITUTE(SUBSTITUTE(SUBSTITUTE(SUBSTITUTE(A1186,"(",""),")","")," ",""),CHAR(29),"")</f>
        <v/>
      </c>
    </row>
    <row r="1187">
      <c r="A1187" s="4" t="n"/>
      <c r="B1187" s="5">
        <f>IFERROR(MID(H1187,FIND("01",H1187)+2,14),"")</f>
        <v/>
      </c>
      <c r="C1187" s="4">
        <f>IF(A1187="","",IFERROR(VLOOKUP(B1187,TblArticles,2,FALSE),"GTIN inconnu"))</f>
        <v/>
      </c>
      <c r="D1187" s="5">
        <f>IF(A1187="","",IFERROR(VLOOKUP(B1187,TblArticles,3,FALSE),""))</f>
        <v/>
      </c>
      <c r="E1187" s="6">
        <f>IFERROR(DATE(2000+VALUE(MID(H1187,FIND("15",H1187,FIND("01",H1187)+16)+2,2)),VALUE(MID(H1187,FIND("15",H1187,FIND("01",H1187)+16)+4,2)),VALUE(MID(H1187,FIND("15",H1187,FIND("01",H1187)+16)+6,2))),"")</f>
        <v/>
      </c>
      <c r="F1187" s="5">
        <f>IFERROR(MID(H1187,FIND("10",H1187,FIND("15",H1187,FIND("01",H1187)+16)+8)+2,50),"")</f>
        <v/>
      </c>
      <c r="G1187" s="5" t="n"/>
      <c r="H1187" s="5">
        <f>SUBSTITUTE(SUBSTITUTE(SUBSTITUTE(SUBSTITUTE(A1187,"(",""),")","")," ",""),CHAR(29),"")</f>
        <v/>
      </c>
    </row>
    <row r="1188">
      <c r="A1188" s="7" t="n"/>
      <c r="B1188" s="8">
        <f>IFERROR(MID(H1188,FIND("01",H1188)+2,14),"")</f>
        <v/>
      </c>
      <c r="C1188" s="7">
        <f>IF(A1188="","",IFERROR(VLOOKUP(B1188,TblArticles,2,FALSE),"GTIN inconnu"))</f>
        <v/>
      </c>
      <c r="D1188" s="8">
        <f>IF(A1188="","",IFERROR(VLOOKUP(B1188,TblArticles,3,FALSE),""))</f>
        <v/>
      </c>
      <c r="E1188" s="9">
        <f>IFERROR(DATE(2000+VALUE(MID(H1188,FIND("15",H1188,FIND("01",H1188)+16)+2,2)),VALUE(MID(H1188,FIND("15",H1188,FIND("01",H1188)+16)+4,2)),VALUE(MID(H1188,FIND("15",H1188,FIND("01",H1188)+16)+6,2))),"")</f>
        <v/>
      </c>
      <c r="F1188" s="8">
        <f>IFERROR(MID(H1188,FIND("10",H1188,FIND("15",H1188,FIND("01",H1188)+16)+8)+2,50),"")</f>
        <v/>
      </c>
      <c r="G1188" s="8" t="n"/>
      <c r="H1188" s="8">
        <f>SUBSTITUTE(SUBSTITUTE(SUBSTITUTE(SUBSTITUTE(A1188,"(",""),")","")," ",""),CHAR(29),"")</f>
        <v/>
      </c>
    </row>
    <row r="1189">
      <c r="A1189" s="4" t="n"/>
      <c r="B1189" s="5">
        <f>IFERROR(MID(H1189,FIND("01",H1189)+2,14),"")</f>
        <v/>
      </c>
      <c r="C1189" s="4">
        <f>IF(A1189="","",IFERROR(VLOOKUP(B1189,TblArticles,2,FALSE),"GTIN inconnu"))</f>
        <v/>
      </c>
      <c r="D1189" s="5">
        <f>IF(A1189="","",IFERROR(VLOOKUP(B1189,TblArticles,3,FALSE),""))</f>
        <v/>
      </c>
      <c r="E1189" s="6">
        <f>IFERROR(DATE(2000+VALUE(MID(H1189,FIND("15",H1189,FIND("01",H1189)+16)+2,2)),VALUE(MID(H1189,FIND("15",H1189,FIND("01",H1189)+16)+4,2)),VALUE(MID(H1189,FIND("15",H1189,FIND("01",H1189)+16)+6,2))),"")</f>
        <v/>
      </c>
      <c r="F1189" s="5">
        <f>IFERROR(MID(H1189,FIND("10",H1189,FIND("15",H1189,FIND("01",H1189)+16)+8)+2,50),"")</f>
        <v/>
      </c>
      <c r="G1189" s="5" t="n"/>
      <c r="H1189" s="5">
        <f>SUBSTITUTE(SUBSTITUTE(SUBSTITUTE(SUBSTITUTE(A1189,"(",""),")","")," ",""),CHAR(29),"")</f>
        <v/>
      </c>
    </row>
    <row r="1190">
      <c r="A1190" s="7" t="n"/>
      <c r="B1190" s="8">
        <f>IFERROR(MID(H1190,FIND("01",H1190)+2,14),"")</f>
        <v/>
      </c>
      <c r="C1190" s="7">
        <f>IF(A1190="","",IFERROR(VLOOKUP(B1190,TblArticles,2,FALSE),"GTIN inconnu"))</f>
        <v/>
      </c>
      <c r="D1190" s="8">
        <f>IF(A1190="","",IFERROR(VLOOKUP(B1190,TblArticles,3,FALSE),""))</f>
        <v/>
      </c>
      <c r="E1190" s="9">
        <f>IFERROR(DATE(2000+VALUE(MID(H1190,FIND("15",H1190,FIND("01",H1190)+16)+2,2)),VALUE(MID(H1190,FIND("15",H1190,FIND("01",H1190)+16)+4,2)),VALUE(MID(H1190,FIND("15",H1190,FIND("01",H1190)+16)+6,2))),"")</f>
        <v/>
      </c>
      <c r="F1190" s="8">
        <f>IFERROR(MID(H1190,FIND("10",H1190,FIND("15",H1190,FIND("01",H1190)+16)+8)+2,50),"")</f>
        <v/>
      </c>
      <c r="G1190" s="8" t="n"/>
      <c r="H1190" s="8">
        <f>SUBSTITUTE(SUBSTITUTE(SUBSTITUTE(SUBSTITUTE(A1190,"(",""),")","")," ",""),CHAR(29),"")</f>
        <v/>
      </c>
    </row>
    <row r="1191">
      <c r="A1191" s="4" t="n"/>
      <c r="B1191" s="5">
        <f>IFERROR(MID(H1191,FIND("01",H1191)+2,14),"")</f>
        <v/>
      </c>
      <c r="C1191" s="4">
        <f>IF(A1191="","",IFERROR(VLOOKUP(B1191,TblArticles,2,FALSE),"GTIN inconnu"))</f>
        <v/>
      </c>
      <c r="D1191" s="5">
        <f>IF(A1191="","",IFERROR(VLOOKUP(B1191,TblArticles,3,FALSE),""))</f>
        <v/>
      </c>
      <c r="E1191" s="6">
        <f>IFERROR(DATE(2000+VALUE(MID(H1191,FIND("15",H1191,FIND("01",H1191)+16)+2,2)),VALUE(MID(H1191,FIND("15",H1191,FIND("01",H1191)+16)+4,2)),VALUE(MID(H1191,FIND("15",H1191,FIND("01",H1191)+16)+6,2))),"")</f>
        <v/>
      </c>
      <c r="F1191" s="5">
        <f>IFERROR(MID(H1191,FIND("10",H1191,FIND("15",H1191,FIND("01",H1191)+16)+8)+2,50),"")</f>
        <v/>
      </c>
      <c r="G1191" s="5" t="n"/>
      <c r="H1191" s="5">
        <f>SUBSTITUTE(SUBSTITUTE(SUBSTITUTE(SUBSTITUTE(A1191,"(",""),")","")," ",""),CHAR(29),"")</f>
        <v/>
      </c>
    </row>
    <row r="1192">
      <c r="A1192" s="7" t="n"/>
      <c r="B1192" s="8">
        <f>IFERROR(MID(H1192,FIND("01",H1192)+2,14),"")</f>
        <v/>
      </c>
      <c r="C1192" s="7">
        <f>IF(A1192="","",IFERROR(VLOOKUP(B1192,TblArticles,2,FALSE),"GTIN inconnu"))</f>
        <v/>
      </c>
      <c r="D1192" s="8">
        <f>IF(A1192="","",IFERROR(VLOOKUP(B1192,TblArticles,3,FALSE),""))</f>
        <v/>
      </c>
      <c r="E1192" s="9">
        <f>IFERROR(DATE(2000+VALUE(MID(H1192,FIND("15",H1192,FIND("01",H1192)+16)+2,2)),VALUE(MID(H1192,FIND("15",H1192,FIND("01",H1192)+16)+4,2)),VALUE(MID(H1192,FIND("15",H1192,FIND("01",H1192)+16)+6,2))),"")</f>
        <v/>
      </c>
      <c r="F1192" s="8">
        <f>IFERROR(MID(H1192,FIND("10",H1192,FIND("15",H1192,FIND("01",H1192)+16)+8)+2,50),"")</f>
        <v/>
      </c>
      <c r="G1192" s="8" t="n"/>
      <c r="H1192" s="8">
        <f>SUBSTITUTE(SUBSTITUTE(SUBSTITUTE(SUBSTITUTE(A1192,"(",""),")","")," ",""),CHAR(29),"")</f>
        <v/>
      </c>
    </row>
    <row r="1193">
      <c r="A1193" s="4" t="n"/>
      <c r="B1193" s="5">
        <f>IFERROR(MID(H1193,FIND("01",H1193)+2,14),"")</f>
        <v/>
      </c>
      <c r="C1193" s="4">
        <f>IF(A1193="","",IFERROR(VLOOKUP(B1193,TblArticles,2,FALSE),"GTIN inconnu"))</f>
        <v/>
      </c>
      <c r="D1193" s="5">
        <f>IF(A1193="","",IFERROR(VLOOKUP(B1193,TblArticles,3,FALSE),""))</f>
        <v/>
      </c>
      <c r="E1193" s="6">
        <f>IFERROR(DATE(2000+VALUE(MID(H1193,FIND("15",H1193,FIND("01",H1193)+16)+2,2)),VALUE(MID(H1193,FIND("15",H1193,FIND("01",H1193)+16)+4,2)),VALUE(MID(H1193,FIND("15",H1193,FIND("01",H1193)+16)+6,2))),"")</f>
        <v/>
      </c>
      <c r="F1193" s="5">
        <f>IFERROR(MID(H1193,FIND("10",H1193,FIND("15",H1193,FIND("01",H1193)+16)+8)+2,50),"")</f>
        <v/>
      </c>
      <c r="G1193" s="5" t="n"/>
      <c r="H1193" s="5">
        <f>SUBSTITUTE(SUBSTITUTE(SUBSTITUTE(SUBSTITUTE(A1193,"(",""),")","")," ",""),CHAR(29),"")</f>
        <v/>
      </c>
    </row>
    <row r="1194">
      <c r="A1194" s="7" t="n"/>
      <c r="B1194" s="8">
        <f>IFERROR(MID(H1194,FIND("01",H1194)+2,14),"")</f>
        <v/>
      </c>
      <c r="C1194" s="7">
        <f>IF(A1194="","",IFERROR(VLOOKUP(B1194,TblArticles,2,FALSE),"GTIN inconnu"))</f>
        <v/>
      </c>
      <c r="D1194" s="8">
        <f>IF(A1194="","",IFERROR(VLOOKUP(B1194,TblArticles,3,FALSE),""))</f>
        <v/>
      </c>
      <c r="E1194" s="9">
        <f>IFERROR(DATE(2000+VALUE(MID(H1194,FIND("15",H1194,FIND("01",H1194)+16)+2,2)),VALUE(MID(H1194,FIND("15",H1194,FIND("01",H1194)+16)+4,2)),VALUE(MID(H1194,FIND("15",H1194,FIND("01",H1194)+16)+6,2))),"")</f>
        <v/>
      </c>
      <c r="F1194" s="8">
        <f>IFERROR(MID(H1194,FIND("10",H1194,FIND("15",H1194,FIND("01",H1194)+16)+8)+2,50),"")</f>
        <v/>
      </c>
      <c r="G1194" s="8" t="n"/>
      <c r="H1194" s="8">
        <f>SUBSTITUTE(SUBSTITUTE(SUBSTITUTE(SUBSTITUTE(A1194,"(",""),")","")," ",""),CHAR(29),"")</f>
        <v/>
      </c>
    </row>
    <row r="1195">
      <c r="A1195" s="4" t="n"/>
      <c r="B1195" s="5">
        <f>IFERROR(MID(H1195,FIND("01",H1195)+2,14),"")</f>
        <v/>
      </c>
      <c r="C1195" s="4">
        <f>IF(A1195="","",IFERROR(VLOOKUP(B1195,TblArticles,2,FALSE),"GTIN inconnu"))</f>
        <v/>
      </c>
      <c r="D1195" s="5">
        <f>IF(A1195="","",IFERROR(VLOOKUP(B1195,TblArticles,3,FALSE),""))</f>
        <v/>
      </c>
      <c r="E1195" s="6">
        <f>IFERROR(DATE(2000+VALUE(MID(H1195,FIND("15",H1195,FIND("01",H1195)+16)+2,2)),VALUE(MID(H1195,FIND("15",H1195,FIND("01",H1195)+16)+4,2)),VALUE(MID(H1195,FIND("15",H1195,FIND("01",H1195)+16)+6,2))),"")</f>
        <v/>
      </c>
      <c r="F1195" s="5">
        <f>IFERROR(MID(H1195,FIND("10",H1195,FIND("15",H1195,FIND("01",H1195)+16)+8)+2,50),"")</f>
        <v/>
      </c>
      <c r="G1195" s="5" t="n"/>
      <c r="H1195" s="5">
        <f>SUBSTITUTE(SUBSTITUTE(SUBSTITUTE(SUBSTITUTE(A1195,"(",""),")","")," ",""),CHAR(29),"")</f>
        <v/>
      </c>
    </row>
    <row r="1196">
      <c r="A1196" s="7" t="n"/>
      <c r="B1196" s="8">
        <f>IFERROR(MID(H1196,FIND("01",H1196)+2,14),"")</f>
        <v/>
      </c>
      <c r="C1196" s="7">
        <f>IF(A1196="","",IFERROR(VLOOKUP(B1196,TblArticles,2,FALSE),"GTIN inconnu"))</f>
        <v/>
      </c>
      <c r="D1196" s="8">
        <f>IF(A1196="","",IFERROR(VLOOKUP(B1196,TblArticles,3,FALSE),""))</f>
        <v/>
      </c>
      <c r="E1196" s="9">
        <f>IFERROR(DATE(2000+VALUE(MID(H1196,FIND("15",H1196,FIND("01",H1196)+16)+2,2)),VALUE(MID(H1196,FIND("15",H1196,FIND("01",H1196)+16)+4,2)),VALUE(MID(H1196,FIND("15",H1196,FIND("01",H1196)+16)+6,2))),"")</f>
        <v/>
      </c>
      <c r="F1196" s="8">
        <f>IFERROR(MID(H1196,FIND("10",H1196,FIND("15",H1196,FIND("01",H1196)+16)+8)+2,50),"")</f>
        <v/>
      </c>
      <c r="G1196" s="8" t="n"/>
      <c r="H1196" s="8">
        <f>SUBSTITUTE(SUBSTITUTE(SUBSTITUTE(SUBSTITUTE(A1196,"(",""),")","")," ",""),CHAR(29),"")</f>
        <v/>
      </c>
    </row>
    <row r="1197">
      <c r="A1197" s="4" t="n"/>
      <c r="B1197" s="5">
        <f>IFERROR(MID(H1197,FIND("01",H1197)+2,14),"")</f>
        <v/>
      </c>
      <c r="C1197" s="4">
        <f>IF(A1197="","",IFERROR(VLOOKUP(B1197,TblArticles,2,FALSE),"GTIN inconnu"))</f>
        <v/>
      </c>
      <c r="D1197" s="5">
        <f>IF(A1197="","",IFERROR(VLOOKUP(B1197,TblArticles,3,FALSE),""))</f>
        <v/>
      </c>
      <c r="E1197" s="6">
        <f>IFERROR(DATE(2000+VALUE(MID(H1197,FIND("15",H1197,FIND("01",H1197)+16)+2,2)),VALUE(MID(H1197,FIND("15",H1197,FIND("01",H1197)+16)+4,2)),VALUE(MID(H1197,FIND("15",H1197,FIND("01",H1197)+16)+6,2))),"")</f>
        <v/>
      </c>
      <c r="F1197" s="5">
        <f>IFERROR(MID(H1197,FIND("10",H1197,FIND("15",H1197,FIND("01",H1197)+16)+8)+2,50),"")</f>
        <v/>
      </c>
      <c r="G1197" s="5" t="n"/>
      <c r="H1197" s="5">
        <f>SUBSTITUTE(SUBSTITUTE(SUBSTITUTE(SUBSTITUTE(A1197,"(",""),")","")," ",""),CHAR(29),"")</f>
        <v/>
      </c>
    </row>
    <row r="1198">
      <c r="A1198" s="7" t="n"/>
      <c r="B1198" s="8">
        <f>IFERROR(MID(H1198,FIND("01",H1198)+2,14),"")</f>
        <v/>
      </c>
      <c r="C1198" s="7">
        <f>IF(A1198="","",IFERROR(VLOOKUP(B1198,TblArticles,2,FALSE),"GTIN inconnu"))</f>
        <v/>
      </c>
      <c r="D1198" s="8">
        <f>IF(A1198="","",IFERROR(VLOOKUP(B1198,TblArticles,3,FALSE),""))</f>
        <v/>
      </c>
      <c r="E1198" s="9">
        <f>IFERROR(DATE(2000+VALUE(MID(H1198,FIND("15",H1198,FIND("01",H1198)+16)+2,2)),VALUE(MID(H1198,FIND("15",H1198,FIND("01",H1198)+16)+4,2)),VALUE(MID(H1198,FIND("15",H1198,FIND("01",H1198)+16)+6,2))),"")</f>
        <v/>
      </c>
      <c r="F1198" s="8">
        <f>IFERROR(MID(H1198,FIND("10",H1198,FIND("15",H1198,FIND("01",H1198)+16)+8)+2,50),"")</f>
        <v/>
      </c>
      <c r="G1198" s="8" t="n"/>
      <c r="H1198" s="8">
        <f>SUBSTITUTE(SUBSTITUTE(SUBSTITUTE(SUBSTITUTE(A1198,"(",""),")","")," ",""),CHAR(29),"")</f>
        <v/>
      </c>
    </row>
    <row r="1199">
      <c r="A1199" s="4" t="n"/>
      <c r="B1199" s="5">
        <f>IFERROR(MID(H1199,FIND("01",H1199)+2,14),"")</f>
        <v/>
      </c>
      <c r="C1199" s="4">
        <f>IF(A1199="","",IFERROR(VLOOKUP(B1199,TblArticles,2,FALSE),"GTIN inconnu"))</f>
        <v/>
      </c>
      <c r="D1199" s="5">
        <f>IF(A1199="","",IFERROR(VLOOKUP(B1199,TblArticles,3,FALSE),""))</f>
        <v/>
      </c>
      <c r="E1199" s="6">
        <f>IFERROR(DATE(2000+VALUE(MID(H1199,FIND("15",H1199,FIND("01",H1199)+16)+2,2)),VALUE(MID(H1199,FIND("15",H1199,FIND("01",H1199)+16)+4,2)),VALUE(MID(H1199,FIND("15",H1199,FIND("01",H1199)+16)+6,2))),"")</f>
        <v/>
      </c>
      <c r="F1199" s="5">
        <f>IFERROR(MID(H1199,FIND("10",H1199,FIND("15",H1199,FIND("01",H1199)+16)+8)+2,50),"")</f>
        <v/>
      </c>
      <c r="G1199" s="5" t="n"/>
      <c r="H1199" s="5">
        <f>SUBSTITUTE(SUBSTITUTE(SUBSTITUTE(SUBSTITUTE(A1199,"(",""),")","")," ",""),CHAR(29),"")</f>
        <v/>
      </c>
    </row>
    <row r="1200">
      <c r="A1200" s="7" t="n"/>
      <c r="B1200" s="8">
        <f>IFERROR(MID(H1200,FIND("01",H1200)+2,14),"")</f>
        <v/>
      </c>
      <c r="C1200" s="7">
        <f>IF(A1200="","",IFERROR(VLOOKUP(B1200,TblArticles,2,FALSE),"GTIN inconnu"))</f>
        <v/>
      </c>
      <c r="D1200" s="8">
        <f>IF(A1200="","",IFERROR(VLOOKUP(B1200,TblArticles,3,FALSE),""))</f>
        <v/>
      </c>
      <c r="E1200" s="9">
        <f>IFERROR(DATE(2000+VALUE(MID(H1200,FIND("15",H1200,FIND("01",H1200)+16)+2,2)),VALUE(MID(H1200,FIND("15",H1200,FIND("01",H1200)+16)+4,2)),VALUE(MID(H1200,FIND("15",H1200,FIND("01",H1200)+16)+6,2))),"")</f>
        <v/>
      </c>
      <c r="F1200" s="8">
        <f>IFERROR(MID(H1200,FIND("10",H1200,FIND("15",H1200,FIND("01",H1200)+16)+8)+2,50),"")</f>
        <v/>
      </c>
      <c r="G1200" s="8" t="n"/>
      <c r="H1200" s="8">
        <f>SUBSTITUTE(SUBSTITUTE(SUBSTITUTE(SUBSTITUTE(A1200,"(",""),")","")," ",""),CHAR(29),"")</f>
        <v/>
      </c>
    </row>
    <row r="1201">
      <c r="A1201" s="4" t="n"/>
      <c r="B1201" s="5">
        <f>IFERROR(MID(H1201,FIND("01",H1201)+2,14),"")</f>
        <v/>
      </c>
      <c r="C1201" s="4">
        <f>IF(A1201="","",IFERROR(VLOOKUP(B1201,TblArticles,2,FALSE),"GTIN inconnu"))</f>
        <v/>
      </c>
      <c r="D1201" s="5">
        <f>IF(A1201="","",IFERROR(VLOOKUP(B1201,TblArticles,3,FALSE),""))</f>
        <v/>
      </c>
      <c r="E1201" s="6">
        <f>IFERROR(DATE(2000+VALUE(MID(H1201,FIND("15",H1201,FIND("01",H1201)+16)+2,2)),VALUE(MID(H1201,FIND("15",H1201,FIND("01",H1201)+16)+4,2)),VALUE(MID(H1201,FIND("15",H1201,FIND("01",H1201)+16)+6,2))),"")</f>
        <v/>
      </c>
      <c r="F1201" s="5">
        <f>IFERROR(MID(H1201,FIND("10",H1201,FIND("15",H1201,FIND("01",H1201)+16)+8)+2,50),"")</f>
        <v/>
      </c>
      <c r="G1201" s="5" t="n"/>
      <c r="H1201" s="5">
        <f>SUBSTITUTE(SUBSTITUTE(SUBSTITUTE(SUBSTITUTE(A1201,"(",""),")","")," ",""),CHAR(29),"")</f>
        <v/>
      </c>
    </row>
    <row r="1202">
      <c r="A1202" s="7" t="n"/>
      <c r="B1202" s="8">
        <f>IFERROR(MID(H1202,FIND("01",H1202)+2,14),"")</f>
        <v/>
      </c>
      <c r="C1202" s="7">
        <f>IF(A1202="","",IFERROR(VLOOKUP(B1202,TblArticles,2,FALSE),"GTIN inconnu"))</f>
        <v/>
      </c>
      <c r="D1202" s="8">
        <f>IF(A1202="","",IFERROR(VLOOKUP(B1202,TblArticles,3,FALSE),""))</f>
        <v/>
      </c>
      <c r="E1202" s="9">
        <f>IFERROR(DATE(2000+VALUE(MID(H1202,FIND("15",H1202,FIND("01",H1202)+16)+2,2)),VALUE(MID(H1202,FIND("15",H1202,FIND("01",H1202)+16)+4,2)),VALUE(MID(H1202,FIND("15",H1202,FIND("01",H1202)+16)+6,2))),"")</f>
        <v/>
      </c>
      <c r="F1202" s="8">
        <f>IFERROR(MID(H1202,FIND("10",H1202,FIND("15",H1202,FIND("01",H1202)+16)+8)+2,50),"")</f>
        <v/>
      </c>
      <c r="G1202" s="8" t="n"/>
      <c r="H1202" s="8">
        <f>SUBSTITUTE(SUBSTITUTE(SUBSTITUTE(SUBSTITUTE(A1202,"(",""),")","")," ",""),CHAR(29),"")</f>
        <v/>
      </c>
    </row>
    <row r="1203">
      <c r="A1203" s="4" t="n"/>
      <c r="B1203" s="5">
        <f>IFERROR(MID(H1203,FIND("01",H1203)+2,14),"")</f>
        <v/>
      </c>
      <c r="C1203" s="4">
        <f>IF(A1203="","",IFERROR(VLOOKUP(B1203,TblArticles,2,FALSE),"GTIN inconnu"))</f>
        <v/>
      </c>
      <c r="D1203" s="5">
        <f>IF(A1203="","",IFERROR(VLOOKUP(B1203,TblArticles,3,FALSE),""))</f>
        <v/>
      </c>
      <c r="E1203" s="6">
        <f>IFERROR(DATE(2000+VALUE(MID(H1203,FIND("15",H1203,FIND("01",H1203)+16)+2,2)),VALUE(MID(H1203,FIND("15",H1203,FIND("01",H1203)+16)+4,2)),VALUE(MID(H1203,FIND("15",H1203,FIND("01",H1203)+16)+6,2))),"")</f>
        <v/>
      </c>
      <c r="F1203" s="5">
        <f>IFERROR(MID(H1203,FIND("10",H1203,FIND("15",H1203,FIND("01",H1203)+16)+8)+2,50),"")</f>
        <v/>
      </c>
      <c r="G1203" s="5" t="n"/>
      <c r="H1203" s="5">
        <f>SUBSTITUTE(SUBSTITUTE(SUBSTITUTE(SUBSTITUTE(A1203,"(",""),")","")," ",""),CHAR(29),"")</f>
        <v/>
      </c>
    </row>
    <row r="1204">
      <c r="A1204" s="7" t="n"/>
      <c r="B1204" s="8">
        <f>IFERROR(MID(H1204,FIND("01",H1204)+2,14),"")</f>
        <v/>
      </c>
      <c r="C1204" s="7">
        <f>IF(A1204="","",IFERROR(VLOOKUP(B1204,TblArticles,2,FALSE),"GTIN inconnu"))</f>
        <v/>
      </c>
      <c r="D1204" s="8">
        <f>IF(A1204="","",IFERROR(VLOOKUP(B1204,TblArticles,3,FALSE),""))</f>
        <v/>
      </c>
      <c r="E1204" s="9">
        <f>IFERROR(DATE(2000+VALUE(MID(H1204,FIND("15",H1204,FIND("01",H1204)+16)+2,2)),VALUE(MID(H1204,FIND("15",H1204,FIND("01",H1204)+16)+4,2)),VALUE(MID(H1204,FIND("15",H1204,FIND("01",H1204)+16)+6,2))),"")</f>
        <v/>
      </c>
      <c r="F1204" s="8">
        <f>IFERROR(MID(H1204,FIND("10",H1204,FIND("15",H1204,FIND("01",H1204)+16)+8)+2,50),"")</f>
        <v/>
      </c>
      <c r="G1204" s="8" t="n"/>
      <c r="H1204" s="8">
        <f>SUBSTITUTE(SUBSTITUTE(SUBSTITUTE(SUBSTITUTE(A1204,"(",""),")","")," ",""),CHAR(29),"")</f>
        <v/>
      </c>
    </row>
    <row r="1205">
      <c r="A1205" s="4" t="n"/>
      <c r="B1205" s="5">
        <f>IFERROR(MID(H1205,FIND("01",H1205)+2,14),"")</f>
        <v/>
      </c>
      <c r="C1205" s="4">
        <f>IF(A1205="","",IFERROR(VLOOKUP(B1205,TblArticles,2,FALSE),"GTIN inconnu"))</f>
        <v/>
      </c>
      <c r="D1205" s="5">
        <f>IF(A1205="","",IFERROR(VLOOKUP(B1205,TblArticles,3,FALSE),""))</f>
        <v/>
      </c>
      <c r="E1205" s="6">
        <f>IFERROR(DATE(2000+VALUE(MID(H1205,FIND("15",H1205,FIND("01",H1205)+16)+2,2)),VALUE(MID(H1205,FIND("15",H1205,FIND("01",H1205)+16)+4,2)),VALUE(MID(H1205,FIND("15",H1205,FIND("01",H1205)+16)+6,2))),"")</f>
        <v/>
      </c>
      <c r="F1205" s="5">
        <f>IFERROR(MID(H1205,FIND("10",H1205,FIND("15",H1205,FIND("01",H1205)+16)+8)+2,50),"")</f>
        <v/>
      </c>
      <c r="G1205" s="5" t="n"/>
      <c r="H1205" s="5">
        <f>SUBSTITUTE(SUBSTITUTE(SUBSTITUTE(SUBSTITUTE(A1205,"(",""),")","")," ",""),CHAR(29),"")</f>
        <v/>
      </c>
    </row>
    <row r="1206">
      <c r="A1206" s="7" t="n"/>
      <c r="B1206" s="8">
        <f>IFERROR(MID(H1206,FIND("01",H1206)+2,14),"")</f>
        <v/>
      </c>
      <c r="C1206" s="7">
        <f>IF(A1206="","",IFERROR(VLOOKUP(B1206,TblArticles,2,FALSE),"GTIN inconnu"))</f>
        <v/>
      </c>
      <c r="D1206" s="8">
        <f>IF(A1206="","",IFERROR(VLOOKUP(B1206,TblArticles,3,FALSE),""))</f>
        <v/>
      </c>
      <c r="E1206" s="9">
        <f>IFERROR(DATE(2000+VALUE(MID(H1206,FIND("15",H1206,FIND("01",H1206)+16)+2,2)),VALUE(MID(H1206,FIND("15",H1206,FIND("01",H1206)+16)+4,2)),VALUE(MID(H1206,FIND("15",H1206,FIND("01",H1206)+16)+6,2))),"")</f>
        <v/>
      </c>
      <c r="F1206" s="8">
        <f>IFERROR(MID(H1206,FIND("10",H1206,FIND("15",H1206,FIND("01",H1206)+16)+8)+2,50),"")</f>
        <v/>
      </c>
      <c r="G1206" s="8" t="n"/>
      <c r="H1206" s="8">
        <f>SUBSTITUTE(SUBSTITUTE(SUBSTITUTE(SUBSTITUTE(A1206,"(",""),")","")," ",""),CHAR(29),"")</f>
        <v/>
      </c>
    </row>
    <row r="1207">
      <c r="A1207" s="4" t="n"/>
      <c r="B1207" s="5">
        <f>IFERROR(MID(H1207,FIND("01",H1207)+2,14),"")</f>
        <v/>
      </c>
      <c r="C1207" s="4">
        <f>IF(A1207="","",IFERROR(VLOOKUP(B1207,TblArticles,2,FALSE),"GTIN inconnu"))</f>
        <v/>
      </c>
      <c r="D1207" s="5">
        <f>IF(A1207="","",IFERROR(VLOOKUP(B1207,TblArticles,3,FALSE),""))</f>
        <v/>
      </c>
      <c r="E1207" s="6">
        <f>IFERROR(DATE(2000+VALUE(MID(H1207,FIND("15",H1207,FIND("01",H1207)+16)+2,2)),VALUE(MID(H1207,FIND("15",H1207,FIND("01",H1207)+16)+4,2)),VALUE(MID(H1207,FIND("15",H1207,FIND("01",H1207)+16)+6,2))),"")</f>
        <v/>
      </c>
      <c r="F1207" s="5">
        <f>IFERROR(MID(H1207,FIND("10",H1207,FIND("15",H1207,FIND("01",H1207)+16)+8)+2,50),"")</f>
        <v/>
      </c>
      <c r="G1207" s="5" t="n"/>
      <c r="H1207" s="5">
        <f>SUBSTITUTE(SUBSTITUTE(SUBSTITUTE(SUBSTITUTE(A1207,"(",""),")","")," ",""),CHAR(29),"")</f>
        <v/>
      </c>
    </row>
    <row r="1208">
      <c r="A1208" s="7" t="n"/>
      <c r="B1208" s="8">
        <f>IFERROR(MID(H1208,FIND("01",H1208)+2,14),"")</f>
        <v/>
      </c>
      <c r="C1208" s="7">
        <f>IF(A1208="","",IFERROR(VLOOKUP(B1208,TblArticles,2,FALSE),"GTIN inconnu"))</f>
        <v/>
      </c>
      <c r="D1208" s="8">
        <f>IF(A1208="","",IFERROR(VLOOKUP(B1208,TblArticles,3,FALSE),""))</f>
        <v/>
      </c>
      <c r="E1208" s="9">
        <f>IFERROR(DATE(2000+VALUE(MID(H1208,FIND("15",H1208,FIND("01",H1208)+16)+2,2)),VALUE(MID(H1208,FIND("15",H1208,FIND("01",H1208)+16)+4,2)),VALUE(MID(H1208,FIND("15",H1208,FIND("01",H1208)+16)+6,2))),"")</f>
        <v/>
      </c>
      <c r="F1208" s="8">
        <f>IFERROR(MID(H1208,FIND("10",H1208,FIND("15",H1208,FIND("01",H1208)+16)+8)+2,50),"")</f>
        <v/>
      </c>
      <c r="G1208" s="8" t="n"/>
      <c r="H1208" s="8">
        <f>SUBSTITUTE(SUBSTITUTE(SUBSTITUTE(SUBSTITUTE(A1208,"(",""),")","")," ",""),CHAR(29),"")</f>
        <v/>
      </c>
    </row>
    <row r="1209">
      <c r="A1209" s="4" t="n"/>
      <c r="B1209" s="5">
        <f>IFERROR(MID(H1209,FIND("01",H1209)+2,14),"")</f>
        <v/>
      </c>
      <c r="C1209" s="4">
        <f>IF(A1209="","",IFERROR(VLOOKUP(B1209,TblArticles,2,FALSE),"GTIN inconnu"))</f>
        <v/>
      </c>
      <c r="D1209" s="5">
        <f>IF(A1209="","",IFERROR(VLOOKUP(B1209,TblArticles,3,FALSE),""))</f>
        <v/>
      </c>
      <c r="E1209" s="6">
        <f>IFERROR(DATE(2000+VALUE(MID(H1209,FIND("15",H1209,FIND("01",H1209)+16)+2,2)),VALUE(MID(H1209,FIND("15",H1209,FIND("01",H1209)+16)+4,2)),VALUE(MID(H1209,FIND("15",H1209,FIND("01",H1209)+16)+6,2))),"")</f>
        <v/>
      </c>
      <c r="F1209" s="5">
        <f>IFERROR(MID(H1209,FIND("10",H1209,FIND("15",H1209,FIND("01",H1209)+16)+8)+2,50),"")</f>
        <v/>
      </c>
      <c r="G1209" s="5" t="n"/>
      <c r="H1209" s="5">
        <f>SUBSTITUTE(SUBSTITUTE(SUBSTITUTE(SUBSTITUTE(A1209,"(",""),")","")," ",""),CHAR(29),"")</f>
        <v/>
      </c>
    </row>
    <row r="1210">
      <c r="A1210" s="7" t="n"/>
      <c r="B1210" s="8">
        <f>IFERROR(MID(H1210,FIND("01",H1210)+2,14),"")</f>
        <v/>
      </c>
      <c r="C1210" s="7">
        <f>IF(A1210="","",IFERROR(VLOOKUP(B1210,TblArticles,2,FALSE),"GTIN inconnu"))</f>
        <v/>
      </c>
      <c r="D1210" s="8">
        <f>IF(A1210="","",IFERROR(VLOOKUP(B1210,TblArticles,3,FALSE),""))</f>
        <v/>
      </c>
      <c r="E1210" s="9">
        <f>IFERROR(DATE(2000+VALUE(MID(H1210,FIND("15",H1210,FIND("01",H1210)+16)+2,2)),VALUE(MID(H1210,FIND("15",H1210,FIND("01",H1210)+16)+4,2)),VALUE(MID(H1210,FIND("15",H1210,FIND("01",H1210)+16)+6,2))),"")</f>
        <v/>
      </c>
      <c r="F1210" s="8">
        <f>IFERROR(MID(H1210,FIND("10",H1210,FIND("15",H1210,FIND("01",H1210)+16)+8)+2,50),"")</f>
        <v/>
      </c>
      <c r="G1210" s="8" t="n"/>
      <c r="H1210" s="8">
        <f>SUBSTITUTE(SUBSTITUTE(SUBSTITUTE(SUBSTITUTE(A1210,"(",""),")","")," ",""),CHAR(29),"")</f>
        <v/>
      </c>
    </row>
    <row r="1211">
      <c r="A1211" s="4" t="n"/>
      <c r="B1211" s="5">
        <f>IFERROR(MID(H1211,FIND("01",H1211)+2,14),"")</f>
        <v/>
      </c>
      <c r="C1211" s="4">
        <f>IF(A1211="","",IFERROR(VLOOKUP(B1211,TblArticles,2,FALSE),"GTIN inconnu"))</f>
        <v/>
      </c>
      <c r="D1211" s="5">
        <f>IF(A1211="","",IFERROR(VLOOKUP(B1211,TblArticles,3,FALSE),""))</f>
        <v/>
      </c>
      <c r="E1211" s="6">
        <f>IFERROR(DATE(2000+VALUE(MID(H1211,FIND("15",H1211,FIND("01",H1211)+16)+2,2)),VALUE(MID(H1211,FIND("15",H1211,FIND("01",H1211)+16)+4,2)),VALUE(MID(H1211,FIND("15",H1211,FIND("01",H1211)+16)+6,2))),"")</f>
        <v/>
      </c>
      <c r="F1211" s="5">
        <f>IFERROR(MID(H1211,FIND("10",H1211,FIND("15",H1211,FIND("01",H1211)+16)+8)+2,50),"")</f>
        <v/>
      </c>
      <c r="G1211" s="5" t="n"/>
      <c r="H1211" s="5">
        <f>SUBSTITUTE(SUBSTITUTE(SUBSTITUTE(SUBSTITUTE(A1211,"(",""),")","")," ",""),CHAR(29),"")</f>
        <v/>
      </c>
    </row>
    <row r="1212">
      <c r="A1212" s="7" t="n"/>
      <c r="B1212" s="8">
        <f>IFERROR(MID(H1212,FIND("01",H1212)+2,14),"")</f>
        <v/>
      </c>
      <c r="C1212" s="7">
        <f>IF(A1212="","",IFERROR(VLOOKUP(B1212,TblArticles,2,FALSE),"GTIN inconnu"))</f>
        <v/>
      </c>
      <c r="D1212" s="8">
        <f>IF(A1212="","",IFERROR(VLOOKUP(B1212,TblArticles,3,FALSE),""))</f>
        <v/>
      </c>
      <c r="E1212" s="9">
        <f>IFERROR(DATE(2000+VALUE(MID(H1212,FIND("15",H1212,FIND("01",H1212)+16)+2,2)),VALUE(MID(H1212,FIND("15",H1212,FIND("01",H1212)+16)+4,2)),VALUE(MID(H1212,FIND("15",H1212,FIND("01",H1212)+16)+6,2))),"")</f>
        <v/>
      </c>
      <c r="F1212" s="8">
        <f>IFERROR(MID(H1212,FIND("10",H1212,FIND("15",H1212,FIND("01",H1212)+16)+8)+2,50),"")</f>
        <v/>
      </c>
      <c r="G1212" s="8" t="n"/>
      <c r="H1212" s="8">
        <f>SUBSTITUTE(SUBSTITUTE(SUBSTITUTE(SUBSTITUTE(A1212,"(",""),")","")," ",""),CHAR(29),"")</f>
        <v/>
      </c>
    </row>
    <row r="1213">
      <c r="A1213" s="4" t="n"/>
      <c r="B1213" s="5">
        <f>IFERROR(MID(H1213,FIND("01",H1213)+2,14),"")</f>
        <v/>
      </c>
      <c r="C1213" s="4">
        <f>IF(A1213="","",IFERROR(VLOOKUP(B1213,TblArticles,2,FALSE),"GTIN inconnu"))</f>
        <v/>
      </c>
      <c r="D1213" s="5">
        <f>IF(A1213="","",IFERROR(VLOOKUP(B1213,TblArticles,3,FALSE),""))</f>
        <v/>
      </c>
      <c r="E1213" s="6">
        <f>IFERROR(DATE(2000+VALUE(MID(H1213,FIND("15",H1213,FIND("01",H1213)+16)+2,2)),VALUE(MID(H1213,FIND("15",H1213,FIND("01",H1213)+16)+4,2)),VALUE(MID(H1213,FIND("15",H1213,FIND("01",H1213)+16)+6,2))),"")</f>
        <v/>
      </c>
      <c r="F1213" s="5">
        <f>IFERROR(MID(H1213,FIND("10",H1213,FIND("15",H1213,FIND("01",H1213)+16)+8)+2,50),"")</f>
        <v/>
      </c>
      <c r="G1213" s="5" t="n"/>
      <c r="H1213" s="5">
        <f>SUBSTITUTE(SUBSTITUTE(SUBSTITUTE(SUBSTITUTE(A1213,"(",""),")","")," ",""),CHAR(29),"")</f>
        <v/>
      </c>
    </row>
    <row r="1214">
      <c r="A1214" s="7" t="n"/>
      <c r="B1214" s="8">
        <f>IFERROR(MID(H1214,FIND("01",H1214)+2,14),"")</f>
        <v/>
      </c>
      <c r="C1214" s="7">
        <f>IF(A1214="","",IFERROR(VLOOKUP(B1214,TblArticles,2,FALSE),"GTIN inconnu"))</f>
        <v/>
      </c>
      <c r="D1214" s="8">
        <f>IF(A1214="","",IFERROR(VLOOKUP(B1214,TblArticles,3,FALSE),""))</f>
        <v/>
      </c>
      <c r="E1214" s="9">
        <f>IFERROR(DATE(2000+VALUE(MID(H1214,FIND("15",H1214,FIND("01",H1214)+16)+2,2)),VALUE(MID(H1214,FIND("15",H1214,FIND("01",H1214)+16)+4,2)),VALUE(MID(H1214,FIND("15",H1214,FIND("01",H1214)+16)+6,2))),"")</f>
        <v/>
      </c>
      <c r="F1214" s="8">
        <f>IFERROR(MID(H1214,FIND("10",H1214,FIND("15",H1214,FIND("01",H1214)+16)+8)+2,50),"")</f>
        <v/>
      </c>
      <c r="G1214" s="8" t="n"/>
      <c r="H1214" s="8">
        <f>SUBSTITUTE(SUBSTITUTE(SUBSTITUTE(SUBSTITUTE(A1214,"(",""),")","")," ",""),CHAR(29),"")</f>
        <v/>
      </c>
    </row>
    <row r="1215">
      <c r="A1215" s="4" t="n"/>
      <c r="B1215" s="5">
        <f>IFERROR(MID(H1215,FIND("01",H1215)+2,14),"")</f>
        <v/>
      </c>
      <c r="C1215" s="4">
        <f>IF(A1215="","",IFERROR(VLOOKUP(B1215,TblArticles,2,FALSE),"GTIN inconnu"))</f>
        <v/>
      </c>
      <c r="D1215" s="5">
        <f>IF(A1215="","",IFERROR(VLOOKUP(B1215,TblArticles,3,FALSE),""))</f>
        <v/>
      </c>
      <c r="E1215" s="6">
        <f>IFERROR(DATE(2000+VALUE(MID(H1215,FIND("15",H1215,FIND("01",H1215)+16)+2,2)),VALUE(MID(H1215,FIND("15",H1215,FIND("01",H1215)+16)+4,2)),VALUE(MID(H1215,FIND("15",H1215,FIND("01",H1215)+16)+6,2))),"")</f>
        <v/>
      </c>
      <c r="F1215" s="5">
        <f>IFERROR(MID(H1215,FIND("10",H1215,FIND("15",H1215,FIND("01",H1215)+16)+8)+2,50),"")</f>
        <v/>
      </c>
      <c r="G1215" s="5" t="n"/>
      <c r="H1215" s="5">
        <f>SUBSTITUTE(SUBSTITUTE(SUBSTITUTE(SUBSTITUTE(A1215,"(",""),")","")," ",""),CHAR(29),"")</f>
        <v/>
      </c>
    </row>
    <row r="1216">
      <c r="A1216" s="7" t="n"/>
      <c r="B1216" s="8">
        <f>IFERROR(MID(H1216,FIND("01",H1216)+2,14),"")</f>
        <v/>
      </c>
      <c r="C1216" s="7">
        <f>IF(A1216="","",IFERROR(VLOOKUP(B1216,TblArticles,2,FALSE),"GTIN inconnu"))</f>
        <v/>
      </c>
      <c r="D1216" s="8">
        <f>IF(A1216="","",IFERROR(VLOOKUP(B1216,TblArticles,3,FALSE),""))</f>
        <v/>
      </c>
      <c r="E1216" s="9">
        <f>IFERROR(DATE(2000+VALUE(MID(H1216,FIND("15",H1216,FIND("01",H1216)+16)+2,2)),VALUE(MID(H1216,FIND("15",H1216,FIND("01",H1216)+16)+4,2)),VALUE(MID(H1216,FIND("15",H1216,FIND("01",H1216)+16)+6,2))),"")</f>
        <v/>
      </c>
      <c r="F1216" s="8">
        <f>IFERROR(MID(H1216,FIND("10",H1216,FIND("15",H1216,FIND("01",H1216)+16)+8)+2,50),"")</f>
        <v/>
      </c>
      <c r="G1216" s="8" t="n"/>
      <c r="H1216" s="8">
        <f>SUBSTITUTE(SUBSTITUTE(SUBSTITUTE(SUBSTITUTE(A1216,"(",""),")","")," ",""),CHAR(29),"")</f>
        <v/>
      </c>
    </row>
    <row r="1217">
      <c r="A1217" s="4" t="n"/>
      <c r="B1217" s="5">
        <f>IFERROR(MID(H1217,FIND("01",H1217)+2,14),"")</f>
        <v/>
      </c>
      <c r="C1217" s="4">
        <f>IF(A1217="","",IFERROR(VLOOKUP(B1217,TblArticles,2,FALSE),"GTIN inconnu"))</f>
        <v/>
      </c>
      <c r="D1217" s="5">
        <f>IF(A1217="","",IFERROR(VLOOKUP(B1217,TblArticles,3,FALSE),""))</f>
        <v/>
      </c>
      <c r="E1217" s="6">
        <f>IFERROR(DATE(2000+VALUE(MID(H1217,FIND("15",H1217,FIND("01",H1217)+16)+2,2)),VALUE(MID(H1217,FIND("15",H1217,FIND("01",H1217)+16)+4,2)),VALUE(MID(H1217,FIND("15",H1217,FIND("01",H1217)+16)+6,2))),"")</f>
        <v/>
      </c>
      <c r="F1217" s="5">
        <f>IFERROR(MID(H1217,FIND("10",H1217,FIND("15",H1217,FIND("01",H1217)+16)+8)+2,50),"")</f>
        <v/>
      </c>
      <c r="G1217" s="5" t="n"/>
      <c r="H1217" s="5">
        <f>SUBSTITUTE(SUBSTITUTE(SUBSTITUTE(SUBSTITUTE(A1217,"(",""),")","")," ",""),CHAR(29),"")</f>
        <v/>
      </c>
    </row>
    <row r="1218">
      <c r="A1218" s="7" t="n"/>
      <c r="B1218" s="8">
        <f>IFERROR(MID(H1218,FIND("01",H1218)+2,14),"")</f>
        <v/>
      </c>
      <c r="C1218" s="7">
        <f>IF(A1218="","",IFERROR(VLOOKUP(B1218,TblArticles,2,FALSE),"GTIN inconnu"))</f>
        <v/>
      </c>
      <c r="D1218" s="8">
        <f>IF(A1218="","",IFERROR(VLOOKUP(B1218,TblArticles,3,FALSE),""))</f>
        <v/>
      </c>
      <c r="E1218" s="9">
        <f>IFERROR(DATE(2000+VALUE(MID(H1218,FIND("15",H1218,FIND("01",H1218)+16)+2,2)),VALUE(MID(H1218,FIND("15",H1218,FIND("01",H1218)+16)+4,2)),VALUE(MID(H1218,FIND("15",H1218,FIND("01",H1218)+16)+6,2))),"")</f>
        <v/>
      </c>
      <c r="F1218" s="8">
        <f>IFERROR(MID(H1218,FIND("10",H1218,FIND("15",H1218,FIND("01",H1218)+16)+8)+2,50),"")</f>
        <v/>
      </c>
      <c r="G1218" s="8" t="n"/>
      <c r="H1218" s="8">
        <f>SUBSTITUTE(SUBSTITUTE(SUBSTITUTE(SUBSTITUTE(A1218,"(",""),")","")," ",""),CHAR(29),"")</f>
        <v/>
      </c>
    </row>
    <row r="1219">
      <c r="A1219" s="4" t="n"/>
      <c r="B1219" s="5">
        <f>IFERROR(MID(H1219,FIND("01",H1219)+2,14),"")</f>
        <v/>
      </c>
      <c r="C1219" s="4">
        <f>IF(A1219="","",IFERROR(VLOOKUP(B1219,TblArticles,2,FALSE),"GTIN inconnu"))</f>
        <v/>
      </c>
      <c r="D1219" s="5">
        <f>IF(A1219="","",IFERROR(VLOOKUP(B1219,TblArticles,3,FALSE),""))</f>
        <v/>
      </c>
      <c r="E1219" s="6">
        <f>IFERROR(DATE(2000+VALUE(MID(H1219,FIND("15",H1219,FIND("01",H1219)+16)+2,2)),VALUE(MID(H1219,FIND("15",H1219,FIND("01",H1219)+16)+4,2)),VALUE(MID(H1219,FIND("15",H1219,FIND("01",H1219)+16)+6,2))),"")</f>
        <v/>
      </c>
      <c r="F1219" s="5">
        <f>IFERROR(MID(H1219,FIND("10",H1219,FIND("15",H1219,FIND("01",H1219)+16)+8)+2,50),"")</f>
        <v/>
      </c>
      <c r="G1219" s="5" t="n"/>
      <c r="H1219" s="5">
        <f>SUBSTITUTE(SUBSTITUTE(SUBSTITUTE(SUBSTITUTE(A1219,"(",""),")","")," ",""),CHAR(29),"")</f>
        <v/>
      </c>
    </row>
    <row r="1220">
      <c r="A1220" s="7" t="n"/>
      <c r="B1220" s="8">
        <f>IFERROR(MID(H1220,FIND("01",H1220)+2,14),"")</f>
        <v/>
      </c>
      <c r="C1220" s="7">
        <f>IF(A1220="","",IFERROR(VLOOKUP(B1220,TblArticles,2,FALSE),"GTIN inconnu"))</f>
        <v/>
      </c>
      <c r="D1220" s="8">
        <f>IF(A1220="","",IFERROR(VLOOKUP(B1220,TblArticles,3,FALSE),""))</f>
        <v/>
      </c>
      <c r="E1220" s="9">
        <f>IFERROR(DATE(2000+VALUE(MID(H1220,FIND("15",H1220,FIND("01",H1220)+16)+2,2)),VALUE(MID(H1220,FIND("15",H1220,FIND("01",H1220)+16)+4,2)),VALUE(MID(H1220,FIND("15",H1220,FIND("01",H1220)+16)+6,2))),"")</f>
        <v/>
      </c>
      <c r="F1220" s="8">
        <f>IFERROR(MID(H1220,FIND("10",H1220,FIND("15",H1220,FIND("01",H1220)+16)+8)+2,50),"")</f>
        <v/>
      </c>
      <c r="G1220" s="8" t="n"/>
      <c r="H1220" s="8">
        <f>SUBSTITUTE(SUBSTITUTE(SUBSTITUTE(SUBSTITUTE(A1220,"(",""),")","")," ",""),CHAR(29),"")</f>
        <v/>
      </c>
    </row>
    <row r="1221">
      <c r="A1221" s="4" t="n"/>
      <c r="B1221" s="5">
        <f>IFERROR(MID(H1221,FIND("01",H1221)+2,14),"")</f>
        <v/>
      </c>
      <c r="C1221" s="4">
        <f>IF(A1221="","",IFERROR(VLOOKUP(B1221,TblArticles,2,FALSE),"GTIN inconnu"))</f>
        <v/>
      </c>
      <c r="D1221" s="5">
        <f>IF(A1221="","",IFERROR(VLOOKUP(B1221,TblArticles,3,FALSE),""))</f>
        <v/>
      </c>
      <c r="E1221" s="6">
        <f>IFERROR(DATE(2000+VALUE(MID(H1221,FIND("15",H1221,FIND("01",H1221)+16)+2,2)),VALUE(MID(H1221,FIND("15",H1221,FIND("01",H1221)+16)+4,2)),VALUE(MID(H1221,FIND("15",H1221,FIND("01",H1221)+16)+6,2))),"")</f>
        <v/>
      </c>
      <c r="F1221" s="5">
        <f>IFERROR(MID(H1221,FIND("10",H1221,FIND("15",H1221,FIND("01",H1221)+16)+8)+2,50),"")</f>
        <v/>
      </c>
      <c r="G1221" s="5" t="n"/>
      <c r="H1221" s="5">
        <f>SUBSTITUTE(SUBSTITUTE(SUBSTITUTE(SUBSTITUTE(A1221,"(",""),")","")," ",""),CHAR(29),"")</f>
        <v/>
      </c>
    </row>
    <row r="1222">
      <c r="A1222" s="7" t="n"/>
      <c r="B1222" s="8">
        <f>IFERROR(MID(H1222,FIND("01",H1222)+2,14),"")</f>
        <v/>
      </c>
      <c r="C1222" s="7">
        <f>IF(A1222="","",IFERROR(VLOOKUP(B1222,TblArticles,2,FALSE),"GTIN inconnu"))</f>
        <v/>
      </c>
      <c r="D1222" s="8">
        <f>IF(A1222="","",IFERROR(VLOOKUP(B1222,TblArticles,3,FALSE),""))</f>
        <v/>
      </c>
      <c r="E1222" s="9">
        <f>IFERROR(DATE(2000+VALUE(MID(H1222,FIND("15",H1222,FIND("01",H1222)+16)+2,2)),VALUE(MID(H1222,FIND("15",H1222,FIND("01",H1222)+16)+4,2)),VALUE(MID(H1222,FIND("15",H1222,FIND("01",H1222)+16)+6,2))),"")</f>
        <v/>
      </c>
      <c r="F1222" s="8">
        <f>IFERROR(MID(H1222,FIND("10",H1222,FIND("15",H1222,FIND("01",H1222)+16)+8)+2,50),"")</f>
        <v/>
      </c>
      <c r="G1222" s="8" t="n"/>
      <c r="H1222" s="8">
        <f>SUBSTITUTE(SUBSTITUTE(SUBSTITUTE(SUBSTITUTE(A1222,"(",""),")","")," ",""),CHAR(29),"")</f>
        <v/>
      </c>
    </row>
    <row r="1223">
      <c r="A1223" s="4" t="n"/>
      <c r="B1223" s="5">
        <f>IFERROR(MID(H1223,FIND("01",H1223)+2,14),"")</f>
        <v/>
      </c>
      <c r="C1223" s="4">
        <f>IF(A1223="","",IFERROR(VLOOKUP(B1223,TblArticles,2,FALSE),"GTIN inconnu"))</f>
        <v/>
      </c>
      <c r="D1223" s="5">
        <f>IF(A1223="","",IFERROR(VLOOKUP(B1223,TblArticles,3,FALSE),""))</f>
        <v/>
      </c>
      <c r="E1223" s="6">
        <f>IFERROR(DATE(2000+VALUE(MID(H1223,FIND("15",H1223,FIND("01",H1223)+16)+2,2)),VALUE(MID(H1223,FIND("15",H1223,FIND("01",H1223)+16)+4,2)),VALUE(MID(H1223,FIND("15",H1223,FIND("01",H1223)+16)+6,2))),"")</f>
        <v/>
      </c>
      <c r="F1223" s="5">
        <f>IFERROR(MID(H1223,FIND("10",H1223,FIND("15",H1223,FIND("01",H1223)+16)+8)+2,50),"")</f>
        <v/>
      </c>
      <c r="G1223" s="5" t="n"/>
      <c r="H1223" s="5">
        <f>SUBSTITUTE(SUBSTITUTE(SUBSTITUTE(SUBSTITUTE(A1223,"(",""),")","")," ",""),CHAR(29),"")</f>
        <v/>
      </c>
    </row>
    <row r="1224">
      <c r="A1224" s="7" t="n"/>
      <c r="B1224" s="8">
        <f>IFERROR(MID(H1224,FIND("01",H1224)+2,14),"")</f>
        <v/>
      </c>
      <c r="C1224" s="7">
        <f>IF(A1224="","",IFERROR(VLOOKUP(B1224,TblArticles,2,FALSE),"GTIN inconnu"))</f>
        <v/>
      </c>
      <c r="D1224" s="8">
        <f>IF(A1224="","",IFERROR(VLOOKUP(B1224,TblArticles,3,FALSE),""))</f>
        <v/>
      </c>
      <c r="E1224" s="9">
        <f>IFERROR(DATE(2000+VALUE(MID(H1224,FIND("15",H1224,FIND("01",H1224)+16)+2,2)),VALUE(MID(H1224,FIND("15",H1224,FIND("01",H1224)+16)+4,2)),VALUE(MID(H1224,FIND("15",H1224,FIND("01",H1224)+16)+6,2))),"")</f>
        <v/>
      </c>
      <c r="F1224" s="8">
        <f>IFERROR(MID(H1224,FIND("10",H1224,FIND("15",H1224,FIND("01",H1224)+16)+8)+2,50),"")</f>
        <v/>
      </c>
      <c r="G1224" s="8" t="n"/>
      <c r="H1224" s="8">
        <f>SUBSTITUTE(SUBSTITUTE(SUBSTITUTE(SUBSTITUTE(A1224,"(",""),")","")," ",""),CHAR(29),"")</f>
        <v/>
      </c>
    </row>
    <row r="1225">
      <c r="A1225" s="4" t="n"/>
      <c r="B1225" s="5">
        <f>IFERROR(MID(H1225,FIND("01",H1225)+2,14),"")</f>
        <v/>
      </c>
      <c r="C1225" s="4">
        <f>IF(A1225="","",IFERROR(VLOOKUP(B1225,TblArticles,2,FALSE),"GTIN inconnu"))</f>
        <v/>
      </c>
      <c r="D1225" s="5">
        <f>IF(A1225="","",IFERROR(VLOOKUP(B1225,TblArticles,3,FALSE),""))</f>
        <v/>
      </c>
      <c r="E1225" s="6">
        <f>IFERROR(DATE(2000+VALUE(MID(H1225,FIND("15",H1225,FIND("01",H1225)+16)+2,2)),VALUE(MID(H1225,FIND("15",H1225,FIND("01",H1225)+16)+4,2)),VALUE(MID(H1225,FIND("15",H1225,FIND("01",H1225)+16)+6,2))),"")</f>
        <v/>
      </c>
      <c r="F1225" s="5">
        <f>IFERROR(MID(H1225,FIND("10",H1225,FIND("15",H1225,FIND("01",H1225)+16)+8)+2,50),"")</f>
        <v/>
      </c>
      <c r="G1225" s="5" t="n"/>
      <c r="H1225" s="5">
        <f>SUBSTITUTE(SUBSTITUTE(SUBSTITUTE(SUBSTITUTE(A1225,"(",""),")","")," ",""),CHAR(29),"")</f>
        <v/>
      </c>
    </row>
    <row r="1226">
      <c r="A1226" s="7" t="n"/>
      <c r="B1226" s="8">
        <f>IFERROR(MID(H1226,FIND("01",H1226)+2,14),"")</f>
        <v/>
      </c>
      <c r="C1226" s="7">
        <f>IF(A1226="","",IFERROR(VLOOKUP(B1226,TblArticles,2,FALSE),"GTIN inconnu"))</f>
        <v/>
      </c>
      <c r="D1226" s="8">
        <f>IF(A1226="","",IFERROR(VLOOKUP(B1226,TblArticles,3,FALSE),""))</f>
        <v/>
      </c>
      <c r="E1226" s="9">
        <f>IFERROR(DATE(2000+VALUE(MID(H1226,FIND("15",H1226,FIND("01",H1226)+16)+2,2)),VALUE(MID(H1226,FIND("15",H1226,FIND("01",H1226)+16)+4,2)),VALUE(MID(H1226,FIND("15",H1226,FIND("01",H1226)+16)+6,2))),"")</f>
        <v/>
      </c>
      <c r="F1226" s="8">
        <f>IFERROR(MID(H1226,FIND("10",H1226,FIND("15",H1226,FIND("01",H1226)+16)+8)+2,50),"")</f>
        <v/>
      </c>
      <c r="G1226" s="8" t="n"/>
      <c r="H1226" s="8">
        <f>SUBSTITUTE(SUBSTITUTE(SUBSTITUTE(SUBSTITUTE(A1226,"(",""),")","")," ",""),CHAR(29),"")</f>
        <v/>
      </c>
    </row>
    <row r="1227">
      <c r="A1227" s="4" t="n"/>
      <c r="B1227" s="5">
        <f>IFERROR(MID(H1227,FIND("01",H1227)+2,14),"")</f>
        <v/>
      </c>
      <c r="C1227" s="4">
        <f>IF(A1227="","",IFERROR(VLOOKUP(B1227,TblArticles,2,FALSE),"GTIN inconnu"))</f>
        <v/>
      </c>
      <c r="D1227" s="5">
        <f>IF(A1227="","",IFERROR(VLOOKUP(B1227,TblArticles,3,FALSE),""))</f>
        <v/>
      </c>
      <c r="E1227" s="6">
        <f>IFERROR(DATE(2000+VALUE(MID(H1227,FIND("15",H1227,FIND("01",H1227)+16)+2,2)),VALUE(MID(H1227,FIND("15",H1227,FIND("01",H1227)+16)+4,2)),VALUE(MID(H1227,FIND("15",H1227,FIND("01",H1227)+16)+6,2))),"")</f>
        <v/>
      </c>
      <c r="F1227" s="5">
        <f>IFERROR(MID(H1227,FIND("10",H1227,FIND("15",H1227,FIND("01",H1227)+16)+8)+2,50),"")</f>
        <v/>
      </c>
      <c r="G1227" s="5" t="n"/>
      <c r="H1227" s="5">
        <f>SUBSTITUTE(SUBSTITUTE(SUBSTITUTE(SUBSTITUTE(A1227,"(",""),")","")," ",""),CHAR(29),"")</f>
        <v/>
      </c>
    </row>
    <row r="1228">
      <c r="A1228" s="7" t="n"/>
      <c r="B1228" s="8">
        <f>IFERROR(MID(H1228,FIND("01",H1228)+2,14),"")</f>
        <v/>
      </c>
      <c r="C1228" s="7">
        <f>IF(A1228="","",IFERROR(VLOOKUP(B1228,TblArticles,2,FALSE),"GTIN inconnu"))</f>
        <v/>
      </c>
      <c r="D1228" s="8">
        <f>IF(A1228="","",IFERROR(VLOOKUP(B1228,TblArticles,3,FALSE),""))</f>
        <v/>
      </c>
      <c r="E1228" s="9">
        <f>IFERROR(DATE(2000+VALUE(MID(H1228,FIND("15",H1228,FIND("01",H1228)+16)+2,2)),VALUE(MID(H1228,FIND("15",H1228,FIND("01",H1228)+16)+4,2)),VALUE(MID(H1228,FIND("15",H1228,FIND("01",H1228)+16)+6,2))),"")</f>
        <v/>
      </c>
      <c r="F1228" s="8">
        <f>IFERROR(MID(H1228,FIND("10",H1228,FIND("15",H1228,FIND("01",H1228)+16)+8)+2,50),"")</f>
        <v/>
      </c>
      <c r="G1228" s="8" t="n"/>
      <c r="H1228" s="8">
        <f>SUBSTITUTE(SUBSTITUTE(SUBSTITUTE(SUBSTITUTE(A1228,"(",""),")","")," ",""),CHAR(29),"")</f>
        <v/>
      </c>
    </row>
    <row r="1229">
      <c r="A1229" s="4" t="n"/>
      <c r="B1229" s="5">
        <f>IFERROR(MID(H1229,FIND("01",H1229)+2,14),"")</f>
        <v/>
      </c>
      <c r="C1229" s="4">
        <f>IF(A1229="","",IFERROR(VLOOKUP(B1229,TblArticles,2,FALSE),"GTIN inconnu"))</f>
        <v/>
      </c>
      <c r="D1229" s="5">
        <f>IF(A1229="","",IFERROR(VLOOKUP(B1229,TblArticles,3,FALSE),""))</f>
        <v/>
      </c>
      <c r="E1229" s="6">
        <f>IFERROR(DATE(2000+VALUE(MID(H1229,FIND("15",H1229,FIND("01",H1229)+16)+2,2)),VALUE(MID(H1229,FIND("15",H1229,FIND("01",H1229)+16)+4,2)),VALUE(MID(H1229,FIND("15",H1229,FIND("01",H1229)+16)+6,2))),"")</f>
        <v/>
      </c>
      <c r="F1229" s="5">
        <f>IFERROR(MID(H1229,FIND("10",H1229,FIND("15",H1229,FIND("01",H1229)+16)+8)+2,50),"")</f>
        <v/>
      </c>
      <c r="G1229" s="5" t="n"/>
      <c r="H1229" s="5">
        <f>SUBSTITUTE(SUBSTITUTE(SUBSTITUTE(SUBSTITUTE(A1229,"(",""),")","")," ",""),CHAR(29),"")</f>
        <v/>
      </c>
    </row>
    <row r="1230">
      <c r="A1230" s="7" t="n"/>
      <c r="B1230" s="8">
        <f>IFERROR(MID(H1230,FIND("01",H1230)+2,14),"")</f>
        <v/>
      </c>
      <c r="C1230" s="7">
        <f>IF(A1230="","",IFERROR(VLOOKUP(B1230,TblArticles,2,FALSE),"GTIN inconnu"))</f>
        <v/>
      </c>
      <c r="D1230" s="8">
        <f>IF(A1230="","",IFERROR(VLOOKUP(B1230,TblArticles,3,FALSE),""))</f>
        <v/>
      </c>
      <c r="E1230" s="9">
        <f>IFERROR(DATE(2000+VALUE(MID(H1230,FIND("15",H1230,FIND("01",H1230)+16)+2,2)),VALUE(MID(H1230,FIND("15",H1230,FIND("01",H1230)+16)+4,2)),VALUE(MID(H1230,FIND("15",H1230,FIND("01",H1230)+16)+6,2))),"")</f>
        <v/>
      </c>
      <c r="F1230" s="8">
        <f>IFERROR(MID(H1230,FIND("10",H1230,FIND("15",H1230,FIND("01",H1230)+16)+8)+2,50),"")</f>
        <v/>
      </c>
      <c r="G1230" s="8" t="n"/>
      <c r="H1230" s="8">
        <f>SUBSTITUTE(SUBSTITUTE(SUBSTITUTE(SUBSTITUTE(A1230,"(",""),")","")," ",""),CHAR(29),"")</f>
        <v/>
      </c>
    </row>
    <row r="1231">
      <c r="A1231" s="4" t="n"/>
      <c r="B1231" s="5">
        <f>IFERROR(MID(H1231,FIND("01",H1231)+2,14),"")</f>
        <v/>
      </c>
      <c r="C1231" s="4">
        <f>IF(A1231="","",IFERROR(VLOOKUP(B1231,TblArticles,2,FALSE),"GTIN inconnu"))</f>
        <v/>
      </c>
      <c r="D1231" s="5">
        <f>IF(A1231="","",IFERROR(VLOOKUP(B1231,TblArticles,3,FALSE),""))</f>
        <v/>
      </c>
      <c r="E1231" s="6">
        <f>IFERROR(DATE(2000+VALUE(MID(H1231,FIND("15",H1231,FIND("01",H1231)+16)+2,2)),VALUE(MID(H1231,FIND("15",H1231,FIND("01",H1231)+16)+4,2)),VALUE(MID(H1231,FIND("15",H1231,FIND("01",H1231)+16)+6,2))),"")</f>
        <v/>
      </c>
      <c r="F1231" s="5">
        <f>IFERROR(MID(H1231,FIND("10",H1231,FIND("15",H1231,FIND("01",H1231)+16)+8)+2,50),"")</f>
        <v/>
      </c>
      <c r="G1231" s="5" t="n"/>
      <c r="H1231" s="5">
        <f>SUBSTITUTE(SUBSTITUTE(SUBSTITUTE(SUBSTITUTE(A1231,"(",""),")","")," ",""),CHAR(29),"")</f>
        <v/>
      </c>
    </row>
    <row r="1232">
      <c r="A1232" s="7" t="n"/>
      <c r="B1232" s="8">
        <f>IFERROR(MID(H1232,FIND("01",H1232)+2,14),"")</f>
        <v/>
      </c>
      <c r="C1232" s="7">
        <f>IF(A1232="","",IFERROR(VLOOKUP(B1232,TblArticles,2,FALSE),"GTIN inconnu"))</f>
        <v/>
      </c>
      <c r="D1232" s="8">
        <f>IF(A1232="","",IFERROR(VLOOKUP(B1232,TblArticles,3,FALSE),""))</f>
        <v/>
      </c>
      <c r="E1232" s="9">
        <f>IFERROR(DATE(2000+VALUE(MID(H1232,FIND("15",H1232,FIND("01",H1232)+16)+2,2)),VALUE(MID(H1232,FIND("15",H1232,FIND("01",H1232)+16)+4,2)),VALUE(MID(H1232,FIND("15",H1232,FIND("01",H1232)+16)+6,2))),"")</f>
        <v/>
      </c>
      <c r="F1232" s="8">
        <f>IFERROR(MID(H1232,FIND("10",H1232,FIND("15",H1232,FIND("01",H1232)+16)+8)+2,50),"")</f>
        <v/>
      </c>
      <c r="G1232" s="8" t="n"/>
      <c r="H1232" s="8">
        <f>SUBSTITUTE(SUBSTITUTE(SUBSTITUTE(SUBSTITUTE(A1232,"(",""),")","")," ",""),CHAR(29),"")</f>
        <v/>
      </c>
    </row>
    <row r="1233">
      <c r="A1233" s="4" t="n"/>
      <c r="B1233" s="5">
        <f>IFERROR(MID(H1233,FIND("01",H1233)+2,14),"")</f>
        <v/>
      </c>
      <c r="C1233" s="4">
        <f>IF(A1233="","",IFERROR(VLOOKUP(B1233,TblArticles,2,FALSE),"GTIN inconnu"))</f>
        <v/>
      </c>
      <c r="D1233" s="5">
        <f>IF(A1233="","",IFERROR(VLOOKUP(B1233,TblArticles,3,FALSE),""))</f>
        <v/>
      </c>
      <c r="E1233" s="6">
        <f>IFERROR(DATE(2000+VALUE(MID(H1233,FIND("15",H1233,FIND("01",H1233)+16)+2,2)),VALUE(MID(H1233,FIND("15",H1233,FIND("01",H1233)+16)+4,2)),VALUE(MID(H1233,FIND("15",H1233,FIND("01",H1233)+16)+6,2))),"")</f>
        <v/>
      </c>
      <c r="F1233" s="5">
        <f>IFERROR(MID(H1233,FIND("10",H1233,FIND("15",H1233,FIND("01",H1233)+16)+8)+2,50),"")</f>
        <v/>
      </c>
      <c r="G1233" s="5" t="n"/>
      <c r="H1233" s="5">
        <f>SUBSTITUTE(SUBSTITUTE(SUBSTITUTE(SUBSTITUTE(A1233,"(",""),")","")," ",""),CHAR(29),"")</f>
        <v/>
      </c>
    </row>
    <row r="1234">
      <c r="A1234" s="7" t="n"/>
      <c r="B1234" s="8">
        <f>IFERROR(MID(H1234,FIND("01",H1234)+2,14),"")</f>
        <v/>
      </c>
      <c r="C1234" s="7">
        <f>IF(A1234="","",IFERROR(VLOOKUP(B1234,TblArticles,2,FALSE),"GTIN inconnu"))</f>
        <v/>
      </c>
      <c r="D1234" s="8">
        <f>IF(A1234="","",IFERROR(VLOOKUP(B1234,TblArticles,3,FALSE),""))</f>
        <v/>
      </c>
      <c r="E1234" s="9">
        <f>IFERROR(DATE(2000+VALUE(MID(H1234,FIND("15",H1234,FIND("01",H1234)+16)+2,2)),VALUE(MID(H1234,FIND("15",H1234,FIND("01",H1234)+16)+4,2)),VALUE(MID(H1234,FIND("15",H1234,FIND("01",H1234)+16)+6,2))),"")</f>
        <v/>
      </c>
      <c r="F1234" s="8">
        <f>IFERROR(MID(H1234,FIND("10",H1234,FIND("15",H1234,FIND("01",H1234)+16)+8)+2,50),"")</f>
        <v/>
      </c>
      <c r="G1234" s="8" t="n"/>
      <c r="H1234" s="8">
        <f>SUBSTITUTE(SUBSTITUTE(SUBSTITUTE(SUBSTITUTE(A1234,"(",""),")","")," ",""),CHAR(29),"")</f>
        <v/>
      </c>
    </row>
    <row r="1235">
      <c r="A1235" s="4" t="n"/>
      <c r="B1235" s="5">
        <f>IFERROR(MID(H1235,FIND("01",H1235)+2,14),"")</f>
        <v/>
      </c>
      <c r="C1235" s="4">
        <f>IF(A1235="","",IFERROR(VLOOKUP(B1235,TblArticles,2,FALSE),"GTIN inconnu"))</f>
        <v/>
      </c>
      <c r="D1235" s="5">
        <f>IF(A1235="","",IFERROR(VLOOKUP(B1235,TblArticles,3,FALSE),""))</f>
        <v/>
      </c>
      <c r="E1235" s="6">
        <f>IFERROR(DATE(2000+VALUE(MID(H1235,FIND("15",H1235,FIND("01",H1235)+16)+2,2)),VALUE(MID(H1235,FIND("15",H1235,FIND("01",H1235)+16)+4,2)),VALUE(MID(H1235,FIND("15",H1235,FIND("01",H1235)+16)+6,2))),"")</f>
        <v/>
      </c>
      <c r="F1235" s="5">
        <f>IFERROR(MID(H1235,FIND("10",H1235,FIND("15",H1235,FIND("01",H1235)+16)+8)+2,50),"")</f>
        <v/>
      </c>
      <c r="G1235" s="5" t="n"/>
      <c r="H1235" s="5">
        <f>SUBSTITUTE(SUBSTITUTE(SUBSTITUTE(SUBSTITUTE(A1235,"(",""),")","")," ",""),CHAR(29),"")</f>
        <v/>
      </c>
    </row>
    <row r="1236">
      <c r="A1236" s="7" t="n"/>
      <c r="B1236" s="8">
        <f>IFERROR(MID(H1236,FIND("01",H1236)+2,14),"")</f>
        <v/>
      </c>
      <c r="C1236" s="7">
        <f>IF(A1236="","",IFERROR(VLOOKUP(B1236,TblArticles,2,FALSE),"GTIN inconnu"))</f>
        <v/>
      </c>
      <c r="D1236" s="8">
        <f>IF(A1236="","",IFERROR(VLOOKUP(B1236,TblArticles,3,FALSE),""))</f>
        <v/>
      </c>
      <c r="E1236" s="9">
        <f>IFERROR(DATE(2000+VALUE(MID(H1236,FIND("15",H1236,FIND("01",H1236)+16)+2,2)),VALUE(MID(H1236,FIND("15",H1236,FIND("01",H1236)+16)+4,2)),VALUE(MID(H1236,FIND("15",H1236,FIND("01",H1236)+16)+6,2))),"")</f>
        <v/>
      </c>
      <c r="F1236" s="8">
        <f>IFERROR(MID(H1236,FIND("10",H1236,FIND("15",H1236,FIND("01",H1236)+16)+8)+2,50),"")</f>
        <v/>
      </c>
      <c r="G1236" s="8" t="n"/>
      <c r="H1236" s="8">
        <f>SUBSTITUTE(SUBSTITUTE(SUBSTITUTE(SUBSTITUTE(A1236,"(",""),")","")," ",""),CHAR(29),"")</f>
        <v/>
      </c>
    </row>
    <row r="1237">
      <c r="A1237" s="4" t="n"/>
      <c r="B1237" s="5">
        <f>IFERROR(MID(H1237,FIND("01",H1237)+2,14),"")</f>
        <v/>
      </c>
      <c r="C1237" s="4">
        <f>IF(A1237="","",IFERROR(VLOOKUP(B1237,TblArticles,2,FALSE),"GTIN inconnu"))</f>
        <v/>
      </c>
      <c r="D1237" s="5">
        <f>IF(A1237="","",IFERROR(VLOOKUP(B1237,TblArticles,3,FALSE),""))</f>
        <v/>
      </c>
      <c r="E1237" s="6">
        <f>IFERROR(DATE(2000+VALUE(MID(H1237,FIND("15",H1237,FIND("01",H1237)+16)+2,2)),VALUE(MID(H1237,FIND("15",H1237,FIND("01",H1237)+16)+4,2)),VALUE(MID(H1237,FIND("15",H1237,FIND("01",H1237)+16)+6,2))),"")</f>
        <v/>
      </c>
      <c r="F1237" s="5">
        <f>IFERROR(MID(H1237,FIND("10",H1237,FIND("15",H1237,FIND("01",H1237)+16)+8)+2,50),"")</f>
        <v/>
      </c>
      <c r="G1237" s="5" t="n"/>
      <c r="H1237" s="5">
        <f>SUBSTITUTE(SUBSTITUTE(SUBSTITUTE(SUBSTITUTE(A1237,"(",""),")","")," ",""),CHAR(29),"")</f>
        <v/>
      </c>
    </row>
    <row r="1238">
      <c r="A1238" s="7" t="n"/>
      <c r="B1238" s="8">
        <f>IFERROR(MID(H1238,FIND("01",H1238)+2,14),"")</f>
        <v/>
      </c>
      <c r="C1238" s="7">
        <f>IF(A1238="","",IFERROR(VLOOKUP(B1238,TblArticles,2,FALSE),"GTIN inconnu"))</f>
        <v/>
      </c>
      <c r="D1238" s="8">
        <f>IF(A1238="","",IFERROR(VLOOKUP(B1238,TblArticles,3,FALSE),""))</f>
        <v/>
      </c>
      <c r="E1238" s="9">
        <f>IFERROR(DATE(2000+VALUE(MID(H1238,FIND("15",H1238,FIND("01",H1238)+16)+2,2)),VALUE(MID(H1238,FIND("15",H1238,FIND("01",H1238)+16)+4,2)),VALUE(MID(H1238,FIND("15",H1238,FIND("01",H1238)+16)+6,2))),"")</f>
        <v/>
      </c>
      <c r="F1238" s="8">
        <f>IFERROR(MID(H1238,FIND("10",H1238,FIND("15",H1238,FIND("01",H1238)+16)+8)+2,50),"")</f>
        <v/>
      </c>
      <c r="G1238" s="8" t="n"/>
      <c r="H1238" s="8">
        <f>SUBSTITUTE(SUBSTITUTE(SUBSTITUTE(SUBSTITUTE(A1238,"(",""),")","")," ",""),CHAR(29),"")</f>
        <v/>
      </c>
    </row>
    <row r="1239">
      <c r="A1239" s="4" t="n"/>
      <c r="B1239" s="5">
        <f>IFERROR(MID(H1239,FIND("01",H1239)+2,14),"")</f>
        <v/>
      </c>
      <c r="C1239" s="4">
        <f>IF(A1239="","",IFERROR(VLOOKUP(B1239,TblArticles,2,FALSE),"GTIN inconnu"))</f>
        <v/>
      </c>
      <c r="D1239" s="5">
        <f>IF(A1239="","",IFERROR(VLOOKUP(B1239,TblArticles,3,FALSE),""))</f>
        <v/>
      </c>
      <c r="E1239" s="6">
        <f>IFERROR(DATE(2000+VALUE(MID(H1239,FIND("15",H1239,FIND("01",H1239)+16)+2,2)),VALUE(MID(H1239,FIND("15",H1239,FIND("01",H1239)+16)+4,2)),VALUE(MID(H1239,FIND("15",H1239,FIND("01",H1239)+16)+6,2))),"")</f>
        <v/>
      </c>
      <c r="F1239" s="5">
        <f>IFERROR(MID(H1239,FIND("10",H1239,FIND("15",H1239,FIND("01",H1239)+16)+8)+2,50),"")</f>
        <v/>
      </c>
      <c r="G1239" s="5" t="n"/>
      <c r="H1239" s="5">
        <f>SUBSTITUTE(SUBSTITUTE(SUBSTITUTE(SUBSTITUTE(A1239,"(",""),")","")," ",""),CHAR(29),"")</f>
        <v/>
      </c>
    </row>
    <row r="1240">
      <c r="A1240" s="7" t="n"/>
      <c r="B1240" s="8">
        <f>IFERROR(MID(H1240,FIND("01",H1240)+2,14),"")</f>
        <v/>
      </c>
      <c r="C1240" s="7">
        <f>IF(A1240="","",IFERROR(VLOOKUP(B1240,TblArticles,2,FALSE),"GTIN inconnu"))</f>
        <v/>
      </c>
      <c r="D1240" s="8">
        <f>IF(A1240="","",IFERROR(VLOOKUP(B1240,TblArticles,3,FALSE),""))</f>
        <v/>
      </c>
      <c r="E1240" s="9">
        <f>IFERROR(DATE(2000+VALUE(MID(H1240,FIND("15",H1240,FIND("01",H1240)+16)+2,2)),VALUE(MID(H1240,FIND("15",H1240,FIND("01",H1240)+16)+4,2)),VALUE(MID(H1240,FIND("15",H1240,FIND("01",H1240)+16)+6,2))),"")</f>
        <v/>
      </c>
      <c r="F1240" s="8">
        <f>IFERROR(MID(H1240,FIND("10",H1240,FIND("15",H1240,FIND("01",H1240)+16)+8)+2,50),"")</f>
        <v/>
      </c>
      <c r="G1240" s="8" t="n"/>
      <c r="H1240" s="8">
        <f>SUBSTITUTE(SUBSTITUTE(SUBSTITUTE(SUBSTITUTE(A1240,"(",""),")","")," ",""),CHAR(29),"")</f>
        <v/>
      </c>
    </row>
    <row r="1241">
      <c r="A1241" s="4" t="n"/>
      <c r="B1241" s="5">
        <f>IFERROR(MID(H1241,FIND("01",H1241)+2,14),"")</f>
        <v/>
      </c>
      <c r="C1241" s="4">
        <f>IF(A1241="","",IFERROR(VLOOKUP(B1241,TblArticles,2,FALSE),"GTIN inconnu"))</f>
        <v/>
      </c>
      <c r="D1241" s="5">
        <f>IF(A1241="","",IFERROR(VLOOKUP(B1241,TblArticles,3,FALSE),""))</f>
        <v/>
      </c>
      <c r="E1241" s="6">
        <f>IFERROR(DATE(2000+VALUE(MID(H1241,FIND("15",H1241,FIND("01",H1241)+16)+2,2)),VALUE(MID(H1241,FIND("15",H1241,FIND("01",H1241)+16)+4,2)),VALUE(MID(H1241,FIND("15",H1241,FIND("01",H1241)+16)+6,2))),"")</f>
        <v/>
      </c>
      <c r="F1241" s="5">
        <f>IFERROR(MID(H1241,FIND("10",H1241,FIND("15",H1241,FIND("01",H1241)+16)+8)+2,50),"")</f>
        <v/>
      </c>
      <c r="G1241" s="5" t="n"/>
      <c r="H1241" s="5">
        <f>SUBSTITUTE(SUBSTITUTE(SUBSTITUTE(SUBSTITUTE(A1241,"(",""),")","")," ",""),CHAR(29),"")</f>
        <v/>
      </c>
    </row>
    <row r="1242">
      <c r="A1242" s="7" t="n"/>
      <c r="B1242" s="8">
        <f>IFERROR(MID(H1242,FIND("01",H1242)+2,14),"")</f>
        <v/>
      </c>
      <c r="C1242" s="7">
        <f>IF(A1242="","",IFERROR(VLOOKUP(B1242,TblArticles,2,FALSE),"GTIN inconnu"))</f>
        <v/>
      </c>
      <c r="D1242" s="8">
        <f>IF(A1242="","",IFERROR(VLOOKUP(B1242,TblArticles,3,FALSE),""))</f>
        <v/>
      </c>
      <c r="E1242" s="9">
        <f>IFERROR(DATE(2000+VALUE(MID(H1242,FIND("15",H1242,FIND("01",H1242)+16)+2,2)),VALUE(MID(H1242,FIND("15",H1242,FIND("01",H1242)+16)+4,2)),VALUE(MID(H1242,FIND("15",H1242,FIND("01",H1242)+16)+6,2))),"")</f>
        <v/>
      </c>
      <c r="F1242" s="8">
        <f>IFERROR(MID(H1242,FIND("10",H1242,FIND("15",H1242,FIND("01",H1242)+16)+8)+2,50),"")</f>
        <v/>
      </c>
      <c r="G1242" s="8" t="n"/>
      <c r="H1242" s="8">
        <f>SUBSTITUTE(SUBSTITUTE(SUBSTITUTE(SUBSTITUTE(A1242,"(",""),")","")," ",""),CHAR(29),"")</f>
        <v/>
      </c>
    </row>
    <row r="1243">
      <c r="A1243" s="4" t="n"/>
      <c r="B1243" s="5">
        <f>IFERROR(MID(H1243,FIND("01",H1243)+2,14),"")</f>
        <v/>
      </c>
      <c r="C1243" s="4">
        <f>IF(A1243="","",IFERROR(VLOOKUP(B1243,TblArticles,2,FALSE),"GTIN inconnu"))</f>
        <v/>
      </c>
      <c r="D1243" s="5">
        <f>IF(A1243="","",IFERROR(VLOOKUP(B1243,TblArticles,3,FALSE),""))</f>
        <v/>
      </c>
      <c r="E1243" s="6">
        <f>IFERROR(DATE(2000+VALUE(MID(H1243,FIND("15",H1243,FIND("01",H1243)+16)+2,2)),VALUE(MID(H1243,FIND("15",H1243,FIND("01",H1243)+16)+4,2)),VALUE(MID(H1243,FIND("15",H1243,FIND("01",H1243)+16)+6,2))),"")</f>
        <v/>
      </c>
      <c r="F1243" s="5">
        <f>IFERROR(MID(H1243,FIND("10",H1243,FIND("15",H1243,FIND("01",H1243)+16)+8)+2,50),"")</f>
        <v/>
      </c>
      <c r="G1243" s="5" t="n"/>
      <c r="H1243" s="5">
        <f>SUBSTITUTE(SUBSTITUTE(SUBSTITUTE(SUBSTITUTE(A1243,"(",""),")","")," ",""),CHAR(29),"")</f>
        <v/>
      </c>
    </row>
    <row r="1244">
      <c r="A1244" s="7" t="n"/>
      <c r="B1244" s="8">
        <f>IFERROR(MID(H1244,FIND("01",H1244)+2,14),"")</f>
        <v/>
      </c>
      <c r="C1244" s="7">
        <f>IF(A1244="","",IFERROR(VLOOKUP(B1244,TblArticles,2,FALSE),"GTIN inconnu"))</f>
        <v/>
      </c>
      <c r="D1244" s="8">
        <f>IF(A1244="","",IFERROR(VLOOKUP(B1244,TblArticles,3,FALSE),""))</f>
        <v/>
      </c>
      <c r="E1244" s="9">
        <f>IFERROR(DATE(2000+VALUE(MID(H1244,FIND("15",H1244,FIND("01",H1244)+16)+2,2)),VALUE(MID(H1244,FIND("15",H1244,FIND("01",H1244)+16)+4,2)),VALUE(MID(H1244,FIND("15",H1244,FIND("01",H1244)+16)+6,2))),"")</f>
        <v/>
      </c>
      <c r="F1244" s="8">
        <f>IFERROR(MID(H1244,FIND("10",H1244,FIND("15",H1244,FIND("01",H1244)+16)+8)+2,50),"")</f>
        <v/>
      </c>
      <c r="G1244" s="8" t="n"/>
      <c r="H1244" s="8">
        <f>SUBSTITUTE(SUBSTITUTE(SUBSTITUTE(SUBSTITUTE(A1244,"(",""),")","")," ",""),CHAR(29),"")</f>
        <v/>
      </c>
    </row>
    <row r="1245">
      <c r="A1245" s="4" t="n"/>
      <c r="B1245" s="5">
        <f>IFERROR(MID(H1245,FIND("01",H1245)+2,14),"")</f>
        <v/>
      </c>
      <c r="C1245" s="4">
        <f>IF(A1245="","",IFERROR(VLOOKUP(B1245,TblArticles,2,FALSE),"GTIN inconnu"))</f>
        <v/>
      </c>
      <c r="D1245" s="5">
        <f>IF(A1245="","",IFERROR(VLOOKUP(B1245,TblArticles,3,FALSE),""))</f>
        <v/>
      </c>
      <c r="E1245" s="6">
        <f>IFERROR(DATE(2000+VALUE(MID(H1245,FIND("15",H1245,FIND("01",H1245)+16)+2,2)),VALUE(MID(H1245,FIND("15",H1245,FIND("01",H1245)+16)+4,2)),VALUE(MID(H1245,FIND("15",H1245,FIND("01",H1245)+16)+6,2))),"")</f>
        <v/>
      </c>
      <c r="F1245" s="5">
        <f>IFERROR(MID(H1245,FIND("10",H1245,FIND("15",H1245,FIND("01",H1245)+16)+8)+2,50),"")</f>
        <v/>
      </c>
      <c r="G1245" s="5" t="n"/>
      <c r="H1245" s="5">
        <f>SUBSTITUTE(SUBSTITUTE(SUBSTITUTE(SUBSTITUTE(A1245,"(",""),")","")," ",""),CHAR(29),"")</f>
        <v/>
      </c>
    </row>
    <row r="1246">
      <c r="A1246" s="7" t="n"/>
      <c r="B1246" s="8">
        <f>IFERROR(MID(H1246,FIND("01",H1246)+2,14),"")</f>
        <v/>
      </c>
      <c r="C1246" s="7">
        <f>IF(A1246="","",IFERROR(VLOOKUP(B1246,TblArticles,2,FALSE),"GTIN inconnu"))</f>
        <v/>
      </c>
      <c r="D1246" s="8">
        <f>IF(A1246="","",IFERROR(VLOOKUP(B1246,TblArticles,3,FALSE),""))</f>
        <v/>
      </c>
      <c r="E1246" s="9">
        <f>IFERROR(DATE(2000+VALUE(MID(H1246,FIND("15",H1246,FIND("01",H1246)+16)+2,2)),VALUE(MID(H1246,FIND("15",H1246,FIND("01",H1246)+16)+4,2)),VALUE(MID(H1246,FIND("15",H1246,FIND("01",H1246)+16)+6,2))),"")</f>
        <v/>
      </c>
      <c r="F1246" s="8">
        <f>IFERROR(MID(H1246,FIND("10",H1246,FIND("15",H1246,FIND("01",H1246)+16)+8)+2,50),"")</f>
        <v/>
      </c>
      <c r="G1246" s="8" t="n"/>
      <c r="H1246" s="8">
        <f>SUBSTITUTE(SUBSTITUTE(SUBSTITUTE(SUBSTITUTE(A1246,"(",""),")","")," ",""),CHAR(29),"")</f>
        <v/>
      </c>
    </row>
    <row r="1247">
      <c r="A1247" s="4" t="n"/>
      <c r="B1247" s="5">
        <f>IFERROR(MID(H1247,FIND("01",H1247)+2,14),"")</f>
        <v/>
      </c>
      <c r="C1247" s="4">
        <f>IF(A1247="","",IFERROR(VLOOKUP(B1247,TblArticles,2,FALSE),"GTIN inconnu"))</f>
        <v/>
      </c>
      <c r="D1247" s="5">
        <f>IF(A1247="","",IFERROR(VLOOKUP(B1247,TblArticles,3,FALSE),""))</f>
        <v/>
      </c>
      <c r="E1247" s="6">
        <f>IFERROR(DATE(2000+VALUE(MID(H1247,FIND("15",H1247,FIND("01",H1247)+16)+2,2)),VALUE(MID(H1247,FIND("15",H1247,FIND("01",H1247)+16)+4,2)),VALUE(MID(H1247,FIND("15",H1247,FIND("01",H1247)+16)+6,2))),"")</f>
        <v/>
      </c>
      <c r="F1247" s="5">
        <f>IFERROR(MID(H1247,FIND("10",H1247,FIND("15",H1247,FIND("01",H1247)+16)+8)+2,50),"")</f>
        <v/>
      </c>
      <c r="G1247" s="5" t="n"/>
      <c r="H1247" s="5">
        <f>SUBSTITUTE(SUBSTITUTE(SUBSTITUTE(SUBSTITUTE(A1247,"(",""),")","")," ",""),CHAR(29),"")</f>
        <v/>
      </c>
    </row>
    <row r="1248">
      <c r="A1248" s="7" t="n"/>
      <c r="B1248" s="8">
        <f>IFERROR(MID(H1248,FIND("01",H1248)+2,14),"")</f>
        <v/>
      </c>
      <c r="C1248" s="7">
        <f>IF(A1248="","",IFERROR(VLOOKUP(B1248,TblArticles,2,FALSE),"GTIN inconnu"))</f>
        <v/>
      </c>
      <c r="D1248" s="8">
        <f>IF(A1248="","",IFERROR(VLOOKUP(B1248,TblArticles,3,FALSE),""))</f>
        <v/>
      </c>
      <c r="E1248" s="9">
        <f>IFERROR(DATE(2000+VALUE(MID(H1248,FIND("15",H1248,FIND("01",H1248)+16)+2,2)),VALUE(MID(H1248,FIND("15",H1248,FIND("01",H1248)+16)+4,2)),VALUE(MID(H1248,FIND("15",H1248,FIND("01",H1248)+16)+6,2))),"")</f>
        <v/>
      </c>
      <c r="F1248" s="8">
        <f>IFERROR(MID(H1248,FIND("10",H1248,FIND("15",H1248,FIND("01",H1248)+16)+8)+2,50),"")</f>
        <v/>
      </c>
      <c r="G1248" s="8" t="n"/>
      <c r="H1248" s="8">
        <f>SUBSTITUTE(SUBSTITUTE(SUBSTITUTE(SUBSTITUTE(A1248,"(",""),")","")," ",""),CHAR(29),"")</f>
        <v/>
      </c>
    </row>
    <row r="1249">
      <c r="A1249" s="4" t="n"/>
      <c r="B1249" s="5">
        <f>IFERROR(MID(H1249,FIND("01",H1249)+2,14),"")</f>
        <v/>
      </c>
      <c r="C1249" s="4">
        <f>IF(A1249="","",IFERROR(VLOOKUP(B1249,TblArticles,2,FALSE),"GTIN inconnu"))</f>
        <v/>
      </c>
      <c r="D1249" s="5">
        <f>IF(A1249="","",IFERROR(VLOOKUP(B1249,TblArticles,3,FALSE),""))</f>
        <v/>
      </c>
      <c r="E1249" s="6">
        <f>IFERROR(DATE(2000+VALUE(MID(H1249,FIND("15",H1249,FIND("01",H1249)+16)+2,2)),VALUE(MID(H1249,FIND("15",H1249,FIND("01",H1249)+16)+4,2)),VALUE(MID(H1249,FIND("15",H1249,FIND("01",H1249)+16)+6,2))),"")</f>
        <v/>
      </c>
      <c r="F1249" s="5">
        <f>IFERROR(MID(H1249,FIND("10",H1249,FIND("15",H1249,FIND("01",H1249)+16)+8)+2,50),"")</f>
        <v/>
      </c>
      <c r="G1249" s="5" t="n"/>
      <c r="H1249" s="5">
        <f>SUBSTITUTE(SUBSTITUTE(SUBSTITUTE(SUBSTITUTE(A1249,"(",""),")","")," ",""),CHAR(29),"")</f>
        <v/>
      </c>
    </row>
    <row r="1250">
      <c r="A1250" s="7" t="n"/>
      <c r="B1250" s="8">
        <f>IFERROR(MID(H1250,FIND("01",H1250)+2,14),"")</f>
        <v/>
      </c>
      <c r="C1250" s="7">
        <f>IF(A1250="","",IFERROR(VLOOKUP(B1250,TblArticles,2,FALSE),"GTIN inconnu"))</f>
        <v/>
      </c>
      <c r="D1250" s="8">
        <f>IF(A1250="","",IFERROR(VLOOKUP(B1250,TblArticles,3,FALSE),""))</f>
        <v/>
      </c>
      <c r="E1250" s="9">
        <f>IFERROR(DATE(2000+VALUE(MID(H1250,FIND("15",H1250,FIND("01",H1250)+16)+2,2)),VALUE(MID(H1250,FIND("15",H1250,FIND("01",H1250)+16)+4,2)),VALUE(MID(H1250,FIND("15",H1250,FIND("01",H1250)+16)+6,2))),"")</f>
        <v/>
      </c>
      <c r="F1250" s="8">
        <f>IFERROR(MID(H1250,FIND("10",H1250,FIND("15",H1250,FIND("01",H1250)+16)+8)+2,50),"")</f>
        <v/>
      </c>
      <c r="G1250" s="8" t="n"/>
      <c r="H1250" s="8">
        <f>SUBSTITUTE(SUBSTITUTE(SUBSTITUTE(SUBSTITUTE(A1250,"(",""),")","")," ",""),CHAR(29),"")</f>
        <v/>
      </c>
    </row>
    <row r="1251">
      <c r="A1251" s="4" t="n"/>
      <c r="B1251" s="5">
        <f>IFERROR(MID(H1251,FIND("01",H1251)+2,14),"")</f>
        <v/>
      </c>
      <c r="C1251" s="4">
        <f>IF(A1251="","",IFERROR(VLOOKUP(B1251,TblArticles,2,FALSE),"GTIN inconnu"))</f>
        <v/>
      </c>
      <c r="D1251" s="5">
        <f>IF(A1251="","",IFERROR(VLOOKUP(B1251,TblArticles,3,FALSE),""))</f>
        <v/>
      </c>
      <c r="E1251" s="6">
        <f>IFERROR(DATE(2000+VALUE(MID(H1251,FIND("15",H1251,FIND("01",H1251)+16)+2,2)),VALUE(MID(H1251,FIND("15",H1251,FIND("01",H1251)+16)+4,2)),VALUE(MID(H1251,FIND("15",H1251,FIND("01",H1251)+16)+6,2))),"")</f>
        <v/>
      </c>
      <c r="F1251" s="5">
        <f>IFERROR(MID(H1251,FIND("10",H1251,FIND("15",H1251,FIND("01",H1251)+16)+8)+2,50),"")</f>
        <v/>
      </c>
      <c r="G1251" s="5" t="n"/>
      <c r="H1251" s="5">
        <f>SUBSTITUTE(SUBSTITUTE(SUBSTITUTE(SUBSTITUTE(A1251,"(",""),")","")," ",""),CHAR(29),"")</f>
        <v/>
      </c>
    </row>
    <row r="1252">
      <c r="A1252" s="7" t="n"/>
      <c r="B1252" s="8">
        <f>IFERROR(MID(H1252,FIND("01",H1252)+2,14),"")</f>
        <v/>
      </c>
      <c r="C1252" s="7">
        <f>IF(A1252="","",IFERROR(VLOOKUP(B1252,TblArticles,2,FALSE),"GTIN inconnu"))</f>
        <v/>
      </c>
      <c r="D1252" s="8">
        <f>IF(A1252="","",IFERROR(VLOOKUP(B1252,TblArticles,3,FALSE),""))</f>
        <v/>
      </c>
      <c r="E1252" s="9">
        <f>IFERROR(DATE(2000+VALUE(MID(H1252,FIND("15",H1252,FIND("01",H1252)+16)+2,2)),VALUE(MID(H1252,FIND("15",H1252,FIND("01",H1252)+16)+4,2)),VALUE(MID(H1252,FIND("15",H1252,FIND("01",H1252)+16)+6,2))),"")</f>
        <v/>
      </c>
      <c r="F1252" s="8">
        <f>IFERROR(MID(H1252,FIND("10",H1252,FIND("15",H1252,FIND("01",H1252)+16)+8)+2,50),"")</f>
        <v/>
      </c>
      <c r="G1252" s="8" t="n"/>
      <c r="H1252" s="8">
        <f>SUBSTITUTE(SUBSTITUTE(SUBSTITUTE(SUBSTITUTE(A1252,"(",""),")","")," ",""),CHAR(29),"")</f>
        <v/>
      </c>
    </row>
    <row r="1253">
      <c r="A1253" s="4" t="n"/>
      <c r="B1253" s="5">
        <f>IFERROR(MID(H1253,FIND("01",H1253)+2,14),"")</f>
        <v/>
      </c>
      <c r="C1253" s="4">
        <f>IF(A1253="","",IFERROR(VLOOKUP(B1253,TblArticles,2,FALSE),"GTIN inconnu"))</f>
        <v/>
      </c>
      <c r="D1253" s="5">
        <f>IF(A1253="","",IFERROR(VLOOKUP(B1253,TblArticles,3,FALSE),""))</f>
        <v/>
      </c>
      <c r="E1253" s="6">
        <f>IFERROR(DATE(2000+VALUE(MID(H1253,FIND("15",H1253,FIND("01",H1253)+16)+2,2)),VALUE(MID(H1253,FIND("15",H1253,FIND("01",H1253)+16)+4,2)),VALUE(MID(H1253,FIND("15",H1253,FIND("01",H1253)+16)+6,2))),"")</f>
        <v/>
      </c>
      <c r="F1253" s="5">
        <f>IFERROR(MID(H1253,FIND("10",H1253,FIND("15",H1253,FIND("01",H1253)+16)+8)+2,50),"")</f>
        <v/>
      </c>
      <c r="G1253" s="5" t="n"/>
      <c r="H1253" s="5">
        <f>SUBSTITUTE(SUBSTITUTE(SUBSTITUTE(SUBSTITUTE(A1253,"(",""),")","")," ",""),CHAR(29),"")</f>
        <v/>
      </c>
    </row>
    <row r="1254">
      <c r="A1254" s="7" t="n"/>
      <c r="B1254" s="8">
        <f>IFERROR(MID(H1254,FIND("01",H1254)+2,14),"")</f>
        <v/>
      </c>
      <c r="C1254" s="7">
        <f>IF(A1254="","",IFERROR(VLOOKUP(B1254,TblArticles,2,FALSE),"GTIN inconnu"))</f>
        <v/>
      </c>
      <c r="D1254" s="8">
        <f>IF(A1254="","",IFERROR(VLOOKUP(B1254,TblArticles,3,FALSE),""))</f>
        <v/>
      </c>
      <c r="E1254" s="9">
        <f>IFERROR(DATE(2000+VALUE(MID(H1254,FIND("15",H1254,FIND("01",H1254)+16)+2,2)),VALUE(MID(H1254,FIND("15",H1254,FIND("01",H1254)+16)+4,2)),VALUE(MID(H1254,FIND("15",H1254,FIND("01",H1254)+16)+6,2))),"")</f>
        <v/>
      </c>
      <c r="F1254" s="8">
        <f>IFERROR(MID(H1254,FIND("10",H1254,FIND("15",H1254,FIND("01",H1254)+16)+8)+2,50),"")</f>
        <v/>
      </c>
      <c r="G1254" s="8" t="n"/>
      <c r="H1254" s="8">
        <f>SUBSTITUTE(SUBSTITUTE(SUBSTITUTE(SUBSTITUTE(A1254,"(",""),")","")," ",""),CHAR(29),"")</f>
        <v/>
      </c>
    </row>
    <row r="1255">
      <c r="A1255" s="4" t="n"/>
      <c r="B1255" s="5">
        <f>IFERROR(MID(H1255,FIND("01",H1255)+2,14),"")</f>
        <v/>
      </c>
      <c r="C1255" s="4">
        <f>IF(A1255="","",IFERROR(VLOOKUP(B1255,TblArticles,2,FALSE),"GTIN inconnu"))</f>
        <v/>
      </c>
      <c r="D1255" s="5">
        <f>IF(A1255="","",IFERROR(VLOOKUP(B1255,TblArticles,3,FALSE),""))</f>
        <v/>
      </c>
      <c r="E1255" s="6">
        <f>IFERROR(DATE(2000+VALUE(MID(H1255,FIND("15",H1255,FIND("01",H1255)+16)+2,2)),VALUE(MID(H1255,FIND("15",H1255,FIND("01",H1255)+16)+4,2)),VALUE(MID(H1255,FIND("15",H1255,FIND("01",H1255)+16)+6,2))),"")</f>
        <v/>
      </c>
      <c r="F1255" s="5">
        <f>IFERROR(MID(H1255,FIND("10",H1255,FIND("15",H1255,FIND("01",H1255)+16)+8)+2,50),"")</f>
        <v/>
      </c>
      <c r="G1255" s="5" t="n"/>
      <c r="H1255" s="5">
        <f>SUBSTITUTE(SUBSTITUTE(SUBSTITUTE(SUBSTITUTE(A1255,"(",""),")","")," ",""),CHAR(29),"")</f>
        <v/>
      </c>
    </row>
    <row r="1256">
      <c r="A1256" s="7" t="n"/>
      <c r="B1256" s="8">
        <f>IFERROR(MID(H1256,FIND("01",H1256)+2,14),"")</f>
        <v/>
      </c>
      <c r="C1256" s="7">
        <f>IF(A1256="","",IFERROR(VLOOKUP(B1256,TblArticles,2,FALSE),"GTIN inconnu"))</f>
        <v/>
      </c>
      <c r="D1256" s="8">
        <f>IF(A1256="","",IFERROR(VLOOKUP(B1256,TblArticles,3,FALSE),""))</f>
        <v/>
      </c>
      <c r="E1256" s="9">
        <f>IFERROR(DATE(2000+VALUE(MID(H1256,FIND("15",H1256,FIND("01",H1256)+16)+2,2)),VALUE(MID(H1256,FIND("15",H1256,FIND("01",H1256)+16)+4,2)),VALUE(MID(H1256,FIND("15",H1256,FIND("01",H1256)+16)+6,2))),"")</f>
        <v/>
      </c>
      <c r="F1256" s="8">
        <f>IFERROR(MID(H1256,FIND("10",H1256,FIND("15",H1256,FIND("01",H1256)+16)+8)+2,50),"")</f>
        <v/>
      </c>
      <c r="G1256" s="8" t="n"/>
      <c r="H1256" s="8">
        <f>SUBSTITUTE(SUBSTITUTE(SUBSTITUTE(SUBSTITUTE(A1256,"(",""),")","")," ",""),CHAR(29),"")</f>
        <v/>
      </c>
    </row>
    <row r="1257">
      <c r="A1257" s="4" t="n"/>
      <c r="B1257" s="5">
        <f>IFERROR(MID(H1257,FIND("01",H1257)+2,14),"")</f>
        <v/>
      </c>
      <c r="C1257" s="4">
        <f>IF(A1257="","",IFERROR(VLOOKUP(B1257,TblArticles,2,FALSE),"GTIN inconnu"))</f>
        <v/>
      </c>
      <c r="D1257" s="5">
        <f>IF(A1257="","",IFERROR(VLOOKUP(B1257,TblArticles,3,FALSE),""))</f>
        <v/>
      </c>
      <c r="E1257" s="6">
        <f>IFERROR(DATE(2000+VALUE(MID(H1257,FIND("15",H1257,FIND("01",H1257)+16)+2,2)),VALUE(MID(H1257,FIND("15",H1257,FIND("01",H1257)+16)+4,2)),VALUE(MID(H1257,FIND("15",H1257,FIND("01",H1257)+16)+6,2))),"")</f>
        <v/>
      </c>
      <c r="F1257" s="5">
        <f>IFERROR(MID(H1257,FIND("10",H1257,FIND("15",H1257,FIND("01",H1257)+16)+8)+2,50),"")</f>
        <v/>
      </c>
      <c r="G1257" s="5" t="n"/>
      <c r="H1257" s="5">
        <f>SUBSTITUTE(SUBSTITUTE(SUBSTITUTE(SUBSTITUTE(A1257,"(",""),")","")," ",""),CHAR(29),"")</f>
        <v/>
      </c>
    </row>
    <row r="1258">
      <c r="A1258" s="7" t="n"/>
      <c r="B1258" s="8">
        <f>IFERROR(MID(H1258,FIND("01",H1258)+2,14),"")</f>
        <v/>
      </c>
      <c r="C1258" s="7">
        <f>IF(A1258="","",IFERROR(VLOOKUP(B1258,TblArticles,2,FALSE),"GTIN inconnu"))</f>
        <v/>
      </c>
      <c r="D1258" s="8">
        <f>IF(A1258="","",IFERROR(VLOOKUP(B1258,TblArticles,3,FALSE),""))</f>
        <v/>
      </c>
      <c r="E1258" s="9">
        <f>IFERROR(DATE(2000+VALUE(MID(H1258,FIND("15",H1258,FIND("01",H1258)+16)+2,2)),VALUE(MID(H1258,FIND("15",H1258,FIND("01",H1258)+16)+4,2)),VALUE(MID(H1258,FIND("15",H1258,FIND("01",H1258)+16)+6,2))),"")</f>
        <v/>
      </c>
      <c r="F1258" s="8">
        <f>IFERROR(MID(H1258,FIND("10",H1258,FIND("15",H1258,FIND("01",H1258)+16)+8)+2,50),"")</f>
        <v/>
      </c>
      <c r="G1258" s="8" t="n"/>
      <c r="H1258" s="8">
        <f>SUBSTITUTE(SUBSTITUTE(SUBSTITUTE(SUBSTITUTE(A1258,"(",""),")","")," ",""),CHAR(29),"")</f>
        <v/>
      </c>
    </row>
    <row r="1259">
      <c r="A1259" s="4" t="n"/>
      <c r="B1259" s="5">
        <f>IFERROR(MID(H1259,FIND("01",H1259)+2,14),"")</f>
        <v/>
      </c>
      <c r="C1259" s="4">
        <f>IF(A1259="","",IFERROR(VLOOKUP(B1259,TblArticles,2,FALSE),"GTIN inconnu"))</f>
        <v/>
      </c>
      <c r="D1259" s="5">
        <f>IF(A1259="","",IFERROR(VLOOKUP(B1259,TblArticles,3,FALSE),""))</f>
        <v/>
      </c>
      <c r="E1259" s="6">
        <f>IFERROR(DATE(2000+VALUE(MID(H1259,FIND("15",H1259,FIND("01",H1259)+16)+2,2)),VALUE(MID(H1259,FIND("15",H1259,FIND("01",H1259)+16)+4,2)),VALUE(MID(H1259,FIND("15",H1259,FIND("01",H1259)+16)+6,2))),"")</f>
        <v/>
      </c>
      <c r="F1259" s="5">
        <f>IFERROR(MID(H1259,FIND("10",H1259,FIND("15",H1259,FIND("01",H1259)+16)+8)+2,50),"")</f>
        <v/>
      </c>
      <c r="G1259" s="5" t="n"/>
      <c r="H1259" s="5">
        <f>SUBSTITUTE(SUBSTITUTE(SUBSTITUTE(SUBSTITUTE(A1259,"(",""),")","")," ",""),CHAR(29),"")</f>
        <v/>
      </c>
    </row>
    <row r="1260">
      <c r="A1260" s="7" t="n"/>
      <c r="B1260" s="8">
        <f>IFERROR(MID(H1260,FIND("01",H1260)+2,14),"")</f>
        <v/>
      </c>
      <c r="C1260" s="7">
        <f>IF(A1260="","",IFERROR(VLOOKUP(B1260,TblArticles,2,FALSE),"GTIN inconnu"))</f>
        <v/>
      </c>
      <c r="D1260" s="8">
        <f>IF(A1260="","",IFERROR(VLOOKUP(B1260,TblArticles,3,FALSE),""))</f>
        <v/>
      </c>
      <c r="E1260" s="9">
        <f>IFERROR(DATE(2000+VALUE(MID(H1260,FIND("15",H1260,FIND("01",H1260)+16)+2,2)),VALUE(MID(H1260,FIND("15",H1260,FIND("01",H1260)+16)+4,2)),VALUE(MID(H1260,FIND("15",H1260,FIND("01",H1260)+16)+6,2))),"")</f>
        <v/>
      </c>
      <c r="F1260" s="8">
        <f>IFERROR(MID(H1260,FIND("10",H1260,FIND("15",H1260,FIND("01",H1260)+16)+8)+2,50),"")</f>
        <v/>
      </c>
      <c r="G1260" s="8" t="n"/>
      <c r="H1260" s="8">
        <f>SUBSTITUTE(SUBSTITUTE(SUBSTITUTE(SUBSTITUTE(A1260,"(",""),")","")," ",""),CHAR(29),"")</f>
        <v/>
      </c>
    </row>
    <row r="1261">
      <c r="A1261" s="4" t="n"/>
      <c r="B1261" s="5">
        <f>IFERROR(MID(H1261,FIND("01",H1261)+2,14),"")</f>
        <v/>
      </c>
      <c r="C1261" s="4">
        <f>IF(A1261="","",IFERROR(VLOOKUP(B1261,TblArticles,2,FALSE),"GTIN inconnu"))</f>
        <v/>
      </c>
      <c r="D1261" s="5">
        <f>IF(A1261="","",IFERROR(VLOOKUP(B1261,TblArticles,3,FALSE),""))</f>
        <v/>
      </c>
      <c r="E1261" s="6">
        <f>IFERROR(DATE(2000+VALUE(MID(H1261,FIND("15",H1261,FIND("01",H1261)+16)+2,2)),VALUE(MID(H1261,FIND("15",H1261,FIND("01",H1261)+16)+4,2)),VALUE(MID(H1261,FIND("15",H1261,FIND("01",H1261)+16)+6,2))),"")</f>
        <v/>
      </c>
      <c r="F1261" s="5">
        <f>IFERROR(MID(H1261,FIND("10",H1261,FIND("15",H1261,FIND("01",H1261)+16)+8)+2,50),"")</f>
        <v/>
      </c>
      <c r="G1261" s="5" t="n"/>
      <c r="H1261" s="5">
        <f>SUBSTITUTE(SUBSTITUTE(SUBSTITUTE(SUBSTITUTE(A1261,"(",""),")","")," ",""),CHAR(29),"")</f>
        <v/>
      </c>
    </row>
    <row r="1262">
      <c r="A1262" s="7" t="n"/>
      <c r="B1262" s="8">
        <f>IFERROR(MID(H1262,FIND("01",H1262)+2,14),"")</f>
        <v/>
      </c>
      <c r="C1262" s="7">
        <f>IF(A1262="","",IFERROR(VLOOKUP(B1262,TblArticles,2,FALSE),"GTIN inconnu"))</f>
        <v/>
      </c>
      <c r="D1262" s="8">
        <f>IF(A1262="","",IFERROR(VLOOKUP(B1262,TblArticles,3,FALSE),""))</f>
        <v/>
      </c>
      <c r="E1262" s="9">
        <f>IFERROR(DATE(2000+VALUE(MID(H1262,FIND("15",H1262,FIND("01",H1262)+16)+2,2)),VALUE(MID(H1262,FIND("15",H1262,FIND("01",H1262)+16)+4,2)),VALUE(MID(H1262,FIND("15",H1262,FIND("01",H1262)+16)+6,2))),"")</f>
        <v/>
      </c>
      <c r="F1262" s="8">
        <f>IFERROR(MID(H1262,FIND("10",H1262,FIND("15",H1262,FIND("01",H1262)+16)+8)+2,50),"")</f>
        <v/>
      </c>
      <c r="G1262" s="8" t="n"/>
      <c r="H1262" s="8">
        <f>SUBSTITUTE(SUBSTITUTE(SUBSTITUTE(SUBSTITUTE(A1262,"(",""),")","")," ",""),CHAR(29),"")</f>
        <v/>
      </c>
    </row>
    <row r="1263">
      <c r="A1263" s="4" t="n"/>
      <c r="B1263" s="5">
        <f>IFERROR(MID(H1263,FIND("01",H1263)+2,14),"")</f>
        <v/>
      </c>
      <c r="C1263" s="4">
        <f>IF(A1263="","",IFERROR(VLOOKUP(B1263,TblArticles,2,FALSE),"GTIN inconnu"))</f>
        <v/>
      </c>
      <c r="D1263" s="5">
        <f>IF(A1263="","",IFERROR(VLOOKUP(B1263,TblArticles,3,FALSE),""))</f>
        <v/>
      </c>
      <c r="E1263" s="6">
        <f>IFERROR(DATE(2000+VALUE(MID(H1263,FIND("15",H1263,FIND("01",H1263)+16)+2,2)),VALUE(MID(H1263,FIND("15",H1263,FIND("01",H1263)+16)+4,2)),VALUE(MID(H1263,FIND("15",H1263,FIND("01",H1263)+16)+6,2))),"")</f>
        <v/>
      </c>
      <c r="F1263" s="5">
        <f>IFERROR(MID(H1263,FIND("10",H1263,FIND("15",H1263,FIND("01",H1263)+16)+8)+2,50),"")</f>
        <v/>
      </c>
      <c r="G1263" s="5" t="n"/>
      <c r="H1263" s="5">
        <f>SUBSTITUTE(SUBSTITUTE(SUBSTITUTE(SUBSTITUTE(A1263,"(",""),")","")," ",""),CHAR(29),"")</f>
        <v/>
      </c>
    </row>
    <row r="1264">
      <c r="A1264" s="7" t="n"/>
      <c r="B1264" s="8">
        <f>IFERROR(MID(H1264,FIND("01",H1264)+2,14),"")</f>
        <v/>
      </c>
      <c r="C1264" s="7">
        <f>IF(A1264="","",IFERROR(VLOOKUP(B1264,TblArticles,2,FALSE),"GTIN inconnu"))</f>
        <v/>
      </c>
      <c r="D1264" s="8">
        <f>IF(A1264="","",IFERROR(VLOOKUP(B1264,TblArticles,3,FALSE),""))</f>
        <v/>
      </c>
      <c r="E1264" s="9">
        <f>IFERROR(DATE(2000+VALUE(MID(H1264,FIND("15",H1264,FIND("01",H1264)+16)+2,2)),VALUE(MID(H1264,FIND("15",H1264,FIND("01",H1264)+16)+4,2)),VALUE(MID(H1264,FIND("15",H1264,FIND("01",H1264)+16)+6,2))),"")</f>
        <v/>
      </c>
      <c r="F1264" s="8">
        <f>IFERROR(MID(H1264,FIND("10",H1264,FIND("15",H1264,FIND("01",H1264)+16)+8)+2,50),"")</f>
        <v/>
      </c>
      <c r="G1264" s="8" t="n"/>
      <c r="H1264" s="8">
        <f>SUBSTITUTE(SUBSTITUTE(SUBSTITUTE(SUBSTITUTE(A1264,"(",""),")","")," ",""),CHAR(29),"")</f>
        <v/>
      </c>
    </row>
    <row r="1265">
      <c r="A1265" s="4" t="n"/>
      <c r="B1265" s="5">
        <f>IFERROR(MID(H1265,FIND("01",H1265)+2,14),"")</f>
        <v/>
      </c>
      <c r="C1265" s="4">
        <f>IF(A1265="","",IFERROR(VLOOKUP(B1265,TblArticles,2,FALSE),"GTIN inconnu"))</f>
        <v/>
      </c>
      <c r="D1265" s="5">
        <f>IF(A1265="","",IFERROR(VLOOKUP(B1265,TblArticles,3,FALSE),""))</f>
        <v/>
      </c>
      <c r="E1265" s="6">
        <f>IFERROR(DATE(2000+VALUE(MID(H1265,FIND("15",H1265,FIND("01",H1265)+16)+2,2)),VALUE(MID(H1265,FIND("15",H1265,FIND("01",H1265)+16)+4,2)),VALUE(MID(H1265,FIND("15",H1265,FIND("01",H1265)+16)+6,2))),"")</f>
        <v/>
      </c>
      <c r="F1265" s="5">
        <f>IFERROR(MID(H1265,FIND("10",H1265,FIND("15",H1265,FIND("01",H1265)+16)+8)+2,50),"")</f>
        <v/>
      </c>
      <c r="G1265" s="5" t="n"/>
      <c r="H1265" s="5">
        <f>SUBSTITUTE(SUBSTITUTE(SUBSTITUTE(SUBSTITUTE(A1265,"(",""),")","")," ",""),CHAR(29),"")</f>
        <v/>
      </c>
    </row>
    <row r="1266">
      <c r="A1266" s="7" t="n"/>
      <c r="B1266" s="8">
        <f>IFERROR(MID(H1266,FIND("01",H1266)+2,14),"")</f>
        <v/>
      </c>
      <c r="C1266" s="7">
        <f>IF(A1266="","",IFERROR(VLOOKUP(B1266,TblArticles,2,FALSE),"GTIN inconnu"))</f>
        <v/>
      </c>
      <c r="D1266" s="8">
        <f>IF(A1266="","",IFERROR(VLOOKUP(B1266,TblArticles,3,FALSE),""))</f>
        <v/>
      </c>
      <c r="E1266" s="9">
        <f>IFERROR(DATE(2000+VALUE(MID(H1266,FIND("15",H1266,FIND("01",H1266)+16)+2,2)),VALUE(MID(H1266,FIND("15",H1266,FIND("01",H1266)+16)+4,2)),VALUE(MID(H1266,FIND("15",H1266,FIND("01",H1266)+16)+6,2))),"")</f>
        <v/>
      </c>
      <c r="F1266" s="8">
        <f>IFERROR(MID(H1266,FIND("10",H1266,FIND("15",H1266,FIND("01",H1266)+16)+8)+2,50),"")</f>
        <v/>
      </c>
      <c r="G1266" s="8" t="n"/>
      <c r="H1266" s="8">
        <f>SUBSTITUTE(SUBSTITUTE(SUBSTITUTE(SUBSTITUTE(A1266,"(",""),")","")," ",""),CHAR(29),"")</f>
        <v/>
      </c>
    </row>
    <row r="1267">
      <c r="A1267" s="4" t="n"/>
      <c r="B1267" s="5">
        <f>IFERROR(MID(H1267,FIND("01",H1267)+2,14),"")</f>
        <v/>
      </c>
      <c r="C1267" s="4">
        <f>IF(A1267="","",IFERROR(VLOOKUP(B1267,TblArticles,2,FALSE),"GTIN inconnu"))</f>
        <v/>
      </c>
      <c r="D1267" s="5">
        <f>IF(A1267="","",IFERROR(VLOOKUP(B1267,TblArticles,3,FALSE),""))</f>
        <v/>
      </c>
      <c r="E1267" s="6">
        <f>IFERROR(DATE(2000+VALUE(MID(H1267,FIND("15",H1267,FIND("01",H1267)+16)+2,2)),VALUE(MID(H1267,FIND("15",H1267,FIND("01",H1267)+16)+4,2)),VALUE(MID(H1267,FIND("15",H1267,FIND("01",H1267)+16)+6,2))),"")</f>
        <v/>
      </c>
      <c r="F1267" s="5">
        <f>IFERROR(MID(H1267,FIND("10",H1267,FIND("15",H1267,FIND("01",H1267)+16)+8)+2,50),"")</f>
        <v/>
      </c>
      <c r="G1267" s="5" t="n"/>
      <c r="H1267" s="5">
        <f>SUBSTITUTE(SUBSTITUTE(SUBSTITUTE(SUBSTITUTE(A1267,"(",""),")","")," ",""),CHAR(29),"")</f>
        <v/>
      </c>
    </row>
    <row r="1268">
      <c r="A1268" s="7" t="n"/>
      <c r="B1268" s="8">
        <f>IFERROR(MID(H1268,FIND("01",H1268)+2,14),"")</f>
        <v/>
      </c>
      <c r="C1268" s="7">
        <f>IF(A1268="","",IFERROR(VLOOKUP(B1268,TblArticles,2,FALSE),"GTIN inconnu"))</f>
        <v/>
      </c>
      <c r="D1268" s="8">
        <f>IF(A1268="","",IFERROR(VLOOKUP(B1268,TblArticles,3,FALSE),""))</f>
        <v/>
      </c>
      <c r="E1268" s="9">
        <f>IFERROR(DATE(2000+VALUE(MID(H1268,FIND("15",H1268,FIND("01",H1268)+16)+2,2)),VALUE(MID(H1268,FIND("15",H1268,FIND("01",H1268)+16)+4,2)),VALUE(MID(H1268,FIND("15",H1268,FIND("01",H1268)+16)+6,2))),"")</f>
        <v/>
      </c>
      <c r="F1268" s="8">
        <f>IFERROR(MID(H1268,FIND("10",H1268,FIND("15",H1268,FIND("01",H1268)+16)+8)+2,50),"")</f>
        <v/>
      </c>
      <c r="G1268" s="8" t="n"/>
      <c r="H1268" s="8">
        <f>SUBSTITUTE(SUBSTITUTE(SUBSTITUTE(SUBSTITUTE(A1268,"(",""),")","")," ",""),CHAR(29),"")</f>
        <v/>
      </c>
    </row>
    <row r="1269">
      <c r="A1269" s="4" t="n"/>
      <c r="B1269" s="5">
        <f>IFERROR(MID(H1269,FIND("01",H1269)+2,14),"")</f>
        <v/>
      </c>
      <c r="C1269" s="4">
        <f>IF(A1269="","",IFERROR(VLOOKUP(B1269,TblArticles,2,FALSE),"GTIN inconnu"))</f>
        <v/>
      </c>
      <c r="D1269" s="5">
        <f>IF(A1269="","",IFERROR(VLOOKUP(B1269,TblArticles,3,FALSE),""))</f>
        <v/>
      </c>
      <c r="E1269" s="6">
        <f>IFERROR(DATE(2000+VALUE(MID(H1269,FIND("15",H1269,FIND("01",H1269)+16)+2,2)),VALUE(MID(H1269,FIND("15",H1269,FIND("01",H1269)+16)+4,2)),VALUE(MID(H1269,FIND("15",H1269,FIND("01",H1269)+16)+6,2))),"")</f>
        <v/>
      </c>
      <c r="F1269" s="5">
        <f>IFERROR(MID(H1269,FIND("10",H1269,FIND("15",H1269,FIND("01",H1269)+16)+8)+2,50),"")</f>
        <v/>
      </c>
      <c r="G1269" s="5" t="n"/>
      <c r="H1269" s="5">
        <f>SUBSTITUTE(SUBSTITUTE(SUBSTITUTE(SUBSTITUTE(A1269,"(",""),")","")," ",""),CHAR(29),"")</f>
        <v/>
      </c>
    </row>
    <row r="1270">
      <c r="A1270" s="7" t="n"/>
      <c r="B1270" s="8">
        <f>IFERROR(MID(H1270,FIND("01",H1270)+2,14),"")</f>
        <v/>
      </c>
      <c r="C1270" s="7">
        <f>IF(A1270="","",IFERROR(VLOOKUP(B1270,TblArticles,2,FALSE),"GTIN inconnu"))</f>
        <v/>
      </c>
      <c r="D1270" s="8">
        <f>IF(A1270="","",IFERROR(VLOOKUP(B1270,TblArticles,3,FALSE),""))</f>
        <v/>
      </c>
      <c r="E1270" s="9">
        <f>IFERROR(DATE(2000+VALUE(MID(H1270,FIND("15",H1270,FIND("01",H1270)+16)+2,2)),VALUE(MID(H1270,FIND("15",H1270,FIND("01",H1270)+16)+4,2)),VALUE(MID(H1270,FIND("15",H1270,FIND("01",H1270)+16)+6,2))),"")</f>
        <v/>
      </c>
      <c r="F1270" s="8">
        <f>IFERROR(MID(H1270,FIND("10",H1270,FIND("15",H1270,FIND("01",H1270)+16)+8)+2,50),"")</f>
        <v/>
      </c>
      <c r="G1270" s="8" t="n"/>
      <c r="H1270" s="8">
        <f>SUBSTITUTE(SUBSTITUTE(SUBSTITUTE(SUBSTITUTE(A1270,"(",""),")","")," ",""),CHAR(29),"")</f>
        <v/>
      </c>
    </row>
    <row r="1271">
      <c r="A1271" s="4" t="n"/>
      <c r="B1271" s="5">
        <f>IFERROR(MID(H1271,FIND("01",H1271)+2,14),"")</f>
        <v/>
      </c>
      <c r="C1271" s="4">
        <f>IF(A1271="","",IFERROR(VLOOKUP(B1271,TblArticles,2,FALSE),"GTIN inconnu"))</f>
        <v/>
      </c>
      <c r="D1271" s="5">
        <f>IF(A1271="","",IFERROR(VLOOKUP(B1271,TblArticles,3,FALSE),""))</f>
        <v/>
      </c>
      <c r="E1271" s="6">
        <f>IFERROR(DATE(2000+VALUE(MID(H1271,FIND("15",H1271,FIND("01",H1271)+16)+2,2)),VALUE(MID(H1271,FIND("15",H1271,FIND("01",H1271)+16)+4,2)),VALUE(MID(H1271,FIND("15",H1271,FIND("01",H1271)+16)+6,2))),"")</f>
        <v/>
      </c>
      <c r="F1271" s="5">
        <f>IFERROR(MID(H1271,FIND("10",H1271,FIND("15",H1271,FIND("01",H1271)+16)+8)+2,50),"")</f>
        <v/>
      </c>
      <c r="G1271" s="5" t="n"/>
      <c r="H1271" s="5">
        <f>SUBSTITUTE(SUBSTITUTE(SUBSTITUTE(SUBSTITUTE(A1271,"(",""),")","")," ",""),CHAR(29),"")</f>
        <v/>
      </c>
    </row>
    <row r="1272">
      <c r="A1272" s="7" t="n"/>
      <c r="B1272" s="8">
        <f>IFERROR(MID(H1272,FIND("01",H1272)+2,14),"")</f>
        <v/>
      </c>
      <c r="C1272" s="7">
        <f>IF(A1272="","",IFERROR(VLOOKUP(B1272,TblArticles,2,FALSE),"GTIN inconnu"))</f>
        <v/>
      </c>
      <c r="D1272" s="8">
        <f>IF(A1272="","",IFERROR(VLOOKUP(B1272,TblArticles,3,FALSE),""))</f>
        <v/>
      </c>
      <c r="E1272" s="9">
        <f>IFERROR(DATE(2000+VALUE(MID(H1272,FIND("15",H1272,FIND("01",H1272)+16)+2,2)),VALUE(MID(H1272,FIND("15",H1272,FIND("01",H1272)+16)+4,2)),VALUE(MID(H1272,FIND("15",H1272,FIND("01",H1272)+16)+6,2))),"")</f>
        <v/>
      </c>
      <c r="F1272" s="8">
        <f>IFERROR(MID(H1272,FIND("10",H1272,FIND("15",H1272,FIND("01",H1272)+16)+8)+2,50),"")</f>
        <v/>
      </c>
      <c r="G1272" s="8" t="n"/>
      <c r="H1272" s="8">
        <f>SUBSTITUTE(SUBSTITUTE(SUBSTITUTE(SUBSTITUTE(A1272,"(",""),")","")," ",""),CHAR(29),"")</f>
        <v/>
      </c>
    </row>
    <row r="1273">
      <c r="A1273" s="4" t="n"/>
      <c r="B1273" s="5">
        <f>IFERROR(MID(H1273,FIND("01",H1273)+2,14),"")</f>
        <v/>
      </c>
      <c r="C1273" s="4">
        <f>IF(A1273="","",IFERROR(VLOOKUP(B1273,TblArticles,2,FALSE),"GTIN inconnu"))</f>
        <v/>
      </c>
      <c r="D1273" s="5">
        <f>IF(A1273="","",IFERROR(VLOOKUP(B1273,TblArticles,3,FALSE),""))</f>
        <v/>
      </c>
      <c r="E1273" s="6">
        <f>IFERROR(DATE(2000+VALUE(MID(H1273,FIND("15",H1273,FIND("01",H1273)+16)+2,2)),VALUE(MID(H1273,FIND("15",H1273,FIND("01",H1273)+16)+4,2)),VALUE(MID(H1273,FIND("15",H1273,FIND("01",H1273)+16)+6,2))),"")</f>
        <v/>
      </c>
      <c r="F1273" s="5">
        <f>IFERROR(MID(H1273,FIND("10",H1273,FIND("15",H1273,FIND("01",H1273)+16)+8)+2,50),"")</f>
        <v/>
      </c>
      <c r="G1273" s="5" t="n"/>
      <c r="H1273" s="5">
        <f>SUBSTITUTE(SUBSTITUTE(SUBSTITUTE(SUBSTITUTE(A1273,"(",""),")","")," ",""),CHAR(29),"")</f>
        <v/>
      </c>
    </row>
    <row r="1274">
      <c r="A1274" s="7" t="n"/>
      <c r="B1274" s="8">
        <f>IFERROR(MID(H1274,FIND("01",H1274)+2,14),"")</f>
        <v/>
      </c>
      <c r="C1274" s="7">
        <f>IF(A1274="","",IFERROR(VLOOKUP(B1274,TblArticles,2,FALSE),"GTIN inconnu"))</f>
        <v/>
      </c>
      <c r="D1274" s="8">
        <f>IF(A1274="","",IFERROR(VLOOKUP(B1274,TblArticles,3,FALSE),""))</f>
        <v/>
      </c>
      <c r="E1274" s="9">
        <f>IFERROR(DATE(2000+VALUE(MID(H1274,FIND("15",H1274,FIND("01",H1274)+16)+2,2)),VALUE(MID(H1274,FIND("15",H1274,FIND("01",H1274)+16)+4,2)),VALUE(MID(H1274,FIND("15",H1274,FIND("01",H1274)+16)+6,2))),"")</f>
        <v/>
      </c>
      <c r="F1274" s="8">
        <f>IFERROR(MID(H1274,FIND("10",H1274,FIND("15",H1274,FIND("01",H1274)+16)+8)+2,50),"")</f>
        <v/>
      </c>
      <c r="G1274" s="8" t="n"/>
      <c r="H1274" s="8">
        <f>SUBSTITUTE(SUBSTITUTE(SUBSTITUTE(SUBSTITUTE(A1274,"(",""),")","")," ",""),CHAR(29),"")</f>
        <v/>
      </c>
    </row>
    <row r="1275">
      <c r="A1275" s="4" t="n"/>
      <c r="B1275" s="5">
        <f>IFERROR(MID(H1275,FIND("01",H1275)+2,14),"")</f>
        <v/>
      </c>
      <c r="C1275" s="4">
        <f>IF(A1275="","",IFERROR(VLOOKUP(B1275,TblArticles,2,FALSE),"GTIN inconnu"))</f>
        <v/>
      </c>
      <c r="D1275" s="5">
        <f>IF(A1275="","",IFERROR(VLOOKUP(B1275,TblArticles,3,FALSE),""))</f>
        <v/>
      </c>
      <c r="E1275" s="6">
        <f>IFERROR(DATE(2000+VALUE(MID(H1275,FIND("15",H1275,FIND("01",H1275)+16)+2,2)),VALUE(MID(H1275,FIND("15",H1275,FIND("01",H1275)+16)+4,2)),VALUE(MID(H1275,FIND("15",H1275,FIND("01",H1275)+16)+6,2))),"")</f>
        <v/>
      </c>
      <c r="F1275" s="5">
        <f>IFERROR(MID(H1275,FIND("10",H1275,FIND("15",H1275,FIND("01",H1275)+16)+8)+2,50),"")</f>
        <v/>
      </c>
      <c r="G1275" s="5" t="n"/>
      <c r="H1275" s="5">
        <f>SUBSTITUTE(SUBSTITUTE(SUBSTITUTE(SUBSTITUTE(A1275,"(",""),")","")," ",""),CHAR(29),"")</f>
        <v/>
      </c>
    </row>
    <row r="1276">
      <c r="A1276" s="7" t="n"/>
      <c r="B1276" s="8">
        <f>IFERROR(MID(H1276,FIND("01",H1276)+2,14),"")</f>
        <v/>
      </c>
      <c r="C1276" s="7">
        <f>IF(A1276="","",IFERROR(VLOOKUP(B1276,TblArticles,2,FALSE),"GTIN inconnu"))</f>
        <v/>
      </c>
      <c r="D1276" s="8">
        <f>IF(A1276="","",IFERROR(VLOOKUP(B1276,TblArticles,3,FALSE),""))</f>
        <v/>
      </c>
      <c r="E1276" s="9">
        <f>IFERROR(DATE(2000+VALUE(MID(H1276,FIND("15",H1276,FIND("01",H1276)+16)+2,2)),VALUE(MID(H1276,FIND("15",H1276,FIND("01",H1276)+16)+4,2)),VALUE(MID(H1276,FIND("15",H1276,FIND("01",H1276)+16)+6,2))),"")</f>
        <v/>
      </c>
      <c r="F1276" s="8">
        <f>IFERROR(MID(H1276,FIND("10",H1276,FIND("15",H1276,FIND("01",H1276)+16)+8)+2,50),"")</f>
        <v/>
      </c>
      <c r="G1276" s="8" t="n"/>
      <c r="H1276" s="8">
        <f>SUBSTITUTE(SUBSTITUTE(SUBSTITUTE(SUBSTITUTE(A1276,"(",""),")","")," ",""),CHAR(29),"")</f>
        <v/>
      </c>
    </row>
    <row r="1277">
      <c r="A1277" s="4" t="n"/>
      <c r="B1277" s="5">
        <f>IFERROR(MID(H1277,FIND("01",H1277)+2,14),"")</f>
        <v/>
      </c>
      <c r="C1277" s="4">
        <f>IF(A1277="","",IFERROR(VLOOKUP(B1277,TblArticles,2,FALSE),"GTIN inconnu"))</f>
        <v/>
      </c>
      <c r="D1277" s="5">
        <f>IF(A1277="","",IFERROR(VLOOKUP(B1277,TblArticles,3,FALSE),""))</f>
        <v/>
      </c>
      <c r="E1277" s="6">
        <f>IFERROR(DATE(2000+VALUE(MID(H1277,FIND("15",H1277,FIND("01",H1277)+16)+2,2)),VALUE(MID(H1277,FIND("15",H1277,FIND("01",H1277)+16)+4,2)),VALUE(MID(H1277,FIND("15",H1277,FIND("01",H1277)+16)+6,2))),"")</f>
        <v/>
      </c>
      <c r="F1277" s="5">
        <f>IFERROR(MID(H1277,FIND("10",H1277,FIND("15",H1277,FIND("01",H1277)+16)+8)+2,50),"")</f>
        <v/>
      </c>
      <c r="G1277" s="5" t="n"/>
      <c r="H1277" s="5">
        <f>SUBSTITUTE(SUBSTITUTE(SUBSTITUTE(SUBSTITUTE(A1277,"(",""),")","")," ",""),CHAR(29),"")</f>
        <v/>
      </c>
    </row>
    <row r="1278">
      <c r="A1278" s="7" t="n"/>
      <c r="B1278" s="8">
        <f>IFERROR(MID(H1278,FIND("01",H1278)+2,14),"")</f>
        <v/>
      </c>
      <c r="C1278" s="7">
        <f>IF(A1278="","",IFERROR(VLOOKUP(B1278,TblArticles,2,FALSE),"GTIN inconnu"))</f>
        <v/>
      </c>
      <c r="D1278" s="8">
        <f>IF(A1278="","",IFERROR(VLOOKUP(B1278,TblArticles,3,FALSE),""))</f>
        <v/>
      </c>
      <c r="E1278" s="9">
        <f>IFERROR(DATE(2000+VALUE(MID(H1278,FIND("15",H1278,FIND("01",H1278)+16)+2,2)),VALUE(MID(H1278,FIND("15",H1278,FIND("01",H1278)+16)+4,2)),VALUE(MID(H1278,FIND("15",H1278,FIND("01",H1278)+16)+6,2))),"")</f>
        <v/>
      </c>
      <c r="F1278" s="8">
        <f>IFERROR(MID(H1278,FIND("10",H1278,FIND("15",H1278,FIND("01",H1278)+16)+8)+2,50),"")</f>
        <v/>
      </c>
      <c r="G1278" s="8" t="n"/>
      <c r="H1278" s="8">
        <f>SUBSTITUTE(SUBSTITUTE(SUBSTITUTE(SUBSTITUTE(A1278,"(",""),")","")," ",""),CHAR(29),"")</f>
        <v/>
      </c>
    </row>
    <row r="1279">
      <c r="A1279" s="4" t="n"/>
      <c r="B1279" s="5">
        <f>IFERROR(MID(H1279,FIND("01",H1279)+2,14),"")</f>
        <v/>
      </c>
      <c r="C1279" s="4">
        <f>IF(A1279="","",IFERROR(VLOOKUP(B1279,TblArticles,2,FALSE),"GTIN inconnu"))</f>
        <v/>
      </c>
      <c r="D1279" s="5">
        <f>IF(A1279="","",IFERROR(VLOOKUP(B1279,TblArticles,3,FALSE),""))</f>
        <v/>
      </c>
      <c r="E1279" s="6">
        <f>IFERROR(DATE(2000+VALUE(MID(H1279,FIND("15",H1279,FIND("01",H1279)+16)+2,2)),VALUE(MID(H1279,FIND("15",H1279,FIND("01",H1279)+16)+4,2)),VALUE(MID(H1279,FIND("15",H1279,FIND("01",H1279)+16)+6,2))),"")</f>
        <v/>
      </c>
      <c r="F1279" s="5">
        <f>IFERROR(MID(H1279,FIND("10",H1279,FIND("15",H1279,FIND("01",H1279)+16)+8)+2,50),"")</f>
        <v/>
      </c>
      <c r="G1279" s="5" t="n"/>
      <c r="H1279" s="5">
        <f>SUBSTITUTE(SUBSTITUTE(SUBSTITUTE(SUBSTITUTE(A1279,"(",""),")","")," ",""),CHAR(29),"")</f>
        <v/>
      </c>
    </row>
    <row r="1280">
      <c r="A1280" s="7" t="n"/>
      <c r="B1280" s="8">
        <f>IFERROR(MID(H1280,FIND("01",H1280)+2,14),"")</f>
        <v/>
      </c>
      <c r="C1280" s="7">
        <f>IF(A1280="","",IFERROR(VLOOKUP(B1280,TblArticles,2,FALSE),"GTIN inconnu"))</f>
        <v/>
      </c>
      <c r="D1280" s="8">
        <f>IF(A1280="","",IFERROR(VLOOKUP(B1280,TblArticles,3,FALSE),""))</f>
        <v/>
      </c>
      <c r="E1280" s="9">
        <f>IFERROR(DATE(2000+VALUE(MID(H1280,FIND("15",H1280,FIND("01",H1280)+16)+2,2)),VALUE(MID(H1280,FIND("15",H1280,FIND("01",H1280)+16)+4,2)),VALUE(MID(H1280,FIND("15",H1280,FIND("01",H1280)+16)+6,2))),"")</f>
        <v/>
      </c>
      <c r="F1280" s="8">
        <f>IFERROR(MID(H1280,FIND("10",H1280,FIND("15",H1280,FIND("01",H1280)+16)+8)+2,50),"")</f>
        <v/>
      </c>
      <c r="G1280" s="8" t="n"/>
      <c r="H1280" s="8">
        <f>SUBSTITUTE(SUBSTITUTE(SUBSTITUTE(SUBSTITUTE(A1280,"(",""),")","")," ",""),CHAR(29),"")</f>
        <v/>
      </c>
    </row>
    <row r="1281">
      <c r="A1281" s="4" t="n"/>
      <c r="B1281" s="5">
        <f>IFERROR(MID(H1281,FIND("01",H1281)+2,14),"")</f>
        <v/>
      </c>
      <c r="C1281" s="4">
        <f>IF(A1281="","",IFERROR(VLOOKUP(B1281,TblArticles,2,FALSE),"GTIN inconnu"))</f>
        <v/>
      </c>
      <c r="D1281" s="5">
        <f>IF(A1281="","",IFERROR(VLOOKUP(B1281,TblArticles,3,FALSE),""))</f>
        <v/>
      </c>
      <c r="E1281" s="6">
        <f>IFERROR(DATE(2000+VALUE(MID(H1281,FIND("15",H1281,FIND("01",H1281)+16)+2,2)),VALUE(MID(H1281,FIND("15",H1281,FIND("01",H1281)+16)+4,2)),VALUE(MID(H1281,FIND("15",H1281,FIND("01",H1281)+16)+6,2))),"")</f>
        <v/>
      </c>
      <c r="F1281" s="5">
        <f>IFERROR(MID(H1281,FIND("10",H1281,FIND("15",H1281,FIND("01",H1281)+16)+8)+2,50),"")</f>
        <v/>
      </c>
      <c r="G1281" s="5" t="n"/>
      <c r="H1281" s="5">
        <f>SUBSTITUTE(SUBSTITUTE(SUBSTITUTE(SUBSTITUTE(A1281,"(",""),")","")," ",""),CHAR(29),"")</f>
        <v/>
      </c>
    </row>
    <row r="1282">
      <c r="A1282" s="7" t="n"/>
      <c r="B1282" s="8">
        <f>IFERROR(MID(H1282,FIND("01",H1282)+2,14),"")</f>
        <v/>
      </c>
      <c r="C1282" s="7">
        <f>IF(A1282="","",IFERROR(VLOOKUP(B1282,TblArticles,2,FALSE),"GTIN inconnu"))</f>
        <v/>
      </c>
      <c r="D1282" s="8">
        <f>IF(A1282="","",IFERROR(VLOOKUP(B1282,TblArticles,3,FALSE),""))</f>
        <v/>
      </c>
      <c r="E1282" s="9">
        <f>IFERROR(DATE(2000+VALUE(MID(H1282,FIND("15",H1282,FIND("01",H1282)+16)+2,2)),VALUE(MID(H1282,FIND("15",H1282,FIND("01",H1282)+16)+4,2)),VALUE(MID(H1282,FIND("15",H1282,FIND("01",H1282)+16)+6,2))),"")</f>
        <v/>
      </c>
      <c r="F1282" s="8">
        <f>IFERROR(MID(H1282,FIND("10",H1282,FIND("15",H1282,FIND("01",H1282)+16)+8)+2,50),"")</f>
        <v/>
      </c>
      <c r="G1282" s="8" t="n"/>
      <c r="H1282" s="8">
        <f>SUBSTITUTE(SUBSTITUTE(SUBSTITUTE(SUBSTITUTE(A1282,"(",""),")","")," ",""),CHAR(29),"")</f>
        <v/>
      </c>
    </row>
    <row r="1283">
      <c r="A1283" s="4" t="n"/>
      <c r="B1283" s="5">
        <f>IFERROR(MID(H1283,FIND("01",H1283)+2,14),"")</f>
        <v/>
      </c>
      <c r="C1283" s="4">
        <f>IF(A1283="","",IFERROR(VLOOKUP(B1283,TblArticles,2,FALSE),"GTIN inconnu"))</f>
        <v/>
      </c>
      <c r="D1283" s="5">
        <f>IF(A1283="","",IFERROR(VLOOKUP(B1283,TblArticles,3,FALSE),""))</f>
        <v/>
      </c>
      <c r="E1283" s="6">
        <f>IFERROR(DATE(2000+VALUE(MID(H1283,FIND("15",H1283,FIND("01",H1283)+16)+2,2)),VALUE(MID(H1283,FIND("15",H1283,FIND("01",H1283)+16)+4,2)),VALUE(MID(H1283,FIND("15",H1283,FIND("01",H1283)+16)+6,2))),"")</f>
        <v/>
      </c>
      <c r="F1283" s="5">
        <f>IFERROR(MID(H1283,FIND("10",H1283,FIND("15",H1283,FIND("01",H1283)+16)+8)+2,50),"")</f>
        <v/>
      </c>
      <c r="G1283" s="5" t="n"/>
      <c r="H1283" s="5">
        <f>SUBSTITUTE(SUBSTITUTE(SUBSTITUTE(SUBSTITUTE(A1283,"(",""),")","")," ",""),CHAR(29),"")</f>
        <v/>
      </c>
    </row>
    <row r="1284">
      <c r="A1284" s="7" t="n"/>
      <c r="B1284" s="8">
        <f>IFERROR(MID(H1284,FIND("01",H1284)+2,14),"")</f>
        <v/>
      </c>
      <c r="C1284" s="7">
        <f>IF(A1284="","",IFERROR(VLOOKUP(B1284,TblArticles,2,FALSE),"GTIN inconnu"))</f>
        <v/>
      </c>
      <c r="D1284" s="8">
        <f>IF(A1284="","",IFERROR(VLOOKUP(B1284,TblArticles,3,FALSE),""))</f>
        <v/>
      </c>
      <c r="E1284" s="9">
        <f>IFERROR(DATE(2000+VALUE(MID(H1284,FIND("15",H1284,FIND("01",H1284)+16)+2,2)),VALUE(MID(H1284,FIND("15",H1284,FIND("01",H1284)+16)+4,2)),VALUE(MID(H1284,FIND("15",H1284,FIND("01",H1284)+16)+6,2))),"")</f>
        <v/>
      </c>
      <c r="F1284" s="8">
        <f>IFERROR(MID(H1284,FIND("10",H1284,FIND("15",H1284,FIND("01",H1284)+16)+8)+2,50),"")</f>
        <v/>
      </c>
      <c r="G1284" s="8" t="n"/>
      <c r="H1284" s="8">
        <f>SUBSTITUTE(SUBSTITUTE(SUBSTITUTE(SUBSTITUTE(A1284,"(",""),")","")," ",""),CHAR(29),"")</f>
        <v/>
      </c>
    </row>
    <row r="1285">
      <c r="A1285" s="4" t="n"/>
      <c r="B1285" s="5">
        <f>IFERROR(MID(H1285,FIND("01",H1285)+2,14),"")</f>
        <v/>
      </c>
      <c r="C1285" s="4">
        <f>IF(A1285="","",IFERROR(VLOOKUP(B1285,TblArticles,2,FALSE),"GTIN inconnu"))</f>
        <v/>
      </c>
      <c r="D1285" s="5">
        <f>IF(A1285="","",IFERROR(VLOOKUP(B1285,TblArticles,3,FALSE),""))</f>
        <v/>
      </c>
      <c r="E1285" s="6">
        <f>IFERROR(DATE(2000+VALUE(MID(H1285,FIND("15",H1285,FIND("01",H1285)+16)+2,2)),VALUE(MID(H1285,FIND("15",H1285,FIND("01",H1285)+16)+4,2)),VALUE(MID(H1285,FIND("15",H1285,FIND("01",H1285)+16)+6,2))),"")</f>
        <v/>
      </c>
      <c r="F1285" s="5">
        <f>IFERROR(MID(H1285,FIND("10",H1285,FIND("15",H1285,FIND("01",H1285)+16)+8)+2,50),"")</f>
        <v/>
      </c>
      <c r="G1285" s="5" t="n"/>
      <c r="H1285" s="5">
        <f>SUBSTITUTE(SUBSTITUTE(SUBSTITUTE(SUBSTITUTE(A1285,"(",""),")","")," ",""),CHAR(29),"")</f>
        <v/>
      </c>
    </row>
    <row r="1286">
      <c r="A1286" s="7" t="n"/>
      <c r="B1286" s="8">
        <f>IFERROR(MID(H1286,FIND("01",H1286)+2,14),"")</f>
        <v/>
      </c>
      <c r="C1286" s="7">
        <f>IF(A1286="","",IFERROR(VLOOKUP(B1286,TblArticles,2,FALSE),"GTIN inconnu"))</f>
        <v/>
      </c>
      <c r="D1286" s="8">
        <f>IF(A1286="","",IFERROR(VLOOKUP(B1286,TblArticles,3,FALSE),""))</f>
        <v/>
      </c>
      <c r="E1286" s="9">
        <f>IFERROR(DATE(2000+VALUE(MID(H1286,FIND("15",H1286,FIND("01",H1286)+16)+2,2)),VALUE(MID(H1286,FIND("15",H1286,FIND("01",H1286)+16)+4,2)),VALUE(MID(H1286,FIND("15",H1286,FIND("01",H1286)+16)+6,2))),"")</f>
        <v/>
      </c>
      <c r="F1286" s="8">
        <f>IFERROR(MID(H1286,FIND("10",H1286,FIND("15",H1286,FIND("01",H1286)+16)+8)+2,50),"")</f>
        <v/>
      </c>
      <c r="G1286" s="8" t="n"/>
      <c r="H1286" s="8">
        <f>SUBSTITUTE(SUBSTITUTE(SUBSTITUTE(SUBSTITUTE(A1286,"(",""),")","")," ",""),CHAR(29),"")</f>
        <v/>
      </c>
    </row>
    <row r="1287">
      <c r="A1287" s="4" t="n"/>
      <c r="B1287" s="5">
        <f>IFERROR(MID(H1287,FIND("01",H1287)+2,14),"")</f>
        <v/>
      </c>
      <c r="C1287" s="4">
        <f>IF(A1287="","",IFERROR(VLOOKUP(B1287,TblArticles,2,FALSE),"GTIN inconnu"))</f>
        <v/>
      </c>
      <c r="D1287" s="5">
        <f>IF(A1287="","",IFERROR(VLOOKUP(B1287,TblArticles,3,FALSE),""))</f>
        <v/>
      </c>
      <c r="E1287" s="6">
        <f>IFERROR(DATE(2000+VALUE(MID(H1287,FIND("15",H1287,FIND("01",H1287)+16)+2,2)),VALUE(MID(H1287,FIND("15",H1287,FIND("01",H1287)+16)+4,2)),VALUE(MID(H1287,FIND("15",H1287,FIND("01",H1287)+16)+6,2))),"")</f>
        <v/>
      </c>
      <c r="F1287" s="5">
        <f>IFERROR(MID(H1287,FIND("10",H1287,FIND("15",H1287,FIND("01",H1287)+16)+8)+2,50),"")</f>
        <v/>
      </c>
      <c r="G1287" s="5" t="n"/>
      <c r="H1287" s="5">
        <f>SUBSTITUTE(SUBSTITUTE(SUBSTITUTE(SUBSTITUTE(A1287,"(",""),")","")," ",""),CHAR(29),"")</f>
        <v/>
      </c>
    </row>
    <row r="1288">
      <c r="A1288" s="7" t="n"/>
      <c r="B1288" s="8">
        <f>IFERROR(MID(H1288,FIND("01",H1288)+2,14),"")</f>
        <v/>
      </c>
      <c r="C1288" s="7">
        <f>IF(A1288="","",IFERROR(VLOOKUP(B1288,TblArticles,2,FALSE),"GTIN inconnu"))</f>
        <v/>
      </c>
      <c r="D1288" s="8">
        <f>IF(A1288="","",IFERROR(VLOOKUP(B1288,TblArticles,3,FALSE),""))</f>
        <v/>
      </c>
      <c r="E1288" s="9">
        <f>IFERROR(DATE(2000+VALUE(MID(H1288,FIND("15",H1288,FIND("01",H1288)+16)+2,2)),VALUE(MID(H1288,FIND("15",H1288,FIND("01",H1288)+16)+4,2)),VALUE(MID(H1288,FIND("15",H1288,FIND("01",H1288)+16)+6,2))),"")</f>
        <v/>
      </c>
      <c r="F1288" s="8">
        <f>IFERROR(MID(H1288,FIND("10",H1288,FIND("15",H1288,FIND("01",H1288)+16)+8)+2,50),"")</f>
        <v/>
      </c>
      <c r="G1288" s="8" t="n"/>
      <c r="H1288" s="8">
        <f>SUBSTITUTE(SUBSTITUTE(SUBSTITUTE(SUBSTITUTE(A1288,"(",""),")","")," ",""),CHAR(29),"")</f>
        <v/>
      </c>
    </row>
    <row r="1289">
      <c r="A1289" s="4" t="n"/>
      <c r="B1289" s="5">
        <f>IFERROR(MID(H1289,FIND("01",H1289)+2,14),"")</f>
        <v/>
      </c>
      <c r="C1289" s="4">
        <f>IF(A1289="","",IFERROR(VLOOKUP(B1289,TblArticles,2,FALSE),"GTIN inconnu"))</f>
        <v/>
      </c>
      <c r="D1289" s="5">
        <f>IF(A1289="","",IFERROR(VLOOKUP(B1289,TblArticles,3,FALSE),""))</f>
        <v/>
      </c>
      <c r="E1289" s="6">
        <f>IFERROR(DATE(2000+VALUE(MID(H1289,FIND("15",H1289,FIND("01",H1289)+16)+2,2)),VALUE(MID(H1289,FIND("15",H1289,FIND("01",H1289)+16)+4,2)),VALUE(MID(H1289,FIND("15",H1289,FIND("01",H1289)+16)+6,2))),"")</f>
        <v/>
      </c>
      <c r="F1289" s="5">
        <f>IFERROR(MID(H1289,FIND("10",H1289,FIND("15",H1289,FIND("01",H1289)+16)+8)+2,50),"")</f>
        <v/>
      </c>
      <c r="G1289" s="5" t="n"/>
      <c r="H1289" s="5">
        <f>SUBSTITUTE(SUBSTITUTE(SUBSTITUTE(SUBSTITUTE(A1289,"(",""),")","")," ",""),CHAR(29),"")</f>
        <v/>
      </c>
    </row>
    <row r="1290">
      <c r="A1290" s="7" t="n"/>
      <c r="B1290" s="8">
        <f>IFERROR(MID(H1290,FIND("01",H1290)+2,14),"")</f>
        <v/>
      </c>
      <c r="C1290" s="7">
        <f>IF(A1290="","",IFERROR(VLOOKUP(B1290,TblArticles,2,FALSE),"GTIN inconnu"))</f>
        <v/>
      </c>
      <c r="D1290" s="8">
        <f>IF(A1290="","",IFERROR(VLOOKUP(B1290,TblArticles,3,FALSE),""))</f>
        <v/>
      </c>
      <c r="E1290" s="9">
        <f>IFERROR(DATE(2000+VALUE(MID(H1290,FIND("15",H1290,FIND("01",H1290)+16)+2,2)),VALUE(MID(H1290,FIND("15",H1290,FIND("01",H1290)+16)+4,2)),VALUE(MID(H1290,FIND("15",H1290,FIND("01",H1290)+16)+6,2))),"")</f>
        <v/>
      </c>
      <c r="F1290" s="8">
        <f>IFERROR(MID(H1290,FIND("10",H1290,FIND("15",H1290,FIND("01",H1290)+16)+8)+2,50),"")</f>
        <v/>
      </c>
      <c r="G1290" s="8" t="n"/>
      <c r="H1290" s="8">
        <f>SUBSTITUTE(SUBSTITUTE(SUBSTITUTE(SUBSTITUTE(A1290,"(",""),")","")," ",""),CHAR(29),"")</f>
        <v/>
      </c>
    </row>
    <row r="1291">
      <c r="A1291" s="4" t="n"/>
      <c r="B1291" s="5">
        <f>IFERROR(MID(H1291,FIND("01",H1291)+2,14),"")</f>
        <v/>
      </c>
      <c r="C1291" s="4">
        <f>IF(A1291="","",IFERROR(VLOOKUP(B1291,TblArticles,2,FALSE),"GTIN inconnu"))</f>
        <v/>
      </c>
      <c r="D1291" s="5">
        <f>IF(A1291="","",IFERROR(VLOOKUP(B1291,TblArticles,3,FALSE),""))</f>
        <v/>
      </c>
      <c r="E1291" s="6">
        <f>IFERROR(DATE(2000+VALUE(MID(H1291,FIND("15",H1291,FIND("01",H1291)+16)+2,2)),VALUE(MID(H1291,FIND("15",H1291,FIND("01",H1291)+16)+4,2)),VALUE(MID(H1291,FIND("15",H1291,FIND("01",H1291)+16)+6,2))),"")</f>
        <v/>
      </c>
      <c r="F1291" s="5">
        <f>IFERROR(MID(H1291,FIND("10",H1291,FIND("15",H1291,FIND("01",H1291)+16)+8)+2,50),"")</f>
        <v/>
      </c>
      <c r="G1291" s="5" t="n"/>
      <c r="H1291" s="5">
        <f>SUBSTITUTE(SUBSTITUTE(SUBSTITUTE(SUBSTITUTE(A1291,"(",""),")","")," ",""),CHAR(29),"")</f>
        <v/>
      </c>
    </row>
    <row r="1292">
      <c r="A1292" s="7" t="n"/>
      <c r="B1292" s="8">
        <f>IFERROR(MID(H1292,FIND("01",H1292)+2,14),"")</f>
        <v/>
      </c>
      <c r="C1292" s="7">
        <f>IF(A1292="","",IFERROR(VLOOKUP(B1292,TblArticles,2,FALSE),"GTIN inconnu"))</f>
        <v/>
      </c>
      <c r="D1292" s="8">
        <f>IF(A1292="","",IFERROR(VLOOKUP(B1292,TblArticles,3,FALSE),""))</f>
        <v/>
      </c>
      <c r="E1292" s="9">
        <f>IFERROR(DATE(2000+VALUE(MID(H1292,FIND("15",H1292,FIND("01",H1292)+16)+2,2)),VALUE(MID(H1292,FIND("15",H1292,FIND("01",H1292)+16)+4,2)),VALUE(MID(H1292,FIND("15",H1292,FIND("01",H1292)+16)+6,2))),"")</f>
        <v/>
      </c>
      <c r="F1292" s="8">
        <f>IFERROR(MID(H1292,FIND("10",H1292,FIND("15",H1292,FIND("01",H1292)+16)+8)+2,50),"")</f>
        <v/>
      </c>
      <c r="G1292" s="8" t="n"/>
      <c r="H1292" s="8">
        <f>SUBSTITUTE(SUBSTITUTE(SUBSTITUTE(SUBSTITUTE(A1292,"(",""),")","")," ",""),CHAR(29),"")</f>
        <v/>
      </c>
    </row>
    <row r="1293">
      <c r="A1293" s="4" t="n"/>
      <c r="B1293" s="5">
        <f>IFERROR(MID(H1293,FIND("01",H1293)+2,14),"")</f>
        <v/>
      </c>
      <c r="C1293" s="4">
        <f>IF(A1293="","",IFERROR(VLOOKUP(B1293,TblArticles,2,FALSE),"GTIN inconnu"))</f>
        <v/>
      </c>
      <c r="D1293" s="5">
        <f>IF(A1293="","",IFERROR(VLOOKUP(B1293,TblArticles,3,FALSE),""))</f>
        <v/>
      </c>
      <c r="E1293" s="6">
        <f>IFERROR(DATE(2000+VALUE(MID(H1293,FIND("15",H1293,FIND("01",H1293)+16)+2,2)),VALUE(MID(H1293,FIND("15",H1293,FIND("01",H1293)+16)+4,2)),VALUE(MID(H1293,FIND("15",H1293,FIND("01",H1293)+16)+6,2))),"")</f>
        <v/>
      </c>
      <c r="F1293" s="5">
        <f>IFERROR(MID(H1293,FIND("10",H1293,FIND("15",H1293,FIND("01",H1293)+16)+8)+2,50),"")</f>
        <v/>
      </c>
      <c r="G1293" s="5" t="n"/>
      <c r="H1293" s="5">
        <f>SUBSTITUTE(SUBSTITUTE(SUBSTITUTE(SUBSTITUTE(A1293,"(",""),")","")," ",""),CHAR(29),"")</f>
        <v/>
      </c>
    </row>
    <row r="1294">
      <c r="A1294" s="7" t="n"/>
      <c r="B1294" s="8">
        <f>IFERROR(MID(H1294,FIND("01",H1294)+2,14),"")</f>
        <v/>
      </c>
      <c r="C1294" s="7">
        <f>IF(A1294="","",IFERROR(VLOOKUP(B1294,TblArticles,2,FALSE),"GTIN inconnu"))</f>
        <v/>
      </c>
      <c r="D1294" s="8">
        <f>IF(A1294="","",IFERROR(VLOOKUP(B1294,TblArticles,3,FALSE),""))</f>
        <v/>
      </c>
      <c r="E1294" s="9">
        <f>IFERROR(DATE(2000+VALUE(MID(H1294,FIND("15",H1294,FIND("01",H1294)+16)+2,2)),VALUE(MID(H1294,FIND("15",H1294,FIND("01",H1294)+16)+4,2)),VALUE(MID(H1294,FIND("15",H1294,FIND("01",H1294)+16)+6,2))),"")</f>
        <v/>
      </c>
      <c r="F1294" s="8">
        <f>IFERROR(MID(H1294,FIND("10",H1294,FIND("15",H1294,FIND("01",H1294)+16)+8)+2,50),"")</f>
        <v/>
      </c>
      <c r="G1294" s="8" t="n"/>
      <c r="H1294" s="8">
        <f>SUBSTITUTE(SUBSTITUTE(SUBSTITUTE(SUBSTITUTE(A1294,"(",""),")","")," ",""),CHAR(29),"")</f>
        <v/>
      </c>
    </row>
    <row r="1295">
      <c r="A1295" s="4" t="n"/>
      <c r="B1295" s="5">
        <f>IFERROR(MID(H1295,FIND("01",H1295)+2,14),"")</f>
        <v/>
      </c>
      <c r="C1295" s="4">
        <f>IF(A1295="","",IFERROR(VLOOKUP(B1295,TblArticles,2,FALSE),"GTIN inconnu"))</f>
        <v/>
      </c>
      <c r="D1295" s="5">
        <f>IF(A1295="","",IFERROR(VLOOKUP(B1295,TblArticles,3,FALSE),""))</f>
        <v/>
      </c>
      <c r="E1295" s="6">
        <f>IFERROR(DATE(2000+VALUE(MID(H1295,FIND("15",H1295,FIND("01",H1295)+16)+2,2)),VALUE(MID(H1295,FIND("15",H1295,FIND("01",H1295)+16)+4,2)),VALUE(MID(H1295,FIND("15",H1295,FIND("01",H1295)+16)+6,2))),"")</f>
        <v/>
      </c>
      <c r="F1295" s="5">
        <f>IFERROR(MID(H1295,FIND("10",H1295,FIND("15",H1295,FIND("01",H1295)+16)+8)+2,50),"")</f>
        <v/>
      </c>
      <c r="G1295" s="5" t="n"/>
      <c r="H1295" s="5">
        <f>SUBSTITUTE(SUBSTITUTE(SUBSTITUTE(SUBSTITUTE(A1295,"(",""),")","")," ",""),CHAR(29),"")</f>
        <v/>
      </c>
    </row>
    <row r="1296">
      <c r="A1296" s="7" t="n"/>
      <c r="B1296" s="8">
        <f>IFERROR(MID(H1296,FIND("01",H1296)+2,14),"")</f>
        <v/>
      </c>
      <c r="C1296" s="7">
        <f>IF(A1296="","",IFERROR(VLOOKUP(B1296,TblArticles,2,FALSE),"GTIN inconnu"))</f>
        <v/>
      </c>
      <c r="D1296" s="8">
        <f>IF(A1296="","",IFERROR(VLOOKUP(B1296,TblArticles,3,FALSE),""))</f>
        <v/>
      </c>
      <c r="E1296" s="9">
        <f>IFERROR(DATE(2000+VALUE(MID(H1296,FIND("15",H1296,FIND("01",H1296)+16)+2,2)),VALUE(MID(H1296,FIND("15",H1296,FIND("01",H1296)+16)+4,2)),VALUE(MID(H1296,FIND("15",H1296,FIND("01",H1296)+16)+6,2))),"")</f>
        <v/>
      </c>
      <c r="F1296" s="8">
        <f>IFERROR(MID(H1296,FIND("10",H1296,FIND("15",H1296,FIND("01",H1296)+16)+8)+2,50),"")</f>
        <v/>
      </c>
      <c r="G1296" s="8" t="n"/>
      <c r="H1296" s="8">
        <f>SUBSTITUTE(SUBSTITUTE(SUBSTITUTE(SUBSTITUTE(A1296,"(",""),")","")," ",""),CHAR(29),"")</f>
        <v/>
      </c>
    </row>
    <row r="1297">
      <c r="A1297" s="4" t="n"/>
      <c r="B1297" s="5">
        <f>IFERROR(MID(H1297,FIND("01",H1297)+2,14),"")</f>
        <v/>
      </c>
      <c r="C1297" s="4">
        <f>IF(A1297="","",IFERROR(VLOOKUP(B1297,TblArticles,2,FALSE),"GTIN inconnu"))</f>
        <v/>
      </c>
      <c r="D1297" s="5">
        <f>IF(A1297="","",IFERROR(VLOOKUP(B1297,TblArticles,3,FALSE),""))</f>
        <v/>
      </c>
      <c r="E1297" s="6">
        <f>IFERROR(DATE(2000+VALUE(MID(H1297,FIND("15",H1297,FIND("01",H1297)+16)+2,2)),VALUE(MID(H1297,FIND("15",H1297,FIND("01",H1297)+16)+4,2)),VALUE(MID(H1297,FIND("15",H1297,FIND("01",H1297)+16)+6,2))),"")</f>
        <v/>
      </c>
      <c r="F1297" s="5">
        <f>IFERROR(MID(H1297,FIND("10",H1297,FIND("15",H1297,FIND("01",H1297)+16)+8)+2,50),"")</f>
        <v/>
      </c>
      <c r="G1297" s="5" t="n"/>
      <c r="H1297" s="5">
        <f>SUBSTITUTE(SUBSTITUTE(SUBSTITUTE(SUBSTITUTE(A1297,"(",""),")","")," ",""),CHAR(29),"")</f>
        <v/>
      </c>
    </row>
    <row r="1298">
      <c r="A1298" s="7" t="n"/>
      <c r="B1298" s="8">
        <f>IFERROR(MID(H1298,FIND("01",H1298)+2,14),"")</f>
        <v/>
      </c>
      <c r="C1298" s="7">
        <f>IF(A1298="","",IFERROR(VLOOKUP(B1298,TblArticles,2,FALSE),"GTIN inconnu"))</f>
        <v/>
      </c>
      <c r="D1298" s="8">
        <f>IF(A1298="","",IFERROR(VLOOKUP(B1298,TblArticles,3,FALSE),""))</f>
        <v/>
      </c>
      <c r="E1298" s="9">
        <f>IFERROR(DATE(2000+VALUE(MID(H1298,FIND("15",H1298,FIND("01",H1298)+16)+2,2)),VALUE(MID(H1298,FIND("15",H1298,FIND("01",H1298)+16)+4,2)),VALUE(MID(H1298,FIND("15",H1298,FIND("01",H1298)+16)+6,2))),"")</f>
        <v/>
      </c>
      <c r="F1298" s="8">
        <f>IFERROR(MID(H1298,FIND("10",H1298,FIND("15",H1298,FIND("01",H1298)+16)+8)+2,50),"")</f>
        <v/>
      </c>
      <c r="G1298" s="8" t="n"/>
      <c r="H1298" s="8">
        <f>SUBSTITUTE(SUBSTITUTE(SUBSTITUTE(SUBSTITUTE(A1298,"(",""),")","")," ",""),CHAR(29),"")</f>
        <v/>
      </c>
    </row>
    <row r="1299">
      <c r="A1299" s="4" t="n"/>
      <c r="B1299" s="5">
        <f>IFERROR(MID(H1299,FIND("01",H1299)+2,14),"")</f>
        <v/>
      </c>
      <c r="C1299" s="4">
        <f>IF(A1299="","",IFERROR(VLOOKUP(B1299,TblArticles,2,FALSE),"GTIN inconnu"))</f>
        <v/>
      </c>
      <c r="D1299" s="5">
        <f>IF(A1299="","",IFERROR(VLOOKUP(B1299,TblArticles,3,FALSE),""))</f>
        <v/>
      </c>
      <c r="E1299" s="6">
        <f>IFERROR(DATE(2000+VALUE(MID(H1299,FIND("15",H1299,FIND("01",H1299)+16)+2,2)),VALUE(MID(H1299,FIND("15",H1299,FIND("01",H1299)+16)+4,2)),VALUE(MID(H1299,FIND("15",H1299,FIND("01",H1299)+16)+6,2))),"")</f>
        <v/>
      </c>
      <c r="F1299" s="5">
        <f>IFERROR(MID(H1299,FIND("10",H1299,FIND("15",H1299,FIND("01",H1299)+16)+8)+2,50),"")</f>
        <v/>
      </c>
      <c r="G1299" s="5" t="n"/>
      <c r="H1299" s="5">
        <f>SUBSTITUTE(SUBSTITUTE(SUBSTITUTE(SUBSTITUTE(A1299,"(",""),")","")," ",""),CHAR(29),"")</f>
        <v/>
      </c>
    </row>
    <row r="1300">
      <c r="A1300" s="7" t="n"/>
      <c r="B1300" s="8">
        <f>IFERROR(MID(H1300,FIND("01",H1300)+2,14),"")</f>
        <v/>
      </c>
      <c r="C1300" s="7">
        <f>IF(A1300="","",IFERROR(VLOOKUP(B1300,TblArticles,2,FALSE),"GTIN inconnu"))</f>
        <v/>
      </c>
      <c r="D1300" s="8">
        <f>IF(A1300="","",IFERROR(VLOOKUP(B1300,TblArticles,3,FALSE),""))</f>
        <v/>
      </c>
      <c r="E1300" s="9">
        <f>IFERROR(DATE(2000+VALUE(MID(H1300,FIND("15",H1300,FIND("01",H1300)+16)+2,2)),VALUE(MID(H1300,FIND("15",H1300,FIND("01",H1300)+16)+4,2)),VALUE(MID(H1300,FIND("15",H1300,FIND("01",H1300)+16)+6,2))),"")</f>
        <v/>
      </c>
      <c r="F1300" s="8">
        <f>IFERROR(MID(H1300,FIND("10",H1300,FIND("15",H1300,FIND("01",H1300)+16)+8)+2,50),"")</f>
        <v/>
      </c>
      <c r="G1300" s="8" t="n"/>
      <c r="H1300" s="8">
        <f>SUBSTITUTE(SUBSTITUTE(SUBSTITUTE(SUBSTITUTE(A1300,"(",""),")","")," ",""),CHAR(29),"")</f>
        <v/>
      </c>
    </row>
    <row r="1301">
      <c r="A1301" s="4" t="n"/>
      <c r="B1301" s="5">
        <f>IFERROR(MID(H1301,FIND("01",H1301)+2,14),"")</f>
        <v/>
      </c>
      <c r="C1301" s="4">
        <f>IF(A1301="","",IFERROR(VLOOKUP(B1301,TblArticles,2,FALSE),"GTIN inconnu"))</f>
        <v/>
      </c>
      <c r="D1301" s="5">
        <f>IF(A1301="","",IFERROR(VLOOKUP(B1301,TblArticles,3,FALSE),""))</f>
        <v/>
      </c>
      <c r="E1301" s="6">
        <f>IFERROR(DATE(2000+VALUE(MID(H1301,FIND("15",H1301,FIND("01",H1301)+16)+2,2)),VALUE(MID(H1301,FIND("15",H1301,FIND("01",H1301)+16)+4,2)),VALUE(MID(H1301,FIND("15",H1301,FIND("01",H1301)+16)+6,2))),"")</f>
        <v/>
      </c>
      <c r="F1301" s="5">
        <f>IFERROR(MID(H1301,FIND("10",H1301,FIND("15",H1301,FIND("01",H1301)+16)+8)+2,50),"")</f>
        <v/>
      </c>
      <c r="G1301" s="5" t="n"/>
      <c r="H1301" s="5">
        <f>SUBSTITUTE(SUBSTITUTE(SUBSTITUTE(SUBSTITUTE(A1301,"(",""),")","")," ",""),CHAR(29),"")</f>
        <v/>
      </c>
    </row>
    <row r="1302">
      <c r="A1302" s="7" t="n"/>
      <c r="B1302" s="8">
        <f>IFERROR(MID(H1302,FIND("01",H1302)+2,14),"")</f>
        <v/>
      </c>
      <c r="C1302" s="7">
        <f>IF(A1302="","",IFERROR(VLOOKUP(B1302,TblArticles,2,FALSE),"GTIN inconnu"))</f>
        <v/>
      </c>
      <c r="D1302" s="8">
        <f>IF(A1302="","",IFERROR(VLOOKUP(B1302,TblArticles,3,FALSE),""))</f>
        <v/>
      </c>
      <c r="E1302" s="9">
        <f>IFERROR(DATE(2000+VALUE(MID(H1302,FIND("15",H1302,FIND("01",H1302)+16)+2,2)),VALUE(MID(H1302,FIND("15",H1302,FIND("01",H1302)+16)+4,2)),VALUE(MID(H1302,FIND("15",H1302,FIND("01",H1302)+16)+6,2))),"")</f>
        <v/>
      </c>
      <c r="F1302" s="8">
        <f>IFERROR(MID(H1302,FIND("10",H1302,FIND("15",H1302,FIND("01",H1302)+16)+8)+2,50),"")</f>
        <v/>
      </c>
      <c r="G1302" s="8" t="n"/>
      <c r="H1302" s="8">
        <f>SUBSTITUTE(SUBSTITUTE(SUBSTITUTE(SUBSTITUTE(A1302,"(",""),")","")," ",""),CHAR(29),"")</f>
        <v/>
      </c>
    </row>
    <row r="1303">
      <c r="A1303" s="4" t="n"/>
      <c r="B1303" s="5">
        <f>IFERROR(MID(H1303,FIND("01",H1303)+2,14),"")</f>
        <v/>
      </c>
      <c r="C1303" s="4">
        <f>IF(A1303="","",IFERROR(VLOOKUP(B1303,TblArticles,2,FALSE),"GTIN inconnu"))</f>
        <v/>
      </c>
      <c r="D1303" s="5">
        <f>IF(A1303="","",IFERROR(VLOOKUP(B1303,TblArticles,3,FALSE),""))</f>
        <v/>
      </c>
      <c r="E1303" s="6">
        <f>IFERROR(DATE(2000+VALUE(MID(H1303,FIND("15",H1303,FIND("01",H1303)+16)+2,2)),VALUE(MID(H1303,FIND("15",H1303,FIND("01",H1303)+16)+4,2)),VALUE(MID(H1303,FIND("15",H1303,FIND("01",H1303)+16)+6,2))),"")</f>
        <v/>
      </c>
      <c r="F1303" s="5">
        <f>IFERROR(MID(H1303,FIND("10",H1303,FIND("15",H1303,FIND("01",H1303)+16)+8)+2,50),"")</f>
        <v/>
      </c>
      <c r="G1303" s="5" t="n"/>
      <c r="H1303" s="5">
        <f>SUBSTITUTE(SUBSTITUTE(SUBSTITUTE(SUBSTITUTE(A1303,"(",""),")","")," ",""),CHAR(29),"")</f>
        <v/>
      </c>
    </row>
    <row r="1304">
      <c r="A1304" s="7" t="n"/>
      <c r="B1304" s="8">
        <f>IFERROR(MID(H1304,FIND("01",H1304)+2,14),"")</f>
        <v/>
      </c>
      <c r="C1304" s="7">
        <f>IF(A1304="","",IFERROR(VLOOKUP(B1304,TblArticles,2,FALSE),"GTIN inconnu"))</f>
        <v/>
      </c>
      <c r="D1304" s="8">
        <f>IF(A1304="","",IFERROR(VLOOKUP(B1304,TblArticles,3,FALSE),""))</f>
        <v/>
      </c>
      <c r="E1304" s="9">
        <f>IFERROR(DATE(2000+VALUE(MID(H1304,FIND("15",H1304,FIND("01",H1304)+16)+2,2)),VALUE(MID(H1304,FIND("15",H1304,FIND("01",H1304)+16)+4,2)),VALUE(MID(H1304,FIND("15",H1304,FIND("01",H1304)+16)+6,2))),"")</f>
        <v/>
      </c>
      <c r="F1304" s="8">
        <f>IFERROR(MID(H1304,FIND("10",H1304,FIND("15",H1304,FIND("01",H1304)+16)+8)+2,50),"")</f>
        <v/>
      </c>
      <c r="G1304" s="8" t="n"/>
      <c r="H1304" s="8">
        <f>SUBSTITUTE(SUBSTITUTE(SUBSTITUTE(SUBSTITUTE(A1304,"(",""),")","")," ",""),CHAR(29),"")</f>
        <v/>
      </c>
    </row>
    <row r="1305">
      <c r="A1305" s="4" t="n"/>
      <c r="B1305" s="5">
        <f>IFERROR(MID(H1305,FIND("01",H1305)+2,14),"")</f>
        <v/>
      </c>
      <c r="C1305" s="4">
        <f>IF(A1305="","",IFERROR(VLOOKUP(B1305,TblArticles,2,FALSE),"GTIN inconnu"))</f>
        <v/>
      </c>
      <c r="D1305" s="5">
        <f>IF(A1305="","",IFERROR(VLOOKUP(B1305,TblArticles,3,FALSE),""))</f>
        <v/>
      </c>
      <c r="E1305" s="6">
        <f>IFERROR(DATE(2000+VALUE(MID(H1305,FIND("15",H1305,FIND("01",H1305)+16)+2,2)),VALUE(MID(H1305,FIND("15",H1305,FIND("01",H1305)+16)+4,2)),VALUE(MID(H1305,FIND("15",H1305,FIND("01",H1305)+16)+6,2))),"")</f>
        <v/>
      </c>
      <c r="F1305" s="5">
        <f>IFERROR(MID(H1305,FIND("10",H1305,FIND("15",H1305,FIND("01",H1305)+16)+8)+2,50),"")</f>
        <v/>
      </c>
      <c r="G1305" s="5" t="n"/>
      <c r="H1305" s="5">
        <f>SUBSTITUTE(SUBSTITUTE(SUBSTITUTE(SUBSTITUTE(A1305,"(",""),")","")," ",""),CHAR(29),"")</f>
        <v/>
      </c>
    </row>
    <row r="1306">
      <c r="A1306" s="7" t="n"/>
      <c r="B1306" s="8">
        <f>IFERROR(MID(H1306,FIND("01",H1306)+2,14),"")</f>
        <v/>
      </c>
      <c r="C1306" s="7">
        <f>IF(A1306="","",IFERROR(VLOOKUP(B1306,TblArticles,2,FALSE),"GTIN inconnu"))</f>
        <v/>
      </c>
      <c r="D1306" s="8">
        <f>IF(A1306="","",IFERROR(VLOOKUP(B1306,TblArticles,3,FALSE),""))</f>
        <v/>
      </c>
      <c r="E1306" s="9">
        <f>IFERROR(DATE(2000+VALUE(MID(H1306,FIND("15",H1306,FIND("01",H1306)+16)+2,2)),VALUE(MID(H1306,FIND("15",H1306,FIND("01",H1306)+16)+4,2)),VALUE(MID(H1306,FIND("15",H1306,FIND("01",H1306)+16)+6,2))),"")</f>
        <v/>
      </c>
      <c r="F1306" s="8">
        <f>IFERROR(MID(H1306,FIND("10",H1306,FIND("15",H1306,FIND("01",H1306)+16)+8)+2,50),"")</f>
        <v/>
      </c>
      <c r="G1306" s="8" t="n"/>
      <c r="H1306" s="8">
        <f>SUBSTITUTE(SUBSTITUTE(SUBSTITUTE(SUBSTITUTE(A1306,"(",""),")","")," ",""),CHAR(29),"")</f>
        <v/>
      </c>
    </row>
    <row r="1307">
      <c r="A1307" s="4" t="n"/>
      <c r="B1307" s="5">
        <f>IFERROR(MID(H1307,FIND("01",H1307)+2,14),"")</f>
        <v/>
      </c>
      <c r="C1307" s="4">
        <f>IF(A1307="","",IFERROR(VLOOKUP(B1307,TblArticles,2,FALSE),"GTIN inconnu"))</f>
        <v/>
      </c>
      <c r="D1307" s="5">
        <f>IF(A1307="","",IFERROR(VLOOKUP(B1307,TblArticles,3,FALSE),""))</f>
        <v/>
      </c>
      <c r="E1307" s="6">
        <f>IFERROR(DATE(2000+VALUE(MID(H1307,FIND("15",H1307,FIND("01",H1307)+16)+2,2)),VALUE(MID(H1307,FIND("15",H1307,FIND("01",H1307)+16)+4,2)),VALUE(MID(H1307,FIND("15",H1307,FIND("01",H1307)+16)+6,2))),"")</f>
        <v/>
      </c>
      <c r="F1307" s="5">
        <f>IFERROR(MID(H1307,FIND("10",H1307,FIND("15",H1307,FIND("01",H1307)+16)+8)+2,50),"")</f>
        <v/>
      </c>
      <c r="G1307" s="5" t="n"/>
      <c r="H1307" s="5">
        <f>SUBSTITUTE(SUBSTITUTE(SUBSTITUTE(SUBSTITUTE(A1307,"(",""),")","")," ",""),CHAR(29),"")</f>
        <v/>
      </c>
    </row>
    <row r="1308">
      <c r="A1308" s="7" t="n"/>
      <c r="B1308" s="8">
        <f>IFERROR(MID(H1308,FIND("01",H1308)+2,14),"")</f>
        <v/>
      </c>
      <c r="C1308" s="7">
        <f>IF(A1308="","",IFERROR(VLOOKUP(B1308,TblArticles,2,FALSE),"GTIN inconnu"))</f>
        <v/>
      </c>
      <c r="D1308" s="8">
        <f>IF(A1308="","",IFERROR(VLOOKUP(B1308,TblArticles,3,FALSE),""))</f>
        <v/>
      </c>
      <c r="E1308" s="9">
        <f>IFERROR(DATE(2000+VALUE(MID(H1308,FIND("15",H1308,FIND("01",H1308)+16)+2,2)),VALUE(MID(H1308,FIND("15",H1308,FIND("01",H1308)+16)+4,2)),VALUE(MID(H1308,FIND("15",H1308,FIND("01",H1308)+16)+6,2))),"")</f>
        <v/>
      </c>
      <c r="F1308" s="8">
        <f>IFERROR(MID(H1308,FIND("10",H1308,FIND("15",H1308,FIND("01",H1308)+16)+8)+2,50),"")</f>
        <v/>
      </c>
      <c r="G1308" s="8" t="n"/>
      <c r="H1308" s="8">
        <f>SUBSTITUTE(SUBSTITUTE(SUBSTITUTE(SUBSTITUTE(A1308,"(",""),")","")," ",""),CHAR(29),"")</f>
        <v/>
      </c>
    </row>
    <row r="1309">
      <c r="A1309" s="4" t="n"/>
      <c r="B1309" s="5">
        <f>IFERROR(MID(H1309,FIND("01",H1309)+2,14),"")</f>
        <v/>
      </c>
      <c r="C1309" s="4">
        <f>IF(A1309="","",IFERROR(VLOOKUP(B1309,TblArticles,2,FALSE),"GTIN inconnu"))</f>
        <v/>
      </c>
      <c r="D1309" s="5">
        <f>IF(A1309="","",IFERROR(VLOOKUP(B1309,TblArticles,3,FALSE),""))</f>
        <v/>
      </c>
      <c r="E1309" s="6">
        <f>IFERROR(DATE(2000+VALUE(MID(H1309,FIND("15",H1309,FIND("01",H1309)+16)+2,2)),VALUE(MID(H1309,FIND("15",H1309,FIND("01",H1309)+16)+4,2)),VALUE(MID(H1309,FIND("15",H1309,FIND("01",H1309)+16)+6,2))),"")</f>
        <v/>
      </c>
      <c r="F1309" s="5">
        <f>IFERROR(MID(H1309,FIND("10",H1309,FIND("15",H1309,FIND("01",H1309)+16)+8)+2,50),"")</f>
        <v/>
      </c>
      <c r="G1309" s="5" t="n"/>
      <c r="H1309" s="5">
        <f>SUBSTITUTE(SUBSTITUTE(SUBSTITUTE(SUBSTITUTE(A1309,"(",""),")","")," ",""),CHAR(29),"")</f>
        <v/>
      </c>
    </row>
    <row r="1310">
      <c r="A1310" s="7" t="n"/>
      <c r="B1310" s="8">
        <f>IFERROR(MID(H1310,FIND("01",H1310)+2,14),"")</f>
        <v/>
      </c>
      <c r="C1310" s="7">
        <f>IF(A1310="","",IFERROR(VLOOKUP(B1310,TblArticles,2,FALSE),"GTIN inconnu"))</f>
        <v/>
      </c>
      <c r="D1310" s="8">
        <f>IF(A1310="","",IFERROR(VLOOKUP(B1310,TblArticles,3,FALSE),""))</f>
        <v/>
      </c>
      <c r="E1310" s="9">
        <f>IFERROR(DATE(2000+VALUE(MID(H1310,FIND("15",H1310,FIND("01",H1310)+16)+2,2)),VALUE(MID(H1310,FIND("15",H1310,FIND("01",H1310)+16)+4,2)),VALUE(MID(H1310,FIND("15",H1310,FIND("01",H1310)+16)+6,2))),"")</f>
        <v/>
      </c>
      <c r="F1310" s="8">
        <f>IFERROR(MID(H1310,FIND("10",H1310,FIND("15",H1310,FIND("01",H1310)+16)+8)+2,50),"")</f>
        <v/>
      </c>
      <c r="G1310" s="8" t="n"/>
      <c r="H1310" s="8">
        <f>SUBSTITUTE(SUBSTITUTE(SUBSTITUTE(SUBSTITUTE(A1310,"(",""),")","")," ",""),CHAR(29),"")</f>
        <v/>
      </c>
    </row>
    <row r="1311">
      <c r="A1311" s="4" t="n"/>
      <c r="B1311" s="5">
        <f>IFERROR(MID(H1311,FIND("01",H1311)+2,14),"")</f>
        <v/>
      </c>
      <c r="C1311" s="4">
        <f>IF(A1311="","",IFERROR(VLOOKUP(B1311,TblArticles,2,FALSE),"GTIN inconnu"))</f>
        <v/>
      </c>
      <c r="D1311" s="5">
        <f>IF(A1311="","",IFERROR(VLOOKUP(B1311,TblArticles,3,FALSE),""))</f>
        <v/>
      </c>
      <c r="E1311" s="6">
        <f>IFERROR(DATE(2000+VALUE(MID(H1311,FIND("15",H1311,FIND("01",H1311)+16)+2,2)),VALUE(MID(H1311,FIND("15",H1311,FIND("01",H1311)+16)+4,2)),VALUE(MID(H1311,FIND("15",H1311,FIND("01",H1311)+16)+6,2))),"")</f>
        <v/>
      </c>
      <c r="F1311" s="5">
        <f>IFERROR(MID(H1311,FIND("10",H1311,FIND("15",H1311,FIND("01",H1311)+16)+8)+2,50),"")</f>
        <v/>
      </c>
      <c r="G1311" s="5" t="n"/>
      <c r="H1311" s="5">
        <f>SUBSTITUTE(SUBSTITUTE(SUBSTITUTE(SUBSTITUTE(A1311,"(",""),")","")," ",""),CHAR(29),"")</f>
        <v/>
      </c>
    </row>
    <row r="1312">
      <c r="A1312" s="7" t="n"/>
      <c r="B1312" s="8">
        <f>IFERROR(MID(H1312,FIND("01",H1312)+2,14),"")</f>
        <v/>
      </c>
      <c r="C1312" s="7">
        <f>IF(A1312="","",IFERROR(VLOOKUP(B1312,TblArticles,2,FALSE),"GTIN inconnu"))</f>
        <v/>
      </c>
      <c r="D1312" s="8">
        <f>IF(A1312="","",IFERROR(VLOOKUP(B1312,TblArticles,3,FALSE),""))</f>
        <v/>
      </c>
      <c r="E1312" s="9">
        <f>IFERROR(DATE(2000+VALUE(MID(H1312,FIND("15",H1312,FIND("01",H1312)+16)+2,2)),VALUE(MID(H1312,FIND("15",H1312,FIND("01",H1312)+16)+4,2)),VALUE(MID(H1312,FIND("15",H1312,FIND("01",H1312)+16)+6,2))),"")</f>
        <v/>
      </c>
      <c r="F1312" s="8">
        <f>IFERROR(MID(H1312,FIND("10",H1312,FIND("15",H1312,FIND("01",H1312)+16)+8)+2,50),"")</f>
        <v/>
      </c>
      <c r="G1312" s="8" t="n"/>
      <c r="H1312" s="8">
        <f>SUBSTITUTE(SUBSTITUTE(SUBSTITUTE(SUBSTITUTE(A1312,"(",""),")","")," ",""),CHAR(29),"")</f>
        <v/>
      </c>
    </row>
    <row r="1313">
      <c r="A1313" s="4" t="n"/>
      <c r="B1313" s="5">
        <f>IFERROR(MID(H1313,FIND("01",H1313)+2,14),"")</f>
        <v/>
      </c>
      <c r="C1313" s="4">
        <f>IF(A1313="","",IFERROR(VLOOKUP(B1313,TblArticles,2,FALSE),"GTIN inconnu"))</f>
        <v/>
      </c>
      <c r="D1313" s="5">
        <f>IF(A1313="","",IFERROR(VLOOKUP(B1313,TblArticles,3,FALSE),""))</f>
        <v/>
      </c>
      <c r="E1313" s="6">
        <f>IFERROR(DATE(2000+VALUE(MID(H1313,FIND("15",H1313,FIND("01",H1313)+16)+2,2)),VALUE(MID(H1313,FIND("15",H1313,FIND("01",H1313)+16)+4,2)),VALUE(MID(H1313,FIND("15",H1313,FIND("01",H1313)+16)+6,2))),"")</f>
        <v/>
      </c>
      <c r="F1313" s="5">
        <f>IFERROR(MID(H1313,FIND("10",H1313,FIND("15",H1313,FIND("01",H1313)+16)+8)+2,50),"")</f>
        <v/>
      </c>
      <c r="G1313" s="5" t="n"/>
      <c r="H1313" s="5">
        <f>SUBSTITUTE(SUBSTITUTE(SUBSTITUTE(SUBSTITUTE(A1313,"(",""),")","")," ",""),CHAR(29),"")</f>
        <v/>
      </c>
    </row>
    <row r="1314">
      <c r="A1314" s="7" t="n"/>
      <c r="B1314" s="8">
        <f>IFERROR(MID(H1314,FIND("01",H1314)+2,14),"")</f>
        <v/>
      </c>
      <c r="C1314" s="7">
        <f>IF(A1314="","",IFERROR(VLOOKUP(B1314,TblArticles,2,FALSE),"GTIN inconnu"))</f>
        <v/>
      </c>
      <c r="D1314" s="8">
        <f>IF(A1314="","",IFERROR(VLOOKUP(B1314,TblArticles,3,FALSE),""))</f>
        <v/>
      </c>
      <c r="E1314" s="9">
        <f>IFERROR(DATE(2000+VALUE(MID(H1314,FIND("15",H1314,FIND("01",H1314)+16)+2,2)),VALUE(MID(H1314,FIND("15",H1314,FIND("01",H1314)+16)+4,2)),VALUE(MID(H1314,FIND("15",H1314,FIND("01",H1314)+16)+6,2))),"")</f>
        <v/>
      </c>
      <c r="F1314" s="8">
        <f>IFERROR(MID(H1314,FIND("10",H1314,FIND("15",H1314,FIND("01",H1314)+16)+8)+2,50),"")</f>
        <v/>
      </c>
      <c r="G1314" s="8" t="n"/>
      <c r="H1314" s="8">
        <f>SUBSTITUTE(SUBSTITUTE(SUBSTITUTE(SUBSTITUTE(A1314,"(",""),")","")," ",""),CHAR(29),"")</f>
        <v/>
      </c>
    </row>
    <row r="1315">
      <c r="A1315" s="4" t="n"/>
      <c r="B1315" s="5">
        <f>IFERROR(MID(H1315,FIND("01",H1315)+2,14),"")</f>
        <v/>
      </c>
      <c r="C1315" s="4">
        <f>IF(A1315="","",IFERROR(VLOOKUP(B1315,TblArticles,2,FALSE),"GTIN inconnu"))</f>
        <v/>
      </c>
      <c r="D1315" s="5">
        <f>IF(A1315="","",IFERROR(VLOOKUP(B1315,TblArticles,3,FALSE),""))</f>
        <v/>
      </c>
      <c r="E1315" s="6">
        <f>IFERROR(DATE(2000+VALUE(MID(H1315,FIND("15",H1315,FIND("01",H1315)+16)+2,2)),VALUE(MID(H1315,FIND("15",H1315,FIND("01",H1315)+16)+4,2)),VALUE(MID(H1315,FIND("15",H1315,FIND("01",H1315)+16)+6,2))),"")</f>
        <v/>
      </c>
      <c r="F1315" s="5">
        <f>IFERROR(MID(H1315,FIND("10",H1315,FIND("15",H1315,FIND("01",H1315)+16)+8)+2,50),"")</f>
        <v/>
      </c>
      <c r="G1315" s="5" t="n"/>
      <c r="H1315" s="5">
        <f>SUBSTITUTE(SUBSTITUTE(SUBSTITUTE(SUBSTITUTE(A1315,"(",""),")","")," ",""),CHAR(29),"")</f>
        <v/>
      </c>
    </row>
    <row r="1316">
      <c r="A1316" s="7" t="n"/>
      <c r="B1316" s="8">
        <f>IFERROR(MID(H1316,FIND("01",H1316)+2,14),"")</f>
        <v/>
      </c>
      <c r="C1316" s="7">
        <f>IF(A1316="","",IFERROR(VLOOKUP(B1316,TblArticles,2,FALSE),"GTIN inconnu"))</f>
        <v/>
      </c>
      <c r="D1316" s="8">
        <f>IF(A1316="","",IFERROR(VLOOKUP(B1316,TblArticles,3,FALSE),""))</f>
        <v/>
      </c>
      <c r="E1316" s="9">
        <f>IFERROR(DATE(2000+VALUE(MID(H1316,FIND("15",H1316,FIND("01",H1316)+16)+2,2)),VALUE(MID(H1316,FIND("15",H1316,FIND("01",H1316)+16)+4,2)),VALUE(MID(H1316,FIND("15",H1316,FIND("01",H1316)+16)+6,2))),"")</f>
        <v/>
      </c>
      <c r="F1316" s="8">
        <f>IFERROR(MID(H1316,FIND("10",H1316,FIND("15",H1316,FIND("01",H1316)+16)+8)+2,50),"")</f>
        <v/>
      </c>
      <c r="G1316" s="8" t="n"/>
      <c r="H1316" s="8">
        <f>SUBSTITUTE(SUBSTITUTE(SUBSTITUTE(SUBSTITUTE(A1316,"(",""),")","")," ",""),CHAR(29),"")</f>
        <v/>
      </c>
    </row>
    <row r="1317">
      <c r="A1317" s="4" t="n"/>
      <c r="B1317" s="5">
        <f>IFERROR(MID(H1317,FIND("01",H1317)+2,14),"")</f>
        <v/>
      </c>
      <c r="C1317" s="4">
        <f>IF(A1317="","",IFERROR(VLOOKUP(B1317,TblArticles,2,FALSE),"GTIN inconnu"))</f>
        <v/>
      </c>
      <c r="D1317" s="5">
        <f>IF(A1317="","",IFERROR(VLOOKUP(B1317,TblArticles,3,FALSE),""))</f>
        <v/>
      </c>
      <c r="E1317" s="6">
        <f>IFERROR(DATE(2000+VALUE(MID(H1317,FIND("15",H1317,FIND("01",H1317)+16)+2,2)),VALUE(MID(H1317,FIND("15",H1317,FIND("01",H1317)+16)+4,2)),VALUE(MID(H1317,FIND("15",H1317,FIND("01",H1317)+16)+6,2))),"")</f>
        <v/>
      </c>
      <c r="F1317" s="5">
        <f>IFERROR(MID(H1317,FIND("10",H1317,FIND("15",H1317,FIND("01",H1317)+16)+8)+2,50),"")</f>
        <v/>
      </c>
      <c r="G1317" s="5" t="n"/>
      <c r="H1317" s="5">
        <f>SUBSTITUTE(SUBSTITUTE(SUBSTITUTE(SUBSTITUTE(A1317,"(",""),")","")," ",""),CHAR(29),"")</f>
        <v/>
      </c>
    </row>
    <row r="1318">
      <c r="A1318" s="7" t="n"/>
      <c r="B1318" s="8">
        <f>IFERROR(MID(H1318,FIND("01",H1318)+2,14),"")</f>
        <v/>
      </c>
      <c r="C1318" s="7">
        <f>IF(A1318="","",IFERROR(VLOOKUP(B1318,TblArticles,2,FALSE),"GTIN inconnu"))</f>
        <v/>
      </c>
      <c r="D1318" s="8">
        <f>IF(A1318="","",IFERROR(VLOOKUP(B1318,TblArticles,3,FALSE),""))</f>
        <v/>
      </c>
      <c r="E1318" s="9">
        <f>IFERROR(DATE(2000+VALUE(MID(H1318,FIND("15",H1318,FIND("01",H1318)+16)+2,2)),VALUE(MID(H1318,FIND("15",H1318,FIND("01",H1318)+16)+4,2)),VALUE(MID(H1318,FIND("15",H1318,FIND("01",H1318)+16)+6,2))),"")</f>
        <v/>
      </c>
      <c r="F1318" s="8">
        <f>IFERROR(MID(H1318,FIND("10",H1318,FIND("15",H1318,FIND("01",H1318)+16)+8)+2,50),"")</f>
        <v/>
      </c>
      <c r="G1318" s="8" t="n"/>
      <c r="H1318" s="8">
        <f>SUBSTITUTE(SUBSTITUTE(SUBSTITUTE(SUBSTITUTE(A1318,"(",""),")","")," ",""),CHAR(29),"")</f>
        <v/>
      </c>
    </row>
    <row r="1319">
      <c r="A1319" s="4" t="n"/>
      <c r="B1319" s="5">
        <f>IFERROR(MID(H1319,FIND("01",H1319)+2,14),"")</f>
        <v/>
      </c>
      <c r="C1319" s="4">
        <f>IF(A1319="","",IFERROR(VLOOKUP(B1319,TblArticles,2,FALSE),"GTIN inconnu"))</f>
        <v/>
      </c>
      <c r="D1319" s="5">
        <f>IF(A1319="","",IFERROR(VLOOKUP(B1319,TblArticles,3,FALSE),""))</f>
        <v/>
      </c>
      <c r="E1319" s="6">
        <f>IFERROR(DATE(2000+VALUE(MID(H1319,FIND("15",H1319,FIND("01",H1319)+16)+2,2)),VALUE(MID(H1319,FIND("15",H1319,FIND("01",H1319)+16)+4,2)),VALUE(MID(H1319,FIND("15",H1319,FIND("01",H1319)+16)+6,2))),"")</f>
        <v/>
      </c>
      <c r="F1319" s="5">
        <f>IFERROR(MID(H1319,FIND("10",H1319,FIND("15",H1319,FIND("01",H1319)+16)+8)+2,50),"")</f>
        <v/>
      </c>
      <c r="G1319" s="5" t="n"/>
      <c r="H1319" s="5">
        <f>SUBSTITUTE(SUBSTITUTE(SUBSTITUTE(SUBSTITUTE(A1319,"(",""),")","")," ",""),CHAR(29),"")</f>
        <v/>
      </c>
    </row>
    <row r="1320">
      <c r="A1320" s="7" t="n"/>
      <c r="B1320" s="8">
        <f>IFERROR(MID(H1320,FIND("01",H1320)+2,14),"")</f>
        <v/>
      </c>
      <c r="C1320" s="7">
        <f>IF(A1320="","",IFERROR(VLOOKUP(B1320,TblArticles,2,FALSE),"GTIN inconnu"))</f>
        <v/>
      </c>
      <c r="D1320" s="8">
        <f>IF(A1320="","",IFERROR(VLOOKUP(B1320,TblArticles,3,FALSE),""))</f>
        <v/>
      </c>
      <c r="E1320" s="9">
        <f>IFERROR(DATE(2000+VALUE(MID(H1320,FIND("15",H1320,FIND("01",H1320)+16)+2,2)),VALUE(MID(H1320,FIND("15",H1320,FIND("01",H1320)+16)+4,2)),VALUE(MID(H1320,FIND("15",H1320,FIND("01",H1320)+16)+6,2))),"")</f>
        <v/>
      </c>
      <c r="F1320" s="8">
        <f>IFERROR(MID(H1320,FIND("10",H1320,FIND("15",H1320,FIND("01",H1320)+16)+8)+2,50),"")</f>
        <v/>
      </c>
      <c r="G1320" s="8" t="n"/>
      <c r="H1320" s="8">
        <f>SUBSTITUTE(SUBSTITUTE(SUBSTITUTE(SUBSTITUTE(A1320,"(",""),")","")," ",""),CHAR(29),"")</f>
        <v/>
      </c>
    </row>
    <row r="1321">
      <c r="A1321" s="4" t="n"/>
      <c r="B1321" s="5">
        <f>IFERROR(MID(H1321,FIND("01",H1321)+2,14),"")</f>
        <v/>
      </c>
      <c r="C1321" s="4">
        <f>IF(A1321="","",IFERROR(VLOOKUP(B1321,TblArticles,2,FALSE),"GTIN inconnu"))</f>
        <v/>
      </c>
      <c r="D1321" s="5">
        <f>IF(A1321="","",IFERROR(VLOOKUP(B1321,TblArticles,3,FALSE),""))</f>
        <v/>
      </c>
      <c r="E1321" s="6">
        <f>IFERROR(DATE(2000+VALUE(MID(H1321,FIND("15",H1321,FIND("01",H1321)+16)+2,2)),VALUE(MID(H1321,FIND("15",H1321,FIND("01",H1321)+16)+4,2)),VALUE(MID(H1321,FIND("15",H1321,FIND("01",H1321)+16)+6,2))),"")</f>
        <v/>
      </c>
      <c r="F1321" s="5">
        <f>IFERROR(MID(H1321,FIND("10",H1321,FIND("15",H1321,FIND("01",H1321)+16)+8)+2,50),"")</f>
        <v/>
      </c>
      <c r="G1321" s="5" t="n"/>
      <c r="H1321" s="5">
        <f>SUBSTITUTE(SUBSTITUTE(SUBSTITUTE(SUBSTITUTE(A1321,"(",""),")","")," ",""),CHAR(29),"")</f>
        <v/>
      </c>
    </row>
    <row r="1322">
      <c r="A1322" s="7" t="n"/>
      <c r="B1322" s="8">
        <f>IFERROR(MID(H1322,FIND("01",H1322)+2,14),"")</f>
        <v/>
      </c>
      <c r="C1322" s="7">
        <f>IF(A1322="","",IFERROR(VLOOKUP(B1322,TblArticles,2,FALSE),"GTIN inconnu"))</f>
        <v/>
      </c>
      <c r="D1322" s="8">
        <f>IF(A1322="","",IFERROR(VLOOKUP(B1322,TblArticles,3,FALSE),""))</f>
        <v/>
      </c>
      <c r="E1322" s="9">
        <f>IFERROR(DATE(2000+VALUE(MID(H1322,FIND("15",H1322,FIND("01",H1322)+16)+2,2)),VALUE(MID(H1322,FIND("15",H1322,FIND("01",H1322)+16)+4,2)),VALUE(MID(H1322,FIND("15",H1322,FIND("01",H1322)+16)+6,2))),"")</f>
        <v/>
      </c>
      <c r="F1322" s="8">
        <f>IFERROR(MID(H1322,FIND("10",H1322,FIND("15",H1322,FIND("01",H1322)+16)+8)+2,50),"")</f>
        <v/>
      </c>
      <c r="G1322" s="8" t="n"/>
      <c r="H1322" s="8">
        <f>SUBSTITUTE(SUBSTITUTE(SUBSTITUTE(SUBSTITUTE(A1322,"(",""),")","")," ",""),CHAR(29),"")</f>
        <v/>
      </c>
    </row>
    <row r="1323">
      <c r="A1323" s="4" t="n"/>
      <c r="B1323" s="5">
        <f>IFERROR(MID(H1323,FIND("01",H1323)+2,14),"")</f>
        <v/>
      </c>
      <c r="C1323" s="4">
        <f>IF(A1323="","",IFERROR(VLOOKUP(B1323,TblArticles,2,FALSE),"GTIN inconnu"))</f>
        <v/>
      </c>
      <c r="D1323" s="5">
        <f>IF(A1323="","",IFERROR(VLOOKUP(B1323,TblArticles,3,FALSE),""))</f>
        <v/>
      </c>
      <c r="E1323" s="6">
        <f>IFERROR(DATE(2000+VALUE(MID(H1323,FIND("15",H1323,FIND("01",H1323)+16)+2,2)),VALUE(MID(H1323,FIND("15",H1323,FIND("01",H1323)+16)+4,2)),VALUE(MID(H1323,FIND("15",H1323,FIND("01",H1323)+16)+6,2))),"")</f>
        <v/>
      </c>
      <c r="F1323" s="5">
        <f>IFERROR(MID(H1323,FIND("10",H1323,FIND("15",H1323,FIND("01",H1323)+16)+8)+2,50),"")</f>
        <v/>
      </c>
      <c r="G1323" s="5" t="n"/>
      <c r="H1323" s="5">
        <f>SUBSTITUTE(SUBSTITUTE(SUBSTITUTE(SUBSTITUTE(A1323,"(",""),")","")," ",""),CHAR(29),"")</f>
        <v/>
      </c>
    </row>
    <row r="1324">
      <c r="A1324" s="7" t="n"/>
      <c r="B1324" s="8">
        <f>IFERROR(MID(H1324,FIND("01",H1324)+2,14),"")</f>
        <v/>
      </c>
      <c r="C1324" s="7">
        <f>IF(A1324="","",IFERROR(VLOOKUP(B1324,TblArticles,2,FALSE),"GTIN inconnu"))</f>
        <v/>
      </c>
      <c r="D1324" s="8">
        <f>IF(A1324="","",IFERROR(VLOOKUP(B1324,TblArticles,3,FALSE),""))</f>
        <v/>
      </c>
      <c r="E1324" s="9">
        <f>IFERROR(DATE(2000+VALUE(MID(H1324,FIND("15",H1324,FIND("01",H1324)+16)+2,2)),VALUE(MID(H1324,FIND("15",H1324,FIND("01",H1324)+16)+4,2)),VALUE(MID(H1324,FIND("15",H1324,FIND("01",H1324)+16)+6,2))),"")</f>
        <v/>
      </c>
      <c r="F1324" s="8">
        <f>IFERROR(MID(H1324,FIND("10",H1324,FIND("15",H1324,FIND("01",H1324)+16)+8)+2,50),"")</f>
        <v/>
      </c>
      <c r="G1324" s="8" t="n"/>
      <c r="H1324" s="8">
        <f>SUBSTITUTE(SUBSTITUTE(SUBSTITUTE(SUBSTITUTE(A1324,"(",""),")","")," ",""),CHAR(29),"")</f>
        <v/>
      </c>
    </row>
    <row r="1325">
      <c r="A1325" s="4" t="n"/>
      <c r="B1325" s="5">
        <f>IFERROR(MID(H1325,FIND("01",H1325)+2,14),"")</f>
        <v/>
      </c>
      <c r="C1325" s="4">
        <f>IF(A1325="","",IFERROR(VLOOKUP(B1325,TblArticles,2,FALSE),"GTIN inconnu"))</f>
        <v/>
      </c>
      <c r="D1325" s="5">
        <f>IF(A1325="","",IFERROR(VLOOKUP(B1325,TblArticles,3,FALSE),""))</f>
        <v/>
      </c>
      <c r="E1325" s="6">
        <f>IFERROR(DATE(2000+VALUE(MID(H1325,FIND("15",H1325,FIND("01",H1325)+16)+2,2)),VALUE(MID(H1325,FIND("15",H1325,FIND("01",H1325)+16)+4,2)),VALUE(MID(H1325,FIND("15",H1325,FIND("01",H1325)+16)+6,2))),"")</f>
        <v/>
      </c>
      <c r="F1325" s="5">
        <f>IFERROR(MID(H1325,FIND("10",H1325,FIND("15",H1325,FIND("01",H1325)+16)+8)+2,50),"")</f>
        <v/>
      </c>
      <c r="G1325" s="5" t="n"/>
      <c r="H1325" s="5">
        <f>SUBSTITUTE(SUBSTITUTE(SUBSTITUTE(SUBSTITUTE(A1325,"(",""),")","")," ",""),CHAR(29),"")</f>
        <v/>
      </c>
    </row>
    <row r="1326">
      <c r="A1326" s="7" t="n"/>
      <c r="B1326" s="8">
        <f>IFERROR(MID(H1326,FIND("01",H1326)+2,14),"")</f>
        <v/>
      </c>
      <c r="C1326" s="7">
        <f>IF(A1326="","",IFERROR(VLOOKUP(B1326,TblArticles,2,FALSE),"GTIN inconnu"))</f>
        <v/>
      </c>
      <c r="D1326" s="8">
        <f>IF(A1326="","",IFERROR(VLOOKUP(B1326,TblArticles,3,FALSE),""))</f>
        <v/>
      </c>
      <c r="E1326" s="9">
        <f>IFERROR(DATE(2000+VALUE(MID(H1326,FIND("15",H1326,FIND("01",H1326)+16)+2,2)),VALUE(MID(H1326,FIND("15",H1326,FIND("01",H1326)+16)+4,2)),VALUE(MID(H1326,FIND("15",H1326,FIND("01",H1326)+16)+6,2))),"")</f>
        <v/>
      </c>
      <c r="F1326" s="8">
        <f>IFERROR(MID(H1326,FIND("10",H1326,FIND("15",H1326,FIND("01",H1326)+16)+8)+2,50),"")</f>
        <v/>
      </c>
      <c r="G1326" s="8" t="n"/>
      <c r="H1326" s="8">
        <f>SUBSTITUTE(SUBSTITUTE(SUBSTITUTE(SUBSTITUTE(A1326,"(",""),")","")," ",""),CHAR(29),"")</f>
        <v/>
      </c>
    </row>
    <row r="1327">
      <c r="A1327" s="4" t="n"/>
      <c r="B1327" s="5">
        <f>IFERROR(MID(H1327,FIND("01",H1327)+2,14),"")</f>
        <v/>
      </c>
      <c r="C1327" s="4">
        <f>IF(A1327="","",IFERROR(VLOOKUP(B1327,TblArticles,2,FALSE),"GTIN inconnu"))</f>
        <v/>
      </c>
      <c r="D1327" s="5">
        <f>IF(A1327="","",IFERROR(VLOOKUP(B1327,TblArticles,3,FALSE),""))</f>
        <v/>
      </c>
      <c r="E1327" s="6">
        <f>IFERROR(DATE(2000+VALUE(MID(H1327,FIND("15",H1327,FIND("01",H1327)+16)+2,2)),VALUE(MID(H1327,FIND("15",H1327,FIND("01",H1327)+16)+4,2)),VALUE(MID(H1327,FIND("15",H1327,FIND("01",H1327)+16)+6,2))),"")</f>
        <v/>
      </c>
      <c r="F1327" s="5">
        <f>IFERROR(MID(H1327,FIND("10",H1327,FIND("15",H1327,FIND("01",H1327)+16)+8)+2,50),"")</f>
        <v/>
      </c>
      <c r="G1327" s="5" t="n"/>
      <c r="H1327" s="5">
        <f>SUBSTITUTE(SUBSTITUTE(SUBSTITUTE(SUBSTITUTE(A1327,"(",""),")","")," ",""),CHAR(29),"")</f>
        <v/>
      </c>
    </row>
    <row r="1328">
      <c r="A1328" s="7" t="n"/>
      <c r="B1328" s="8">
        <f>IFERROR(MID(H1328,FIND("01",H1328)+2,14),"")</f>
        <v/>
      </c>
      <c r="C1328" s="7">
        <f>IF(A1328="","",IFERROR(VLOOKUP(B1328,TblArticles,2,FALSE),"GTIN inconnu"))</f>
        <v/>
      </c>
      <c r="D1328" s="8">
        <f>IF(A1328="","",IFERROR(VLOOKUP(B1328,TblArticles,3,FALSE),""))</f>
        <v/>
      </c>
      <c r="E1328" s="9">
        <f>IFERROR(DATE(2000+VALUE(MID(H1328,FIND("15",H1328,FIND("01",H1328)+16)+2,2)),VALUE(MID(H1328,FIND("15",H1328,FIND("01",H1328)+16)+4,2)),VALUE(MID(H1328,FIND("15",H1328,FIND("01",H1328)+16)+6,2))),"")</f>
        <v/>
      </c>
      <c r="F1328" s="8">
        <f>IFERROR(MID(H1328,FIND("10",H1328,FIND("15",H1328,FIND("01",H1328)+16)+8)+2,50),"")</f>
        <v/>
      </c>
      <c r="G1328" s="8" t="n"/>
      <c r="H1328" s="8">
        <f>SUBSTITUTE(SUBSTITUTE(SUBSTITUTE(SUBSTITUTE(A1328,"(",""),")","")," ",""),CHAR(29),"")</f>
        <v/>
      </c>
    </row>
    <row r="1329">
      <c r="A1329" s="4" t="n"/>
      <c r="B1329" s="5">
        <f>IFERROR(MID(H1329,FIND("01",H1329)+2,14),"")</f>
        <v/>
      </c>
      <c r="C1329" s="4">
        <f>IF(A1329="","",IFERROR(VLOOKUP(B1329,TblArticles,2,FALSE),"GTIN inconnu"))</f>
        <v/>
      </c>
      <c r="D1329" s="5">
        <f>IF(A1329="","",IFERROR(VLOOKUP(B1329,TblArticles,3,FALSE),""))</f>
        <v/>
      </c>
      <c r="E1329" s="6">
        <f>IFERROR(DATE(2000+VALUE(MID(H1329,FIND("15",H1329,FIND("01",H1329)+16)+2,2)),VALUE(MID(H1329,FIND("15",H1329,FIND("01",H1329)+16)+4,2)),VALUE(MID(H1329,FIND("15",H1329,FIND("01",H1329)+16)+6,2))),"")</f>
        <v/>
      </c>
      <c r="F1329" s="5">
        <f>IFERROR(MID(H1329,FIND("10",H1329,FIND("15",H1329,FIND("01",H1329)+16)+8)+2,50),"")</f>
        <v/>
      </c>
      <c r="G1329" s="5" t="n"/>
      <c r="H1329" s="5">
        <f>SUBSTITUTE(SUBSTITUTE(SUBSTITUTE(SUBSTITUTE(A1329,"(",""),")","")," ",""),CHAR(29),"")</f>
        <v/>
      </c>
    </row>
    <row r="1330">
      <c r="A1330" s="7" t="n"/>
      <c r="B1330" s="8">
        <f>IFERROR(MID(H1330,FIND("01",H1330)+2,14),"")</f>
        <v/>
      </c>
      <c r="C1330" s="7">
        <f>IF(A1330="","",IFERROR(VLOOKUP(B1330,TblArticles,2,FALSE),"GTIN inconnu"))</f>
        <v/>
      </c>
      <c r="D1330" s="8">
        <f>IF(A1330="","",IFERROR(VLOOKUP(B1330,TblArticles,3,FALSE),""))</f>
        <v/>
      </c>
      <c r="E1330" s="9">
        <f>IFERROR(DATE(2000+VALUE(MID(H1330,FIND("15",H1330,FIND("01",H1330)+16)+2,2)),VALUE(MID(H1330,FIND("15",H1330,FIND("01",H1330)+16)+4,2)),VALUE(MID(H1330,FIND("15",H1330,FIND("01",H1330)+16)+6,2))),"")</f>
        <v/>
      </c>
      <c r="F1330" s="8">
        <f>IFERROR(MID(H1330,FIND("10",H1330,FIND("15",H1330,FIND("01",H1330)+16)+8)+2,50),"")</f>
        <v/>
      </c>
      <c r="G1330" s="8" t="n"/>
      <c r="H1330" s="8">
        <f>SUBSTITUTE(SUBSTITUTE(SUBSTITUTE(SUBSTITUTE(A1330,"(",""),")","")," ",""),CHAR(29),"")</f>
        <v/>
      </c>
    </row>
    <row r="1331">
      <c r="A1331" s="4" t="n"/>
      <c r="B1331" s="5">
        <f>IFERROR(MID(H1331,FIND("01",H1331)+2,14),"")</f>
        <v/>
      </c>
      <c r="C1331" s="4">
        <f>IF(A1331="","",IFERROR(VLOOKUP(B1331,TblArticles,2,FALSE),"GTIN inconnu"))</f>
        <v/>
      </c>
      <c r="D1331" s="5">
        <f>IF(A1331="","",IFERROR(VLOOKUP(B1331,TblArticles,3,FALSE),""))</f>
        <v/>
      </c>
      <c r="E1331" s="6">
        <f>IFERROR(DATE(2000+VALUE(MID(H1331,FIND("15",H1331,FIND("01",H1331)+16)+2,2)),VALUE(MID(H1331,FIND("15",H1331,FIND("01",H1331)+16)+4,2)),VALUE(MID(H1331,FIND("15",H1331,FIND("01",H1331)+16)+6,2))),"")</f>
        <v/>
      </c>
      <c r="F1331" s="5">
        <f>IFERROR(MID(H1331,FIND("10",H1331,FIND("15",H1331,FIND("01",H1331)+16)+8)+2,50),"")</f>
        <v/>
      </c>
      <c r="G1331" s="5" t="n"/>
      <c r="H1331" s="5">
        <f>SUBSTITUTE(SUBSTITUTE(SUBSTITUTE(SUBSTITUTE(A1331,"(",""),")","")," ",""),CHAR(29),"")</f>
        <v/>
      </c>
    </row>
    <row r="1332">
      <c r="A1332" s="7" t="n"/>
      <c r="B1332" s="8">
        <f>IFERROR(MID(H1332,FIND("01",H1332)+2,14),"")</f>
        <v/>
      </c>
      <c r="C1332" s="7">
        <f>IF(A1332="","",IFERROR(VLOOKUP(B1332,TblArticles,2,FALSE),"GTIN inconnu"))</f>
        <v/>
      </c>
      <c r="D1332" s="8">
        <f>IF(A1332="","",IFERROR(VLOOKUP(B1332,TblArticles,3,FALSE),""))</f>
        <v/>
      </c>
      <c r="E1332" s="9">
        <f>IFERROR(DATE(2000+VALUE(MID(H1332,FIND("15",H1332,FIND("01",H1332)+16)+2,2)),VALUE(MID(H1332,FIND("15",H1332,FIND("01",H1332)+16)+4,2)),VALUE(MID(H1332,FIND("15",H1332,FIND("01",H1332)+16)+6,2))),"")</f>
        <v/>
      </c>
      <c r="F1332" s="8">
        <f>IFERROR(MID(H1332,FIND("10",H1332,FIND("15",H1332,FIND("01",H1332)+16)+8)+2,50),"")</f>
        <v/>
      </c>
      <c r="G1332" s="8" t="n"/>
      <c r="H1332" s="8">
        <f>SUBSTITUTE(SUBSTITUTE(SUBSTITUTE(SUBSTITUTE(A1332,"(",""),")","")," ",""),CHAR(29),"")</f>
        <v/>
      </c>
    </row>
    <row r="1333">
      <c r="A1333" s="4" t="n"/>
      <c r="B1333" s="5">
        <f>IFERROR(MID(H1333,FIND("01",H1333)+2,14),"")</f>
        <v/>
      </c>
      <c r="C1333" s="4">
        <f>IF(A1333="","",IFERROR(VLOOKUP(B1333,TblArticles,2,FALSE),"GTIN inconnu"))</f>
        <v/>
      </c>
      <c r="D1333" s="5">
        <f>IF(A1333="","",IFERROR(VLOOKUP(B1333,TblArticles,3,FALSE),""))</f>
        <v/>
      </c>
      <c r="E1333" s="6">
        <f>IFERROR(DATE(2000+VALUE(MID(H1333,FIND("15",H1333,FIND("01",H1333)+16)+2,2)),VALUE(MID(H1333,FIND("15",H1333,FIND("01",H1333)+16)+4,2)),VALUE(MID(H1333,FIND("15",H1333,FIND("01",H1333)+16)+6,2))),"")</f>
        <v/>
      </c>
      <c r="F1333" s="5">
        <f>IFERROR(MID(H1333,FIND("10",H1333,FIND("15",H1333,FIND("01",H1333)+16)+8)+2,50),"")</f>
        <v/>
      </c>
      <c r="G1333" s="5" t="n"/>
      <c r="H1333" s="5">
        <f>SUBSTITUTE(SUBSTITUTE(SUBSTITUTE(SUBSTITUTE(A1333,"(",""),")","")," ",""),CHAR(29),"")</f>
        <v/>
      </c>
    </row>
    <row r="1334">
      <c r="A1334" s="7" t="n"/>
      <c r="B1334" s="8">
        <f>IFERROR(MID(H1334,FIND("01",H1334)+2,14),"")</f>
        <v/>
      </c>
      <c r="C1334" s="7">
        <f>IF(A1334="","",IFERROR(VLOOKUP(B1334,TblArticles,2,FALSE),"GTIN inconnu"))</f>
        <v/>
      </c>
      <c r="D1334" s="8">
        <f>IF(A1334="","",IFERROR(VLOOKUP(B1334,TblArticles,3,FALSE),""))</f>
        <v/>
      </c>
      <c r="E1334" s="9">
        <f>IFERROR(DATE(2000+VALUE(MID(H1334,FIND("15",H1334,FIND("01",H1334)+16)+2,2)),VALUE(MID(H1334,FIND("15",H1334,FIND("01",H1334)+16)+4,2)),VALUE(MID(H1334,FIND("15",H1334,FIND("01",H1334)+16)+6,2))),"")</f>
        <v/>
      </c>
      <c r="F1334" s="8">
        <f>IFERROR(MID(H1334,FIND("10",H1334,FIND("15",H1334,FIND("01",H1334)+16)+8)+2,50),"")</f>
        <v/>
      </c>
      <c r="G1334" s="8" t="n"/>
      <c r="H1334" s="8">
        <f>SUBSTITUTE(SUBSTITUTE(SUBSTITUTE(SUBSTITUTE(A1334,"(",""),")","")," ",""),CHAR(29),"")</f>
        <v/>
      </c>
    </row>
    <row r="1335">
      <c r="A1335" s="4" t="n"/>
      <c r="B1335" s="5">
        <f>IFERROR(MID(H1335,FIND("01",H1335)+2,14),"")</f>
        <v/>
      </c>
      <c r="C1335" s="4">
        <f>IF(A1335="","",IFERROR(VLOOKUP(B1335,TblArticles,2,FALSE),"GTIN inconnu"))</f>
        <v/>
      </c>
      <c r="D1335" s="5">
        <f>IF(A1335="","",IFERROR(VLOOKUP(B1335,TblArticles,3,FALSE),""))</f>
        <v/>
      </c>
      <c r="E1335" s="6">
        <f>IFERROR(DATE(2000+VALUE(MID(H1335,FIND("15",H1335,FIND("01",H1335)+16)+2,2)),VALUE(MID(H1335,FIND("15",H1335,FIND("01",H1335)+16)+4,2)),VALUE(MID(H1335,FIND("15",H1335,FIND("01",H1335)+16)+6,2))),"")</f>
        <v/>
      </c>
      <c r="F1335" s="5">
        <f>IFERROR(MID(H1335,FIND("10",H1335,FIND("15",H1335,FIND("01",H1335)+16)+8)+2,50),"")</f>
        <v/>
      </c>
      <c r="G1335" s="5" t="n"/>
      <c r="H1335" s="5">
        <f>SUBSTITUTE(SUBSTITUTE(SUBSTITUTE(SUBSTITUTE(A1335,"(",""),")","")," ",""),CHAR(29),"")</f>
        <v/>
      </c>
    </row>
    <row r="1336">
      <c r="A1336" s="7" t="n"/>
      <c r="B1336" s="8">
        <f>IFERROR(MID(H1336,FIND("01",H1336)+2,14),"")</f>
        <v/>
      </c>
      <c r="C1336" s="7">
        <f>IF(A1336="","",IFERROR(VLOOKUP(B1336,TblArticles,2,FALSE),"GTIN inconnu"))</f>
        <v/>
      </c>
      <c r="D1336" s="8">
        <f>IF(A1336="","",IFERROR(VLOOKUP(B1336,TblArticles,3,FALSE),""))</f>
        <v/>
      </c>
      <c r="E1336" s="9">
        <f>IFERROR(DATE(2000+VALUE(MID(H1336,FIND("15",H1336,FIND("01",H1336)+16)+2,2)),VALUE(MID(H1336,FIND("15",H1336,FIND("01",H1336)+16)+4,2)),VALUE(MID(H1336,FIND("15",H1336,FIND("01",H1336)+16)+6,2))),"")</f>
        <v/>
      </c>
      <c r="F1336" s="8">
        <f>IFERROR(MID(H1336,FIND("10",H1336,FIND("15",H1336,FIND("01",H1336)+16)+8)+2,50),"")</f>
        <v/>
      </c>
      <c r="G1336" s="8" t="n"/>
      <c r="H1336" s="8">
        <f>SUBSTITUTE(SUBSTITUTE(SUBSTITUTE(SUBSTITUTE(A1336,"(",""),")","")," ",""),CHAR(29),"")</f>
        <v/>
      </c>
    </row>
    <row r="1337">
      <c r="A1337" s="4" t="n"/>
      <c r="B1337" s="5">
        <f>IFERROR(MID(H1337,FIND("01",H1337)+2,14),"")</f>
        <v/>
      </c>
      <c r="C1337" s="4">
        <f>IF(A1337="","",IFERROR(VLOOKUP(B1337,TblArticles,2,FALSE),"GTIN inconnu"))</f>
        <v/>
      </c>
      <c r="D1337" s="5">
        <f>IF(A1337="","",IFERROR(VLOOKUP(B1337,TblArticles,3,FALSE),""))</f>
        <v/>
      </c>
      <c r="E1337" s="6">
        <f>IFERROR(DATE(2000+VALUE(MID(H1337,FIND("15",H1337,FIND("01",H1337)+16)+2,2)),VALUE(MID(H1337,FIND("15",H1337,FIND("01",H1337)+16)+4,2)),VALUE(MID(H1337,FIND("15",H1337,FIND("01",H1337)+16)+6,2))),"")</f>
        <v/>
      </c>
      <c r="F1337" s="5">
        <f>IFERROR(MID(H1337,FIND("10",H1337,FIND("15",H1337,FIND("01",H1337)+16)+8)+2,50),"")</f>
        <v/>
      </c>
      <c r="G1337" s="5" t="n"/>
      <c r="H1337" s="5">
        <f>SUBSTITUTE(SUBSTITUTE(SUBSTITUTE(SUBSTITUTE(A1337,"(",""),")","")," ",""),CHAR(29),"")</f>
        <v/>
      </c>
    </row>
    <row r="1338">
      <c r="A1338" s="7" t="n"/>
      <c r="B1338" s="8">
        <f>IFERROR(MID(H1338,FIND("01",H1338)+2,14),"")</f>
        <v/>
      </c>
      <c r="C1338" s="7">
        <f>IF(A1338="","",IFERROR(VLOOKUP(B1338,TblArticles,2,FALSE),"GTIN inconnu"))</f>
        <v/>
      </c>
      <c r="D1338" s="8">
        <f>IF(A1338="","",IFERROR(VLOOKUP(B1338,TblArticles,3,FALSE),""))</f>
        <v/>
      </c>
      <c r="E1338" s="9">
        <f>IFERROR(DATE(2000+VALUE(MID(H1338,FIND("15",H1338,FIND("01",H1338)+16)+2,2)),VALUE(MID(H1338,FIND("15",H1338,FIND("01",H1338)+16)+4,2)),VALUE(MID(H1338,FIND("15",H1338,FIND("01",H1338)+16)+6,2))),"")</f>
        <v/>
      </c>
      <c r="F1338" s="8">
        <f>IFERROR(MID(H1338,FIND("10",H1338,FIND("15",H1338,FIND("01",H1338)+16)+8)+2,50),"")</f>
        <v/>
      </c>
      <c r="G1338" s="8" t="n"/>
      <c r="H1338" s="8">
        <f>SUBSTITUTE(SUBSTITUTE(SUBSTITUTE(SUBSTITUTE(A1338,"(",""),")","")," ",""),CHAR(29),"")</f>
        <v/>
      </c>
    </row>
    <row r="1339">
      <c r="A1339" s="4" t="n"/>
      <c r="B1339" s="5">
        <f>IFERROR(MID(H1339,FIND("01",H1339)+2,14),"")</f>
        <v/>
      </c>
      <c r="C1339" s="4">
        <f>IF(A1339="","",IFERROR(VLOOKUP(B1339,TblArticles,2,FALSE),"GTIN inconnu"))</f>
        <v/>
      </c>
      <c r="D1339" s="5">
        <f>IF(A1339="","",IFERROR(VLOOKUP(B1339,TblArticles,3,FALSE),""))</f>
        <v/>
      </c>
      <c r="E1339" s="6">
        <f>IFERROR(DATE(2000+VALUE(MID(H1339,FIND("15",H1339,FIND("01",H1339)+16)+2,2)),VALUE(MID(H1339,FIND("15",H1339,FIND("01",H1339)+16)+4,2)),VALUE(MID(H1339,FIND("15",H1339,FIND("01",H1339)+16)+6,2))),"")</f>
        <v/>
      </c>
      <c r="F1339" s="5">
        <f>IFERROR(MID(H1339,FIND("10",H1339,FIND("15",H1339,FIND("01",H1339)+16)+8)+2,50),"")</f>
        <v/>
      </c>
      <c r="G1339" s="5" t="n"/>
      <c r="H1339" s="5">
        <f>SUBSTITUTE(SUBSTITUTE(SUBSTITUTE(SUBSTITUTE(A1339,"(",""),")","")," ",""),CHAR(29),"")</f>
        <v/>
      </c>
    </row>
    <row r="1340">
      <c r="A1340" s="7" t="n"/>
      <c r="B1340" s="8">
        <f>IFERROR(MID(H1340,FIND("01",H1340)+2,14),"")</f>
        <v/>
      </c>
      <c r="C1340" s="7">
        <f>IF(A1340="","",IFERROR(VLOOKUP(B1340,TblArticles,2,FALSE),"GTIN inconnu"))</f>
        <v/>
      </c>
      <c r="D1340" s="8">
        <f>IF(A1340="","",IFERROR(VLOOKUP(B1340,TblArticles,3,FALSE),""))</f>
        <v/>
      </c>
      <c r="E1340" s="9">
        <f>IFERROR(DATE(2000+VALUE(MID(H1340,FIND("15",H1340,FIND("01",H1340)+16)+2,2)),VALUE(MID(H1340,FIND("15",H1340,FIND("01",H1340)+16)+4,2)),VALUE(MID(H1340,FIND("15",H1340,FIND("01",H1340)+16)+6,2))),"")</f>
        <v/>
      </c>
      <c r="F1340" s="8">
        <f>IFERROR(MID(H1340,FIND("10",H1340,FIND("15",H1340,FIND("01",H1340)+16)+8)+2,50),"")</f>
        <v/>
      </c>
      <c r="G1340" s="8" t="n"/>
      <c r="H1340" s="8">
        <f>SUBSTITUTE(SUBSTITUTE(SUBSTITUTE(SUBSTITUTE(A1340,"(",""),")","")," ",""),CHAR(29),"")</f>
        <v/>
      </c>
    </row>
    <row r="1341">
      <c r="A1341" s="4" t="n"/>
      <c r="B1341" s="5">
        <f>IFERROR(MID(H1341,FIND("01",H1341)+2,14),"")</f>
        <v/>
      </c>
      <c r="C1341" s="4">
        <f>IF(A1341="","",IFERROR(VLOOKUP(B1341,TblArticles,2,FALSE),"GTIN inconnu"))</f>
        <v/>
      </c>
      <c r="D1341" s="5">
        <f>IF(A1341="","",IFERROR(VLOOKUP(B1341,TblArticles,3,FALSE),""))</f>
        <v/>
      </c>
      <c r="E1341" s="6">
        <f>IFERROR(DATE(2000+VALUE(MID(H1341,FIND("15",H1341,FIND("01",H1341)+16)+2,2)),VALUE(MID(H1341,FIND("15",H1341,FIND("01",H1341)+16)+4,2)),VALUE(MID(H1341,FIND("15",H1341,FIND("01",H1341)+16)+6,2))),"")</f>
        <v/>
      </c>
      <c r="F1341" s="5">
        <f>IFERROR(MID(H1341,FIND("10",H1341,FIND("15",H1341,FIND("01",H1341)+16)+8)+2,50),"")</f>
        <v/>
      </c>
      <c r="G1341" s="5" t="n"/>
      <c r="H1341" s="5">
        <f>SUBSTITUTE(SUBSTITUTE(SUBSTITUTE(SUBSTITUTE(A1341,"(",""),")","")," ",""),CHAR(29),"")</f>
        <v/>
      </c>
    </row>
    <row r="1342">
      <c r="A1342" s="7" t="n"/>
      <c r="B1342" s="8">
        <f>IFERROR(MID(H1342,FIND("01",H1342)+2,14),"")</f>
        <v/>
      </c>
      <c r="C1342" s="7">
        <f>IF(A1342="","",IFERROR(VLOOKUP(B1342,TblArticles,2,FALSE),"GTIN inconnu"))</f>
        <v/>
      </c>
      <c r="D1342" s="8">
        <f>IF(A1342="","",IFERROR(VLOOKUP(B1342,TblArticles,3,FALSE),""))</f>
        <v/>
      </c>
      <c r="E1342" s="9">
        <f>IFERROR(DATE(2000+VALUE(MID(H1342,FIND("15",H1342,FIND("01",H1342)+16)+2,2)),VALUE(MID(H1342,FIND("15",H1342,FIND("01",H1342)+16)+4,2)),VALUE(MID(H1342,FIND("15",H1342,FIND("01",H1342)+16)+6,2))),"")</f>
        <v/>
      </c>
      <c r="F1342" s="8">
        <f>IFERROR(MID(H1342,FIND("10",H1342,FIND("15",H1342,FIND("01",H1342)+16)+8)+2,50),"")</f>
        <v/>
      </c>
      <c r="G1342" s="8" t="n"/>
      <c r="H1342" s="8">
        <f>SUBSTITUTE(SUBSTITUTE(SUBSTITUTE(SUBSTITUTE(A1342,"(",""),")","")," ",""),CHAR(29),"")</f>
        <v/>
      </c>
    </row>
    <row r="1343">
      <c r="A1343" s="4" t="n"/>
      <c r="B1343" s="5">
        <f>IFERROR(MID(H1343,FIND("01",H1343)+2,14),"")</f>
        <v/>
      </c>
      <c r="C1343" s="4">
        <f>IF(A1343="","",IFERROR(VLOOKUP(B1343,TblArticles,2,FALSE),"GTIN inconnu"))</f>
        <v/>
      </c>
      <c r="D1343" s="5">
        <f>IF(A1343="","",IFERROR(VLOOKUP(B1343,TblArticles,3,FALSE),""))</f>
        <v/>
      </c>
      <c r="E1343" s="6">
        <f>IFERROR(DATE(2000+VALUE(MID(H1343,FIND("15",H1343,FIND("01",H1343)+16)+2,2)),VALUE(MID(H1343,FIND("15",H1343,FIND("01",H1343)+16)+4,2)),VALUE(MID(H1343,FIND("15",H1343,FIND("01",H1343)+16)+6,2))),"")</f>
        <v/>
      </c>
      <c r="F1343" s="5">
        <f>IFERROR(MID(H1343,FIND("10",H1343,FIND("15",H1343,FIND("01",H1343)+16)+8)+2,50),"")</f>
        <v/>
      </c>
      <c r="G1343" s="5" t="n"/>
      <c r="H1343" s="5">
        <f>SUBSTITUTE(SUBSTITUTE(SUBSTITUTE(SUBSTITUTE(A1343,"(",""),")","")," ",""),CHAR(29),"")</f>
        <v/>
      </c>
    </row>
    <row r="1344">
      <c r="A1344" s="7" t="n"/>
      <c r="B1344" s="8">
        <f>IFERROR(MID(H1344,FIND("01",H1344)+2,14),"")</f>
        <v/>
      </c>
      <c r="C1344" s="7">
        <f>IF(A1344="","",IFERROR(VLOOKUP(B1344,TblArticles,2,FALSE),"GTIN inconnu"))</f>
        <v/>
      </c>
      <c r="D1344" s="8">
        <f>IF(A1344="","",IFERROR(VLOOKUP(B1344,TblArticles,3,FALSE),""))</f>
        <v/>
      </c>
      <c r="E1344" s="9">
        <f>IFERROR(DATE(2000+VALUE(MID(H1344,FIND("15",H1344,FIND("01",H1344)+16)+2,2)),VALUE(MID(H1344,FIND("15",H1344,FIND("01",H1344)+16)+4,2)),VALUE(MID(H1344,FIND("15",H1344,FIND("01",H1344)+16)+6,2))),"")</f>
        <v/>
      </c>
      <c r="F1344" s="8">
        <f>IFERROR(MID(H1344,FIND("10",H1344,FIND("15",H1344,FIND("01",H1344)+16)+8)+2,50),"")</f>
        <v/>
      </c>
      <c r="G1344" s="8" t="n"/>
      <c r="H1344" s="8">
        <f>SUBSTITUTE(SUBSTITUTE(SUBSTITUTE(SUBSTITUTE(A1344,"(",""),")","")," ",""),CHAR(29),"")</f>
        <v/>
      </c>
    </row>
    <row r="1345">
      <c r="A1345" s="4" t="n"/>
      <c r="B1345" s="5">
        <f>IFERROR(MID(H1345,FIND("01",H1345)+2,14),"")</f>
        <v/>
      </c>
      <c r="C1345" s="4">
        <f>IF(A1345="","",IFERROR(VLOOKUP(B1345,TblArticles,2,FALSE),"GTIN inconnu"))</f>
        <v/>
      </c>
      <c r="D1345" s="5">
        <f>IF(A1345="","",IFERROR(VLOOKUP(B1345,TblArticles,3,FALSE),""))</f>
        <v/>
      </c>
      <c r="E1345" s="6">
        <f>IFERROR(DATE(2000+VALUE(MID(H1345,FIND("15",H1345,FIND("01",H1345)+16)+2,2)),VALUE(MID(H1345,FIND("15",H1345,FIND("01",H1345)+16)+4,2)),VALUE(MID(H1345,FIND("15",H1345,FIND("01",H1345)+16)+6,2))),"")</f>
        <v/>
      </c>
      <c r="F1345" s="5">
        <f>IFERROR(MID(H1345,FIND("10",H1345,FIND("15",H1345,FIND("01",H1345)+16)+8)+2,50),"")</f>
        <v/>
      </c>
      <c r="G1345" s="5" t="n"/>
      <c r="H1345" s="5">
        <f>SUBSTITUTE(SUBSTITUTE(SUBSTITUTE(SUBSTITUTE(A1345,"(",""),")","")," ",""),CHAR(29),"")</f>
        <v/>
      </c>
    </row>
    <row r="1346">
      <c r="A1346" s="7" t="n"/>
      <c r="B1346" s="8">
        <f>IFERROR(MID(H1346,FIND("01",H1346)+2,14),"")</f>
        <v/>
      </c>
      <c r="C1346" s="7">
        <f>IF(A1346="","",IFERROR(VLOOKUP(B1346,TblArticles,2,FALSE),"GTIN inconnu"))</f>
        <v/>
      </c>
      <c r="D1346" s="8">
        <f>IF(A1346="","",IFERROR(VLOOKUP(B1346,TblArticles,3,FALSE),""))</f>
        <v/>
      </c>
      <c r="E1346" s="9">
        <f>IFERROR(DATE(2000+VALUE(MID(H1346,FIND("15",H1346,FIND("01",H1346)+16)+2,2)),VALUE(MID(H1346,FIND("15",H1346,FIND("01",H1346)+16)+4,2)),VALUE(MID(H1346,FIND("15",H1346,FIND("01",H1346)+16)+6,2))),"")</f>
        <v/>
      </c>
      <c r="F1346" s="8">
        <f>IFERROR(MID(H1346,FIND("10",H1346,FIND("15",H1346,FIND("01",H1346)+16)+8)+2,50),"")</f>
        <v/>
      </c>
      <c r="G1346" s="8" t="n"/>
      <c r="H1346" s="8">
        <f>SUBSTITUTE(SUBSTITUTE(SUBSTITUTE(SUBSTITUTE(A1346,"(",""),")","")," ",""),CHAR(29),"")</f>
        <v/>
      </c>
    </row>
    <row r="1347">
      <c r="A1347" s="4" t="n"/>
      <c r="B1347" s="5">
        <f>IFERROR(MID(H1347,FIND("01",H1347)+2,14),"")</f>
        <v/>
      </c>
      <c r="C1347" s="4">
        <f>IF(A1347="","",IFERROR(VLOOKUP(B1347,TblArticles,2,FALSE),"GTIN inconnu"))</f>
        <v/>
      </c>
      <c r="D1347" s="5">
        <f>IF(A1347="","",IFERROR(VLOOKUP(B1347,TblArticles,3,FALSE),""))</f>
        <v/>
      </c>
      <c r="E1347" s="6">
        <f>IFERROR(DATE(2000+VALUE(MID(H1347,FIND("15",H1347,FIND("01",H1347)+16)+2,2)),VALUE(MID(H1347,FIND("15",H1347,FIND("01",H1347)+16)+4,2)),VALUE(MID(H1347,FIND("15",H1347,FIND("01",H1347)+16)+6,2))),"")</f>
        <v/>
      </c>
      <c r="F1347" s="5">
        <f>IFERROR(MID(H1347,FIND("10",H1347,FIND("15",H1347,FIND("01",H1347)+16)+8)+2,50),"")</f>
        <v/>
      </c>
      <c r="G1347" s="5" t="n"/>
      <c r="H1347" s="5">
        <f>SUBSTITUTE(SUBSTITUTE(SUBSTITUTE(SUBSTITUTE(A1347,"(",""),")","")," ",""),CHAR(29),"")</f>
        <v/>
      </c>
    </row>
    <row r="1348">
      <c r="A1348" s="7" t="n"/>
      <c r="B1348" s="8">
        <f>IFERROR(MID(H1348,FIND("01",H1348)+2,14),"")</f>
        <v/>
      </c>
      <c r="C1348" s="7">
        <f>IF(A1348="","",IFERROR(VLOOKUP(B1348,TblArticles,2,FALSE),"GTIN inconnu"))</f>
        <v/>
      </c>
      <c r="D1348" s="8">
        <f>IF(A1348="","",IFERROR(VLOOKUP(B1348,TblArticles,3,FALSE),""))</f>
        <v/>
      </c>
      <c r="E1348" s="9">
        <f>IFERROR(DATE(2000+VALUE(MID(H1348,FIND("15",H1348,FIND("01",H1348)+16)+2,2)),VALUE(MID(H1348,FIND("15",H1348,FIND("01",H1348)+16)+4,2)),VALUE(MID(H1348,FIND("15",H1348,FIND("01",H1348)+16)+6,2))),"")</f>
        <v/>
      </c>
      <c r="F1348" s="8">
        <f>IFERROR(MID(H1348,FIND("10",H1348,FIND("15",H1348,FIND("01",H1348)+16)+8)+2,50),"")</f>
        <v/>
      </c>
      <c r="G1348" s="8" t="n"/>
      <c r="H1348" s="8">
        <f>SUBSTITUTE(SUBSTITUTE(SUBSTITUTE(SUBSTITUTE(A1348,"(",""),")","")," ",""),CHAR(29),"")</f>
        <v/>
      </c>
    </row>
    <row r="1349">
      <c r="A1349" s="4" t="n"/>
      <c r="B1349" s="5">
        <f>IFERROR(MID(H1349,FIND("01",H1349)+2,14),"")</f>
        <v/>
      </c>
      <c r="C1349" s="4">
        <f>IF(A1349="","",IFERROR(VLOOKUP(B1349,TblArticles,2,FALSE),"GTIN inconnu"))</f>
        <v/>
      </c>
      <c r="D1349" s="5">
        <f>IF(A1349="","",IFERROR(VLOOKUP(B1349,TblArticles,3,FALSE),""))</f>
        <v/>
      </c>
      <c r="E1349" s="6">
        <f>IFERROR(DATE(2000+VALUE(MID(H1349,FIND("15",H1349,FIND("01",H1349)+16)+2,2)),VALUE(MID(H1349,FIND("15",H1349,FIND("01",H1349)+16)+4,2)),VALUE(MID(H1349,FIND("15",H1349,FIND("01",H1349)+16)+6,2))),"")</f>
        <v/>
      </c>
      <c r="F1349" s="5">
        <f>IFERROR(MID(H1349,FIND("10",H1349,FIND("15",H1349,FIND("01",H1349)+16)+8)+2,50),"")</f>
        <v/>
      </c>
      <c r="G1349" s="5" t="n"/>
      <c r="H1349" s="5">
        <f>SUBSTITUTE(SUBSTITUTE(SUBSTITUTE(SUBSTITUTE(A1349,"(",""),")","")," ",""),CHAR(29),"")</f>
        <v/>
      </c>
    </row>
    <row r="1350">
      <c r="A1350" s="7" t="n"/>
      <c r="B1350" s="8">
        <f>IFERROR(MID(H1350,FIND("01",H1350)+2,14),"")</f>
        <v/>
      </c>
      <c r="C1350" s="7">
        <f>IF(A1350="","",IFERROR(VLOOKUP(B1350,TblArticles,2,FALSE),"GTIN inconnu"))</f>
        <v/>
      </c>
      <c r="D1350" s="8">
        <f>IF(A1350="","",IFERROR(VLOOKUP(B1350,TblArticles,3,FALSE),""))</f>
        <v/>
      </c>
      <c r="E1350" s="9">
        <f>IFERROR(DATE(2000+VALUE(MID(H1350,FIND("15",H1350,FIND("01",H1350)+16)+2,2)),VALUE(MID(H1350,FIND("15",H1350,FIND("01",H1350)+16)+4,2)),VALUE(MID(H1350,FIND("15",H1350,FIND("01",H1350)+16)+6,2))),"")</f>
        <v/>
      </c>
      <c r="F1350" s="8">
        <f>IFERROR(MID(H1350,FIND("10",H1350,FIND("15",H1350,FIND("01",H1350)+16)+8)+2,50),"")</f>
        <v/>
      </c>
      <c r="G1350" s="8" t="n"/>
      <c r="H1350" s="8">
        <f>SUBSTITUTE(SUBSTITUTE(SUBSTITUTE(SUBSTITUTE(A1350,"(",""),")","")," ",""),CHAR(29),"")</f>
        <v/>
      </c>
    </row>
    <row r="1351">
      <c r="A1351" s="4" t="n"/>
      <c r="B1351" s="5">
        <f>IFERROR(MID(H1351,FIND("01",H1351)+2,14),"")</f>
        <v/>
      </c>
      <c r="C1351" s="4">
        <f>IF(A1351="","",IFERROR(VLOOKUP(B1351,TblArticles,2,FALSE),"GTIN inconnu"))</f>
        <v/>
      </c>
      <c r="D1351" s="5">
        <f>IF(A1351="","",IFERROR(VLOOKUP(B1351,TblArticles,3,FALSE),""))</f>
        <v/>
      </c>
      <c r="E1351" s="6">
        <f>IFERROR(DATE(2000+VALUE(MID(H1351,FIND("15",H1351,FIND("01",H1351)+16)+2,2)),VALUE(MID(H1351,FIND("15",H1351,FIND("01",H1351)+16)+4,2)),VALUE(MID(H1351,FIND("15",H1351,FIND("01",H1351)+16)+6,2))),"")</f>
        <v/>
      </c>
      <c r="F1351" s="5">
        <f>IFERROR(MID(H1351,FIND("10",H1351,FIND("15",H1351,FIND("01",H1351)+16)+8)+2,50),"")</f>
        <v/>
      </c>
      <c r="G1351" s="5" t="n"/>
      <c r="H1351" s="5">
        <f>SUBSTITUTE(SUBSTITUTE(SUBSTITUTE(SUBSTITUTE(A1351,"(",""),")","")," ",""),CHAR(29),"")</f>
        <v/>
      </c>
    </row>
    <row r="1352">
      <c r="A1352" s="7" t="n"/>
      <c r="B1352" s="8">
        <f>IFERROR(MID(H1352,FIND("01",H1352)+2,14),"")</f>
        <v/>
      </c>
      <c r="C1352" s="7">
        <f>IF(A1352="","",IFERROR(VLOOKUP(B1352,TblArticles,2,FALSE),"GTIN inconnu"))</f>
        <v/>
      </c>
      <c r="D1352" s="8">
        <f>IF(A1352="","",IFERROR(VLOOKUP(B1352,TblArticles,3,FALSE),""))</f>
        <v/>
      </c>
      <c r="E1352" s="9">
        <f>IFERROR(DATE(2000+VALUE(MID(H1352,FIND("15",H1352,FIND("01",H1352)+16)+2,2)),VALUE(MID(H1352,FIND("15",H1352,FIND("01",H1352)+16)+4,2)),VALUE(MID(H1352,FIND("15",H1352,FIND("01",H1352)+16)+6,2))),"")</f>
        <v/>
      </c>
      <c r="F1352" s="8">
        <f>IFERROR(MID(H1352,FIND("10",H1352,FIND("15",H1352,FIND("01",H1352)+16)+8)+2,50),"")</f>
        <v/>
      </c>
      <c r="G1352" s="8" t="n"/>
      <c r="H1352" s="8">
        <f>SUBSTITUTE(SUBSTITUTE(SUBSTITUTE(SUBSTITUTE(A1352,"(",""),")","")," ",""),CHAR(29),"")</f>
        <v/>
      </c>
    </row>
    <row r="1353">
      <c r="A1353" s="4" t="n"/>
      <c r="B1353" s="5">
        <f>IFERROR(MID(H1353,FIND("01",H1353)+2,14),"")</f>
        <v/>
      </c>
      <c r="C1353" s="4">
        <f>IF(A1353="","",IFERROR(VLOOKUP(B1353,TblArticles,2,FALSE),"GTIN inconnu"))</f>
        <v/>
      </c>
      <c r="D1353" s="5">
        <f>IF(A1353="","",IFERROR(VLOOKUP(B1353,TblArticles,3,FALSE),""))</f>
        <v/>
      </c>
      <c r="E1353" s="6">
        <f>IFERROR(DATE(2000+VALUE(MID(H1353,FIND("15",H1353,FIND("01",H1353)+16)+2,2)),VALUE(MID(H1353,FIND("15",H1353,FIND("01",H1353)+16)+4,2)),VALUE(MID(H1353,FIND("15",H1353,FIND("01",H1353)+16)+6,2))),"")</f>
        <v/>
      </c>
      <c r="F1353" s="5">
        <f>IFERROR(MID(H1353,FIND("10",H1353,FIND("15",H1353,FIND("01",H1353)+16)+8)+2,50),"")</f>
        <v/>
      </c>
      <c r="G1353" s="5" t="n"/>
      <c r="H1353" s="5">
        <f>SUBSTITUTE(SUBSTITUTE(SUBSTITUTE(SUBSTITUTE(A1353,"(",""),")","")," ",""),CHAR(29),"")</f>
        <v/>
      </c>
    </row>
    <row r="1354">
      <c r="A1354" s="7" t="n"/>
      <c r="B1354" s="8">
        <f>IFERROR(MID(H1354,FIND("01",H1354)+2,14),"")</f>
        <v/>
      </c>
      <c r="C1354" s="7">
        <f>IF(A1354="","",IFERROR(VLOOKUP(B1354,TblArticles,2,FALSE),"GTIN inconnu"))</f>
        <v/>
      </c>
      <c r="D1354" s="8">
        <f>IF(A1354="","",IFERROR(VLOOKUP(B1354,TblArticles,3,FALSE),""))</f>
        <v/>
      </c>
      <c r="E1354" s="9">
        <f>IFERROR(DATE(2000+VALUE(MID(H1354,FIND("15",H1354,FIND("01",H1354)+16)+2,2)),VALUE(MID(H1354,FIND("15",H1354,FIND("01",H1354)+16)+4,2)),VALUE(MID(H1354,FIND("15",H1354,FIND("01",H1354)+16)+6,2))),"")</f>
        <v/>
      </c>
      <c r="F1354" s="8">
        <f>IFERROR(MID(H1354,FIND("10",H1354,FIND("15",H1354,FIND("01",H1354)+16)+8)+2,50),"")</f>
        <v/>
      </c>
      <c r="G1354" s="8" t="n"/>
      <c r="H1354" s="8">
        <f>SUBSTITUTE(SUBSTITUTE(SUBSTITUTE(SUBSTITUTE(A1354,"(",""),")","")," ",""),CHAR(29),"")</f>
        <v/>
      </c>
    </row>
    <row r="1355">
      <c r="A1355" s="4" t="n"/>
      <c r="B1355" s="5">
        <f>IFERROR(MID(H1355,FIND("01",H1355)+2,14),"")</f>
        <v/>
      </c>
      <c r="C1355" s="4">
        <f>IF(A1355="","",IFERROR(VLOOKUP(B1355,TblArticles,2,FALSE),"GTIN inconnu"))</f>
        <v/>
      </c>
      <c r="D1355" s="5">
        <f>IF(A1355="","",IFERROR(VLOOKUP(B1355,TblArticles,3,FALSE),""))</f>
        <v/>
      </c>
      <c r="E1355" s="6">
        <f>IFERROR(DATE(2000+VALUE(MID(H1355,FIND("15",H1355,FIND("01",H1355)+16)+2,2)),VALUE(MID(H1355,FIND("15",H1355,FIND("01",H1355)+16)+4,2)),VALUE(MID(H1355,FIND("15",H1355,FIND("01",H1355)+16)+6,2))),"")</f>
        <v/>
      </c>
      <c r="F1355" s="5">
        <f>IFERROR(MID(H1355,FIND("10",H1355,FIND("15",H1355,FIND("01",H1355)+16)+8)+2,50),"")</f>
        <v/>
      </c>
      <c r="G1355" s="5" t="n"/>
      <c r="H1355" s="5">
        <f>SUBSTITUTE(SUBSTITUTE(SUBSTITUTE(SUBSTITUTE(A1355,"(",""),")","")," ",""),CHAR(29),"")</f>
        <v/>
      </c>
    </row>
    <row r="1356">
      <c r="A1356" s="7" t="n"/>
      <c r="B1356" s="8">
        <f>IFERROR(MID(H1356,FIND("01",H1356)+2,14),"")</f>
        <v/>
      </c>
      <c r="C1356" s="7">
        <f>IF(A1356="","",IFERROR(VLOOKUP(B1356,TblArticles,2,FALSE),"GTIN inconnu"))</f>
        <v/>
      </c>
      <c r="D1356" s="8">
        <f>IF(A1356="","",IFERROR(VLOOKUP(B1356,TblArticles,3,FALSE),""))</f>
        <v/>
      </c>
      <c r="E1356" s="9">
        <f>IFERROR(DATE(2000+VALUE(MID(H1356,FIND("15",H1356,FIND("01",H1356)+16)+2,2)),VALUE(MID(H1356,FIND("15",H1356,FIND("01",H1356)+16)+4,2)),VALUE(MID(H1356,FIND("15",H1356,FIND("01",H1356)+16)+6,2))),"")</f>
        <v/>
      </c>
      <c r="F1356" s="8">
        <f>IFERROR(MID(H1356,FIND("10",H1356,FIND("15",H1356,FIND("01",H1356)+16)+8)+2,50),"")</f>
        <v/>
      </c>
      <c r="G1356" s="8" t="n"/>
      <c r="H1356" s="8">
        <f>SUBSTITUTE(SUBSTITUTE(SUBSTITUTE(SUBSTITUTE(A1356,"(",""),")","")," ",""),CHAR(29),"")</f>
        <v/>
      </c>
    </row>
    <row r="1357">
      <c r="A1357" s="4" t="n"/>
      <c r="B1357" s="5">
        <f>IFERROR(MID(H1357,FIND("01",H1357)+2,14),"")</f>
        <v/>
      </c>
      <c r="C1357" s="4">
        <f>IF(A1357="","",IFERROR(VLOOKUP(B1357,TblArticles,2,FALSE),"GTIN inconnu"))</f>
        <v/>
      </c>
      <c r="D1357" s="5">
        <f>IF(A1357="","",IFERROR(VLOOKUP(B1357,TblArticles,3,FALSE),""))</f>
        <v/>
      </c>
      <c r="E1357" s="6">
        <f>IFERROR(DATE(2000+VALUE(MID(H1357,FIND("15",H1357,FIND("01",H1357)+16)+2,2)),VALUE(MID(H1357,FIND("15",H1357,FIND("01",H1357)+16)+4,2)),VALUE(MID(H1357,FIND("15",H1357,FIND("01",H1357)+16)+6,2))),"")</f>
        <v/>
      </c>
      <c r="F1357" s="5">
        <f>IFERROR(MID(H1357,FIND("10",H1357,FIND("15",H1357,FIND("01",H1357)+16)+8)+2,50),"")</f>
        <v/>
      </c>
      <c r="G1357" s="5" t="n"/>
      <c r="H1357" s="5">
        <f>SUBSTITUTE(SUBSTITUTE(SUBSTITUTE(SUBSTITUTE(A1357,"(",""),")","")," ",""),CHAR(29),"")</f>
        <v/>
      </c>
    </row>
    <row r="1358">
      <c r="A1358" s="7" t="n"/>
      <c r="B1358" s="8">
        <f>IFERROR(MID(H1358,FIND("01",H1358)+2,14),"")</f>
        <v/>
      </c>
      <c r="C1358" s="7">
        <f>IF(A1358="","",IFERROR(VLOOKUP(B1358,TblArticles,2,FALSE),"GTIN inconnu"))</f>
        <v/>
      </c>
      <c r="D1358" s="8">
        <f>IF(A1358="","",IFERROR(VLOOKUP(B1358,TblArticles,3,FALSE),""))</f>
        <v/>
      </c>
      <c r="E1358" s="9">
        <f>IFERROR(DATE(2000+VALUE(MID(H1358,FIND("15",H1358,FIND("01",H1358)+16)+2,2)),VALUE(MID(H1358,FIND("15",H1358,FIND("01",H1358)+16)+4,2)),VALUE(MID(H1358,FIND("15",H1358,FIND("01",H1358)+16)+6,2))),"")</f>
        <v/>
      </c>
      <c r="F1358" s="8">
        <f>IFERROR(MID(H1358,FIND("10",H1358,FIND("15",H1358,FIND("01",H1358)+16)+8)+2,50),"")</f>
        <v/>
      </c>
      <c r="G1358" s="8" t="n"/>
      <c r="H1358" s="8">
        <f>SUBSTITUTE(SUBSTITUTE(SUBSTITUTE(SUBSTITUTE(A1358,"(",""),")","")," ",""),CHAR(29),"")</f>
        <v/>
      </c>
    </row>
    <row r="1359">
      <c r="A1359" s="4" t="n"/>
      <c r="B1359" s="5">
        <f>IFERROR(MID(H1359,FIND("01",H1359)+2,14),"")</f>
        <v/>
      </c>
      <c r="C1359" s="4">
        <f>IF(A1359="","",IFERROR(VLOOKUP(B1359,TblArticles,2,FALSE),"GTIN inconnu"))</f>
        <v/>
      </c>
      <c r="D1359" s="5">
        <f>IF(A1359="","",IFERROR(VLOOKUP(B1359,TblArticles,3,FALSE),""))</f>
        <v/>
      </c>
      <c r="E1359" s="6">
        <f>IFERROR(DATE(2000+VALUE(MID(H1359,FIND("15",H1359,FIND("01",H1359)+16)+2,2)),VALUE(MID(H1359,FIND("15",H1359,FIND("01",H1359)+16)+4,2)),VALUE(MID(H1359,FIND("15",H1359,FIND("01",H1359)+16)+6,2))),"")</f>
        <v/>
      </c>
      <c r="F1359" s="5">
        <f>IFERROR(MID(H1359,FIND("10",H1359,FIND("15",H1359,FIND("01",H1359)+16)+8)+2,50),"")</f>
        <v/>
      </c>
      <c r="G1359" s="5" t="n"/>
      <c r="H1359" s="5">
        <f>SUBSTITUTE(SUBSTITUTE(SUBSTITUTE(SUBSTITUTE(A1359,"(",""),")","")," ",""),CHAR(29),"")</f>
        <v/>
      </c>
    </row>
    <row r="1360">
      <c r="A1360" s="7" t="n"/>
      <c r="B1360" s="8">
        <f>IFERROR(MID(H1360,FIND("01",H1360)+2,14),"")</f>
        <v/>
      </c>
      <c r="C1360" s="7">
        <f>IF(A1360="","",IFERROR(VLOOKUP(B1360,TblArticles,2,FALSE),"GTIN inconnu"))</f>
        <v/>
      </c>
      <c r="D1360" s="8">
        <f>IF(A1360="","",IFERROR(VLOOKUP(B1360,TblArticles,3,FALSE),""))</f>
        <v/>
      </c>
      <c r="E1360" s="9">
        <f>IFERROR(DATE(2000+VALUE(MID(H1360,FIND("15",H1360,FIND("01",H1360)+16)+2,2)),VALUE(MID(H1360,FIND("15",H1360,FIND("01",H1360)+16)+4,2)),VALUE(MID(H1360,FIND("15",H1360,FIND("01",H1360)+16)+6,2))),"")</f>
        <v/>
      </c>
      <c r="F1360" s="8">
        <f>IFERROR(MID(H1360,FIND("10",H1360,FIND("15",H1360,FIND("01",H1360)+16)+8)+2,50),"")</f>
        <v/>
      </c>
      <c r="G1360" s="8" t="n"/>
      <c r="H1360" s="8">
        <f>SUBSTITUTE(SUBSTITUTE(SUBSTITUTE(SUBSTITUTE(A1360,"(",""),")","")," ",""),CHAR(29),"")</f>
        <v/>
      </c>
    </row>
    <row r="1361">
      <c r="A1361" s="4" t="n"/>
      <c r="B1361" s="5">
        <f>IFERROR(MID(H1361,FIND("01",H1361)+2,14),"")</f>
        <v/>
      </c>
      <c r="C1361" s="4">
        <f>IF(A1361="","",IFERROR(VLOOKUP(B1361,TblArticles,2,FALSE),"GTIN inconnu"))</f>
        <v/>
      </c>
      <c r="D1361" s="5">
        <f>IF(A1361="","",IFERROR(VLOOKUP(B1361,TblArticles,3,FALSE),""))</f>
        <v/>
      </c>
      <c r="E1361" s="6">
        <f>IFERROR(DATE(2000+VALUE(MID(H1361,FIND("15",H1361,FIND("01",H1361)+16)+2,2)),VALUE(MID(H1361,FIND("15",H1361,FIND("01",H1361)+16)+4,2)),VALUE(MID(H1361,FIND("15",H1361,FIND("01",H1361)+16)+6,2))),"")</f>
        <v/>
      </c>
      <c r="F1361" s="5">
        <f>IFERROR(MID(H1361,FIND("10",H1361,FIND("15",H1361,FIND("01",H1361)+16)+8)+2,50),"")</f>
        <v/>
      </c>
      <c r="G1361" s="5" t="n"/>
      <c r="H1361" s="5">
        <f>SUBSTITUTE(SUBSTITUTE(SUBSTITUTE(SUBSTITUTE(A1361,"(",""),")","")," ",""),CHAR(29),"")</f>
        <v/>
      </c>
    </row>
    <row r="1362">
      <c r="A1362" s="7" t="n"/>
      <c r="B1362" s="8">
        <f>IFERROR(MID(H1362,FIND("01",H1362)+2,14),"")</f>
        <v/>
      </c>
      <c r="C1362" s="7">
        <f>IF(A1362="","",IFERROR(VLOOKUP(B1362,TblArticles,2,FALSE),"GTIN inconnu"))</f>
        <v/>
      </c>
      <c r="D1362" s="8">
        <f>IF(A1362="","",IFERROR(VLOOKUP(B1362,TblArticles,3,FALSE),""))</f>
        <v/>
      </c>
      <c r="E1362" s="9">
        <f>IFERROR(DATE(2000+VALUE(MID(H1362,FIND("15",H1362,FIND("01",H1362)+16)+2,2)),VALUE(MID(H1362,FIND("15",H1362,FIND("01",H1362)+16)+4,2)),VALUE(MID(H1362,FIND("15",H1362,FIND("01",H1362)+16)+6,2))),"")</f>
        <v/>
      </c>
      <c r="F1362" s="8">
        <f>IFERROR(MID(H1362,FIND("10",H1362,FIND("15",H1362,FIND("01",H1362)+16)+8)+2,50),"")</f>
        <v/>
      </c>
      <c r="G1362" s="8" t="n"/>
      <c r="H1362" s="8">
        <f>SUBSTITUTE(SUBSTITUTE(SUBSTITUTE(SUBSTITUTE(A1362,"(",""),")","")," ",""),CHAR(29),"")</f>
        <v/>
      </c>
    </row>
    <row r="1363">
      <c r="A1363" s="4" t="n"/>
      <c r="B1363" s="5">
        <f>IFERROR(MID(H1363,FIND("01",H1363)+2,14),"")</f>
        <v/>
      </c>
      <c r="C1363" s="4">
        <f>IF(A1363="","",IFERROR(VLOOKUP(B1363,TblArticles,2,FALSE),"GTIN inconnu"))</f>
        <v/>
      </c>
      <c r="D1363" s="5">
        <f>IF(A1363="","",IFERROR(VLOOKUP(B1363,TblArticles,3,FALSE),""))</f>
        <v/>
      </c>
      <c r="E1363" s="6">
        <f>IFERROR(DATE(2000+VALUE(MID(H1363,FIND("15",H1363,FIND("01",H1363)+16)+2,2)),VALUE(MID(H1363,FIND("15",H1363,FIND("01",H1363)+16)+4,2)),VALUE(MID(H1363,FIND("15",H1363,FIND("01",H1363)+16)+6,2))),"")</f>
        <v/>
      </c>
      <c r="F1363" s="5">
        <f>IFERROR(MID(H1363,FIND("10",H1363,FIND("15",H1363,FIND("01",H1363)+16)+8)+2,50),"")</f>
        <v/>
      </c>
      <c r="G1363" s="5" t="n"/>
      <c r="H1363" s="5">
        <f>SUBSTITUTE(SUBSTITUTE(SUBSTITUTE(SUBSTITUTE(A1363,"(",""),")","")," ",""),CHAR(29),"")</f>
        <v/>
      </c>
    </row>
    <row r="1364">
      <c r="A1364" s="7" t="n"/>
      <c r="B1364" s="8">
        <f>IFERROR(MID(H1364,FIND("01",H1364)+2,14),"")</f>
        <v/>
      </c>
      <c r="C1364" s="7">
        <f>IF(A1364="","",IFERROR(VLOOKUP(B1364,TblArticles,2,FALSE),"GTIN inconnu"))</f>
        <v/>
      </c>
      <c r="D1364" s="8">
        <f>IF(A1364="","",IFERROR(VLOOKUP(B1364,TblArticles,3,FALSE),""))</f>
        <v/>
      </c>
      <c r="E1364" s="9">
        <f>IFERROR(DATE(2000+VALUE(MID(H1364,FIND("15",H1364,FIND("01",H1364)+16)+2,2)),VALUE(MID(H1364,FIND("15",H1364,FIND("01",H1364)+16)+4,2)),VALUE(MID(H1364,FIND("15",H1364,FIND("01",H1364)+16)+6,2))),"")</f>
        <v/>
      </c>
      <c r="F1364" s="8">
        <f>IFERROR(MID(H1364,FIND("10",H1364,FIND("15",H1364,FIND("01",H1364)+16)+8)+2,50),"")</f>
        <v/>
      </c>
      <c r="G1364" s="8" t="n"/>
      <c r="H1364" s="8">
        <f>SUBSTITUTE(SUBSTITUTE(SUBSTITUTE(SUBSTITUTE(A1364,"(",""),")","")," ",""),CHAR(29),"")</f>
        <v/>
      </c>
    </row>
    <row r="1365">
      <c r="A1365" s="4" t="n"/>
      <c r="B1365" s="5">
        <f>IFERROR(MID(H1365,FIND("01",H1365)+2,14),"")</f>
        <v/>
      </c>
      <c r="C1365" s="4">
        <f>IF(A1365="","",IFERROR(VLOOKUP(B1365,TblArticles,2,FALSE),"GTIN inconnu"))</f>
        <v/>
      </c>
      <c r="D1365" s="5">
        <f>IF(A1365="","",IFERROR(VLOOKUP(B1365,TblArticles,3,FALSE),""))</f>
        <v/>
      </c>
      <c r="E1365" s="6">
        <f>IFERROR(DATE(2000+VALUE(MID(H1365,FIND("15",H1365,FIND("01",H1365)+16)+2,2)),VALUE(MID(H1365,FIND("15",H1365,FIND("01",H1365)+16)+4,2)),VALUE(MID(H1365,FIND("15",H1365,FIND("01",H1365)+16)+6,2))),"")</f>
        <v/>
      </c>
      <c r="F1365" s="5">
        <f>IFERROR(MID(H1365,FIND("10",H1365,FIND("15",H1365,FIND("01",H1365)+16)+8)+2,50),"")</f>
        <v/>
      </c>
      <c r="G1365" s="5" t="n"/>
      <c r="H1365" s="5">
        <f>SUBSTITUTE(SUBSTITUTE(SUBSTITUTE(SUBSTITUTE(A1365,"(",""),")","")," ",""),CHAR(29),"")</f>
        <v/>
      </c>
    </row>
    <row r="1366">
      <c r="A1366" s="7" t="n"/>
      <c r="B1366" s="8">
        <f>IFERROR(MID(H1366,FIND("01",H1366)+2,14),"")</f>
        <v/>
      </c>
      <c r="C1366" s="7">
        <f>IF(A1366="","",IFERROR(VLOOKUP(B1366,TblArticles,2,FALSE),"GTIN inconnu"))</f>
        <v/>
      </c>
      <c r="D1366" s="8">
        <f>IF(A1366="","",IFERROR(VLOOKUP(B1366,TblArticles,3,FALSE),""))</f>
        <v/>
      </c>
      <c r="E1366" s="9">
        <f>IFERROR(DATE(2000+VALUE(MID(H1366,FIND("15",H1366,FIND("01",H1366)+16)+2,2)),VALUE(MID(H1366,FIND("15",H1366,FIND("01",H1366)+16)+4,2)),VALUE(MID(H1366,FIND("15",H1366,FIND("01",H1366)+16)+6,2))),"")</f>
        <v/>
      </c>
      <c r="F1366" s="8">
        <f>IFERROR(MID(H1366,FIND("10",H1366,FIND("15",H1366,FIND("01",H1366)+16)+8)+2,50),"")</f>
        <v/>
      </c>
      <c r="G1366" s="8" t="n"/>
      <c r="H1366" s="8">
        <f>SUBSTITUTE(SUBSTITUTE(SUBSTITUTE(SUBSTITUTE(A1366,"(",""),")","")," ",""),CHAR(29),"")</f>
        <v/>
      </c>
    </row>
    <row r="1367">
      <c r="A1367" s="4" t="n"/>
      <c r="B1367" s="5">
        <f>IFERROR(MID(H1367,FIND("01",H1367)+2,14),"")</f>
        <v/>
      </c>
      <c r="C1367" s="4">
        <f>IF(A1367="","",IFERROR(VLOOKUP(B1367,TblArticles,2,FALSE),"GTIN inconnu"))</f>
        <v/>
      </c>
      <c r="D1367" s="5">
        <f>IF(A1367="","",IFERROR(VLOOKUP(B1367,TblArticles,3,FALSE),""))</f>
        <v/>
      </c>
      <c r="E1367" s="6">
        <f>IFERROR(DATE(2000+VALUE(MID(H1367,FIND("15",H1367,FIND("01",H1367)+16)+2,2)),VALUE(MID(H1367,FIND("15",H1367,FIND("01",H1367)+16)+4,2)),VALUE(MID(H1367,FIND("15",H1367,FIND("01",H1367)+16)+6,2))),"")</f>
        <v/>
      </c>
      <c r="F1367" s="5">
        <f>IFERROR(MID(H1367,FIND("10",H1367,FIND("15",H1367,FIND("01",H1367)+16)+8)+2,50),"")</f>
        <v/>
      </c>
      <c r="G1367" s="5" t="n"/>
      <c r="H1367" s="5">
        <f>SUBSTITUTE(SUBSTITUTE(SUBSTITUTE(SUBSTITUTE(A1367,"(",""),")","")," ",""),CHAR(29),"")</f>
        <v/>
      </c>
    </row>
    <row r="1368">
      <c r="A1368" s="7" t="n"/>
      <c r="B1368" s="8">
        <f>IFERROR(MID(H1368,FIND("01",H1368)+2,14),"")</f>
        <v/>
      </c>
      <c r="C1368" s="7">
        <f>IF(A1368="","",IFERROR(VLOOKUP(B1368,TblArticles,2,FALSE),"GTIN inconnu"))</f>
        <v/>
      </c>
      <c r="D1368" s="8">
        <f>IF(A1368="","",IFERROR(VLOOKUP(B1368,TblArticles,3,FALSE),""))</f>
        <v/>
      </c>
      <c r="E1368" s="9">
        <f>IFERROR(DATE(2000+VALUE(MID(H1368,FIND("15",H1368,FIND("01",H1368)+16)+2,2)),VALUE(MID(H1368,FIND("15",H1368,FIND("01",H1368)+16)+4,2)),VALUE(MID(H1368,FIND("15",H1368,FIND("01",H1368)+16)+6,2))),"")</f>
        <v/>
      </c>
      <c r="F1368" s="8">
        <f>IFERROR(MID(H1368,FIND("10",H1368,FIND("15",H1368,FIND("01",H1368)+16)+8)+2,50),"")</f>
        <v/>
      </c>
      <c r="G1368" s="8" t="n"/>
      <c r="H1368" s="8">
        <f>SUBSTITUTE(SUBSTITUTE(SUBSTITUTE(SUBSTITUTE(A1368,"(",""),")","")," ",""),CHAR(29),"")</f>
        <v/>
      </c>
    </row>
    <row r="1369">
      <c r="A1369" s="4" t="n"/>
      <c r="B1369" s="5">
        <f>IFERROR(MID(H1369,FIND("01",H1369)+2,14),"")</f>
        <v/>
      </c>
      <c r="C1369" s="4">
        <f>IF(A1369="","",IFERROR(VLOOKUP(B1369,TblArticles,2,FALSE),"GTIN inconnu"))</f>
        <v/>
      </c>
      <c r="D1369" s="5">
        <f>IF(A1369="","",IFERROR(VLOOKUP(B1369,TblArticles,3,FALSE),""))</f>
        <v/>
      </c>
      <c r="E1369" s="6">
        <f>IFERROR(DATE(2000+VALUE(MID(H1369,FIND("15",H1369,FIND("01",H1369)+16)+2,2)),VALUE(MID(H1369,FIND("15",H1369,FIND("01",H1369)+16)+4,2)),VALUE(MID(H1369,FIND("15",H1369,FIND("01",H1369)+16)+6,2))),"")</f>
        <v/>
      </c>
      <c r="F1369" s="5">
        <f>IFERROR(MID(H1369,FIND("10",H1369,FIND("15",H1369,FIND("01",H1369)+16)+8)+2,50),"")</f>
        <v/>
      </c>
      <c r="G1369" s="5" t="n"/>
      <c r="H1369" s="5">
        <f>SUBSTITUTE(SUBSTITUTE(SUBSTITUTE(SUBSTITUTE(A1369,"(",""),")","")," ",""),CHAR(29),"")</f>
        <v/>
      </c>
    </row>
    <row r="1370">
      <c r="A1370" s="7" t="n"/>
      <c r="B1370" s="8">
        <f>IFERROR(MID(H1370,FIND("01",H1370)+2,14),"")</f>
        <v/>
      </c>
      <c r="C1370" s="7">
        <f>IF(A1370="","",IFERROR(VLOOKUP(B1370,TblArticles,2,FALSE),"GTIN inconnu"))</f>
        <v/>
      </c>
      <c r="D1370" s="8">
        <f>IF(A1370="","",IFERROR(VLOOKUP(B1370,TblArticles,3,FALSE),""))</f>
        <v/>
      </c>
      <c r="E1370" s="9">
        <f>IFERROR(DATE(2000+VALUE(MID(H1370,FIND("15",H1370,FIND("01",H1370)+16)+2,2)),VALUE(MID(H1370,FIND("15",H1370,FIND("01",H1370)+16)+4,2)),VALUE(MID(H1370,FIND("15",H1370,FIND("01",H1370)+16)+6,2))),"")</f>
        <v/>
      </c>
      <c r="F1370" s="8">
        <f>IFERROR(MID(H1370,FIND("10",H1370,FIND("15",H1370,FIND("01",H1370)+16)+8)+2,50),"")</f>
        <v/>
      </c>
      <c r="G1370" s="8" t="n"/>
      <c r="H1370" s="8">
        <f>SUBSTITUTE(SUBSTITUTE(SUBSTITUTE(SUBSTITUTE(A1370,"(",""),")","")," ",""),CHAR(29),"")</f>
        <v/>
      </c>
    </row>
    <row r="1371">
      <c r="A1371" s="4" t="n"/>
      <c r="B1371" s="5">
        <f>IFERROR(MID(H1371,FIND("01",H1371)+2,14),"")</f>
        <v/>
      </c>
      <c r="C1371" s="4">
        <f>IF(A1371="","",IFERROR(VLOOKUP(B1371,TblArticles,2,FALSE),"GTIN inconnu"))</f>
        <v/>
      </c>
      <c r="D1371" s="5">
        <f>IF(A1371="","",IFERROR(VLOOKUP(B1371,TblArticles,3,FALSE),""))</f>
        <v/>
      </c>
      <c r="E1371" s="6">
        <f>IFERROR(DATE(2000+VALUE(MID(H1371,FIND("15",H1371,FIND("01",H1371)+16)+2,2)),VALUE(MID(H1371,FIND("15",H1371,FIND("01",H1371)+16)+4,2)),VALUE(MID(H1371,FIND("15",H1371,FIND("01",H1371)+16)+6,2))),"")</f>
        <v/>
      </c>
      <c r="F1371" s="5">
        <f>IFERROR(MID(H1371,FIND("10",H1371,FIND("15",H1371,FIND("01",H1371)+16)+8)+2,50),"")</f>
        <v/>
      </c>
      <c r="G1371" s="5" t="n"/>
      <c r="H1371" s="5">
        <f>SUBSTITUTE(SUBSTITUTE(SUBSTITUTE(SUBSTITUTE(A1371,"(",""),")","")," ",""),CHAR(29),"")</f>
        <v/>
      </c>
    </row>
    <row r="1372">
      <c r="A1372" s="7" t="n"/>
      <c r="B1372" s="8">
        <f>IFERROR(MID(H1372,FIND("01",H1372)+2,14),"")</f>
        <v/>
      </c>
      <c r="C1372" s="7">
        <f>IF(A1372="","",IFERROR(VLOOKUP(B1372,TblArticles,2,FALSE),"GTIN inconnu"))</f>
        <v/>
      </c>
      <c r="D1372" s="8">
        <f>IF(A1372="","",IFERROR(VLOOKUP(B1372,TblArticles,3,FALSE),""))</f>
        <v/>
      </c>
      <c r="E1372" s="9">
        <f>IFERROR(DATE(2000+VALUE(MID(H1372,FIND("15",H1372,FIND("01",H1372)+16)+2,2)),VALUE(MID(H1372,FIND("15",H1372,FIND("01",H1372)+16)+4,2)),VALUE(MID(H1372,FIND("15",H1372,FIND("01",H1372)+16)+6,2))),"")</f>
        <v/>
      </c>
      <c r="F1372" s="8">
        <f>IFERROR(MID(H1372,FIND("10",H1372,FIND("15",H1372,FIND("01",H1372)+16)+8)+2,50),"")</f>
        <v/>
      </c>
      <c r="G1372" s="8" t="n"/>
      <c r="H1372" s="8">
        <f>SUBSTITUTE(SUBSTITUTE(SUBSTITUTE(SUBSTITUTE(A1372,"(",""),")","")," ",""),CHAR(29),"")</f>
        <v/>
      </c>
    </row>
    <row r="1373">
      <c r="A1373" s="4" t="n"/>
      <c r="B1373" s="5">
        <f>IFERROR(MID(H1373,FIND("01",H1373)+2,14),"")</f>
        <v/>
      </c>
      <c r="C1373" s="4">
        <f>IF(A1373="","",IFERROR(VLOOKUP(B1373,TblArticles,2,FALSE),"GTIN inconnu"))</f>
        <v/>
      </c>
      <c r="D1373" s="5">
        <f>IF(A1373="","",IFERROR(VLOOKUP(B1373,TblArticles,3,FALSE),""))</f>
        <v/>
      </c>
      <c r="E1373" s="6">
        <f>IFERROR(DATE(2000+VALUE(MID(H1373,FIND("15",H1373,FIND("01",H1373)+16)+2,2)),VALUE(MID(H1373,FIND("15",H1373,FIND("01",H1373)+16)+4,2)),VALUE(MID(H1373,FIND("15",H1373,FIND("01",H1373)+16)+6,2))),"")</f>
        <v/>
      </c>
      <c r="F1373" s="5">
        <f>IFERROR(MID(H1373,FIND("10",H1373,FIND("15",H1373,FIND("01",H1373)+16)+8)+2,50),"")</f>
        <v/>
      </c>
      <c r="G1373" s="5" t="n"/>
      <c r="H1373" s="5">
        <f>SUBSTITUTE(SUBSTITUTE(SUBSTITUTE(SUBSTITUTE(A1373,"(",""),")","")," ",""),CHAR(29),"")</f>
        <v/>
      </c>
    </row>
    <row r="1374">
      <c r="A1374" s="7" t="n"/>
      <c r="B1374" s="8">
        <f>IFERROR(MID(H1374,FIND("01",H1374)+2,14),"")</f>
        <v/>
      </c>
      <c r="C1374" s="7">
        <f>IF(A1374="","",IFERROR(VLOOKUP(B1374,TblArticles,2,FALSE),"GTIN inconnu"))</f>
        <v/>
      </c>
      <c r="D1374" s="8">
        <f>IF(A1374="","",IFERROR(VLOOKUP(B1374,TblArticles,3,FALSE),""))</f>
        <v/>
      </c>
      <c r="E1374" s="9">
        <f>IFERROR(DATE(2000+VALUE(MID(H1374,FIND("15",H1374,FIND("01",H1374)+16)+2,2)),VALUE(MID(H1374,FIND("15",H1374,FIND("01",H1374)+16)+4,2)),VALUE(MID(H1374,FIND("15",H1374,FIND("01",H1374)+16)+6,2))),"")</f>
        <v/>
      </c>
      <c r="F1374" s="8">
        <f>IFERROR(MID(H1374,FIND("10",H1374,FIND("15",H1374,FIND("01",H1374)+16)+8)+2,50),"")</f>
        <v/>
      </c>
      <c r="G1374" s="8" t="n"/>
      <c r="H1374" s="8">
        <f>SUBSTITUTE(SUBSTITUTE(SUBSTITUTE(SUBSTITUTE(A1374,"(",""),")","")," ",""),CHAR(29),"")</f>
        <v/>
      </c>
    </row>
    <row r="1375">
      <c r="A1375" s="4" t="n"/>
      <c r="B1375" s="5">
        <f>IFERROR(MID(H1375,FIND("01",H1375)+2,14),"")</f>
        <v/>
      </c>
      <c r="C1375" s="4">
        <f>IF(A1375="","",IFERROR(VLOOKUP(B1375,TblArticles,2,FALSE),"GTIN inconnu"))</f>
        <v/>
      </c>
      <c r="D1375" s="5">
        <f>IF(A1375="","",IFERROR(VLOOKUP(B1375,TblArticles,3,FALSE),""))</f>
        <v/>
      </c>
      <c r="E1375" s="6">
        <f>IFERROR(DATE(2000+VALUE(MID(H1375,FIND("15",H1375,FIND("01",H1375)+16)+2,2)),VALUE(MID(H1375,FIND("15",H1375,FIND("01",H1375)+16)+4,2)),VALUE(MID(H1375,FIND("15",H1375,FIND("01",H1375)+16)+6,2))),"")</f>
        <v/>
      </c>
      <c r="F1375" s="5">
        <f>IFERROR(MID(H1375,FIND("10",H1375,FIND("15",H1375,FIND("01",H1375)+16)+8)+2,50),"")</f>
        <v/>
      </c>
      <c r="G1375" s="5" t="n"/>
      <c r="H1375" s="5">
        <f>SUBSTITUTE(SUBSTITUTE(SUBSTITUTE(SUBSTITUTE(A1375,"(",""),")","")," ",""),CHAR(29),"")</f>
        <v/>
      </c>
    </row>
    <row r="1376">
      <c r="A1376" s="7" t="n"/>
      <c r="B1376" s="8">
        <f>IFERROR(MID(H1376,FIND("01",H1376)+2,14),"")</f>
        <v/>
      </c>
      <c r="C1376" s="7">
        <f>IF(A1376="","",IFERROR(VLOOKUP(B1376,TblArticles,2,FALSE),"GTIN inconnu"))</f>
        <v/>
      </c>
      <c r="D1376" s="8">
        <f>IF(A1376="","",IFERROR(VLOOKUP(B1376,TblArticles,3,FALSE),""))</f>
        <v/>
      </c>
      <c r="E1376" s="9">
        <f>IFERROR(DATE(2000+VALUE(MID(H1376,FIND("15",H1376,FIND("01",H1376)+16)+2,2)),VALUE(MID(H1376,FIND("15",H1376,FIND("01",H1376)+16)+4,2)),VALUE(MID(H1376,FIND("15",H1376,FIND("01",H1376)+16)+6,2))),"")</f>
        <v/>
      </c>
      <c r="F1376" s="8">
        <f>IFERROR(MID(H1376,FIND("10",H1376,FIND("15",H1376,FIND("01",H1376)+16)+8)+2,50),"")</f>
        <v/>
      </c>
      <c r="G1376" s="8" t="n"/>
      <c r="H1376" s="8">
        <f>SUBSTITUTE(SUBSTITUTE(SUBSTITUTE(SUBSTITUTE(A1376,"(",""),")","")," ",""),CHAR(29),"")</f>
        <v/>
      </c>
    </row>
    <row r="1377">
      <c r="A1377" s="4" t="n"/>
      <c r="B1377" s="5">
        <f>IFERROR(MID(H1377,FIND("01",H1377)+2,14),"")</f>
        <v/>
      </c>
      <c r="C1377" s="4">
        <f>IF(A1377="","",IFERROR(VLOOKUP(B1377,TblArticles,2,FALSE),"GTIN inconnu"))</f>
        <v/>
      </c>
      <c r="D1377" s="5">
        <f>IF(A1377="","",IFERROR(VLOOKUP(B1377,TblArticles,3,FALSE),""))</f>
        <v/>
      </c>
      <c r="E1377" s="6">
        <f>IFERROR(DATE(2000+VALUE(MID(H1377,FIND("15",H1377,FIND("01",H1377)+16)+2,2)),VALUE(MID(H1377,FIND("15",H1377,FIND("01",H1377)+16)+4,2)),VALUE(MID(H1377,FIND("15",H1377,FIND("01",H1377)+16)+6,2))),"")</f>
        <v/>
      </c>
      <c r="F1377" s="5">
        <f>IFERROR(MID(H1377,FIND("10",H1377,FIND("15",H1377,FIND("01",H1377)+16)+8)+2,50),"")</f>
        <v/>
      </c>
      <c r="G1377" s="5" t="n"/>
      <c r="H1377" s="5">
        <f>SUBSTITUTE(SUBSTITUTE(SUBSTITUTE(SUBSTITUTE(A1377,"(",""),")","")," ",""),CHAR(29),"")</f>
        <v/>
      </c>
    </row>
    <row r="1378">
      <c r="A1378" s="7" t="n"/>
      <c r="B1378" s="8">
        <f>IFERROR(MID(H1378,FIND("01",H1378)+2,14),"")</f>
        <v/>
      </c>
      <c r="C1378" s="7">
        <f>IF(A1378="","",IFERROR(VLOOKUP(B1378,TblArticles,2,FALSE),"GTIN inconnu"))</f>
        <v/>
      </c>
      <c r="D1378" s="8">
        <f>IF(A1378="","",IFERROR(VLOOKUP(B1378,TblArticles,3,FALSE),""))</f>
        <v/>
      </c>
      <c r="E1378" s="9">
        <f>IFERROR(DATE(2000+VALUE(MID(H1378,FIND("15",H1378,FIND("01",H1378)+16)+2,2)),VALUE(MID(H1378,FIND("15",H1378,FIND("01",H1378)+16)+4,2)),VALUE(MID(H1378,FIND("15",H1378,FIND("01",H1378)+16)+6,2))),"")</f>
        <v/>
      </c>
      <c r="F1378" s="8">
        <f>IFERROR(MID(H1378,FIND("10",H1378,FIND("15",H1378,FIND("01",H1378)+16)+8)+2,50),"")</f>
        <v/>
      </c>
      <c r="G1378" s="8" t="n"/>
      <c r="H1378" s="8">
        <f>SUBSTITUTE(SUBSTITUTE(SUBSTITUTE(SUBSTITUTE(A1378,"(",""),")","")," ",""),CHAR(29),"")</f>
        <v/>
      </c>
    </row>
    <row r="1379">
      <c r="A1379" s="4" t="n"/>
      <c r="B1379" s="5">
        <f>IFERROR(MID(H1379,FIND("01",H1379)+2,14),"")</f>
        <v/>
      </c>
      <c r="C1379" s="4">
        <f>IF(A1379="","",IFERROR(VLOOKUP(B1379,TblArticles,2,FALSE),"GTIN inconnu"))</f>
        <v/>
      </c>
      <c r="D1379" s="5">
        <f>IF(A1379="","",IFERROR(VLOOKUP(B1379,TblArticles,3,FALSE),""))</f>
        <v/>
      </c>
      <c r="E1379" s="6">
        <f>IFERROR(DATE(2000+VALUE(MID(H1379,FIND("15",H1379,FIND("01",H1379)+16)+2,2)),VALUE(MID(H1379,FIND("15",H1379,FIND("01",H1379)+16)+4,2)),VALUE(MID(H1379,FIND("15",H1379,FIND("01",H1379)+16)+6,2))),"")</f>
        <v/>
      </c>
      <c r="F1379" s="5">
        <f>IFERROR(MID(H1379,FIND("10",H1379,FIND("15",H1379,FIND("01",H1379)+16)+8)+2,50),"")</f>
        <v/>
      </c>
      <c r="G1379" s="5" t="n"/>
      <c r="H1379" s="5">
        <f>SUBSTITUTE(SUBSTITUTE(SUBSTITUTE(SUBSTITUTE(A1379,"(",""),")","")," ",""),CHAR(29),"")</f>
        <v/>
      </c>
    </row>
    <row r="1380">
      <c r="A1380" s="7" t="n"/>
      <c r="B1380" s="8">
        <f>IFERROR(MID(H1380,FIND("01",H1380)+2,14),"")</f>
        <v/>
      </c>
      <c r="C1380" s="7">
        <f>IF(A1380="","",IFERROR(VLOOKUP(B1380,TblArticles,2,FALSE),"GTIN inconnu"))</f>
        <v/>
      </c>
      <c r="D1380" s="8">
        <f>IF(A1380="","",IFERROR(VLOOKUP(B1380,TblArticles,3,FALSE),""))</f>
        <v/>
      </c>
      <c r="E1380" s="9">
        <f>IFERROR(DATE(2000+VALUE(MID(H1380,FIND("15",H1380,FIND("01",H1380)+16)+2,2)),VALUE(MID(H1380,FIND("15",H1380,FIND("01",H1380)+16)+4,2)),VALUE(MID(H1380,FIND("15",H1380,FIND("01",H1380)+16)+6,2))),"")</f>
        <v/>
      </c>
      <c r="F1380" s="8">
        <f>IFERROR(MID(H1380,FIND("10",H1380,FIND("15",H1380,FIND("01",H1380)+16)+8)+2,50),"")</f>
        <v/>
      </c>
      <c r="G1380" s="8" t="n"/>
      <c r="H1380" s="8">
        <f>SUBSTITUTE(SUBSTITUTE(SUBSTITUTE(SUBSTITUTE(A1380,"(",""),")","")," ",""),CHAR(29),"")</f>
        <v/>
      </c>
    </row>
    <row r="1381">
      <c r="A1381" s="4" t="n"/>
      <c r="B1381" s="5">
        <f>IFERROR(MID(H1381,FIND("01",H1381)+2,14),"")</f>
        <v/>
      </c>
      <c r="C1381" s="4">
        <f>IF(A1381="","",IFERROR(VLOOKUP(B1381,TblArticles,2,FALSE),"GTIN inconnu"))</f>
        <v/>
      </c>
      <c r="D1381" s="5">
        <f>IF(A1381="","",IFERROR(VLOOKUP(B1381,TblArticles,3,FALSE),""))</f>
        <v/>
      </c>
      <c r="E1381" s="6">
        <f>IFERROR(DATE(2000+VALUE(MID(H1381,FIND("15",H1381,FIND("01",H1381)+16)+2,2)),VALUE(MID(H1381,FIND("15",H1381,FIND("01",H1381)+16)+4,2)),VALUE(MID(H1381,FIND("15",H1381,FIND("01",H1381)+16)+6,2))),"")</f>
        <v/>
      </c>
      <c r="F1381" s="5">
        <f>IFERROR(MID(H1381,FIND("10",H1381,FIND("15",H1381,FIND("01",H1381)+16)+8)+2,50),"")</f>
        <v/>
      </c>
      <c r="G1381" s="5" t="n"/>
      <c r="H1381" s="5">
        <f>SUBSTITUTE(SUBSTITUTE(SUBSTITUTE(SUBSTITUTE(A1381,"(",""),")","")," ",""),CHAR(29),"")</f>
        <v/>
      </c>
    </row>
    <row r="1382">
      <c r="A1382" s="7" t="n"/>
      <c r="B1382" s="8">
        <f>IFERROR(MID(H1382,FIND("01",H1382)+2,14),"")</f>
        <v/>
      </c>
      <c r="C1382" s="7">
        <f>IF(A1382="","",IFERROR(VLOOKUP(B1382,TblArticles,2,FALSE),"GTIN inconnu"))</f>
        <v/>
      </c>
      <c r="D1382" s="8">
        <f>IF(A1382="","",IFERROR(VLOOKUP(B1382,TblArticles,3,FALSE),""))</f>
        <v/>
      </c>
      <c r="E1382" s="9">
        <f>IFERROR(DATE(2000+VALUE(MID(H1382,FIND("15",H1382,FIND("01",H1382)+16)+2,2)),VALUE(MID(H1382,FIND("15",H1382,FIND("01",H1382)+16)+4,2)),VALUE(MID(H1382,FIND("15",H1382,FIND("01",H1382)+16)+6,2))),"")</f>
        <v/>
      </c>
      <c r="F1382" s="8">
        <f>IFERROR(MID(H1382,FIND("10",H1382,FIND("15",H1382,FIND("01",H1382)+16)+8)+2,50),"")</f>
        <v/>
      </c>
      <c r="G1382" s="8" t="n"/>
      <c r="H1382" s="8">
        <f>SUBSTITUTE(SUBSTITUTE(SUBSTITUTE(SUBSTITUTE(A1382,"(",""),")","")," ",""),CHAR(29),"")</f>
        <v/>
      </c>
    </row>
    <row r="1383">
      <c r="A1383" s="4" t="n"/>
      <c r="B1383" s="5">
        <f>IFERROR(MID(H1383,FIND("01",H1383)+2,14),"")</f>
        <v/>
      </c>
      <c r="C1383" s="4">
        <f>IF(A1383="","",IFERROR(VLOOKUP(B1383,TblArticles,2,FALSE),"GTIN inconnu"))</f>
        <v/>
      </c>
      <c r="D1383" s="5">
        <f>IF(A1383="","",IFERROR(VLOOKUP(B1383,TblArticles,3,FALSE),""))</f>
        <v/>
      </c>
      <c r="E1383" s="6">
        <f>IFERROR(DATE(2000+VALUE(MID(H1383,FIND("15",H1383,FIND("01",H1383)+16)+2,2)),VALUE(MID(H1383,FIND("15",H1383,FIND("01",H1383)+16)+4,2)),VALUE(MID(H1383,FIND("15",H1383,FIND("01",H1383)+16)+6,2))),"")</f>
        <v/>
      </c>
      <c r="F1383" s="5">
        <f>IFERROR(MID(H1383,FIND("10",H1383,FIND("15",H1383,FIND("01",H1383)+16)+8)+2,50),"")</f>
        <v/>
      </c>
      <c r="G1383" s="5" t="n"/>
      <c r="H1383" s="5">
        <f>SUBSTITUTE(SUBSTITUTE(SUBSTITUTE(SUBSTITUTE(A1383,"(",""),")","")," ",""),CHAR(29),"")</f>
        <v/>
      </c>
    </row>
    <row r="1384">
      <c r="A1384" s="7" t="n"/>
      <c r="B1384" s="8">
        <f>IFERROR(MID(H1384,FIND("01",H1384)+2,14),"")</f>
        <v/>
      </c>
      <c r="C1384" s="7">
        <f>IF(A1384="","",IFERROR(VLOOKUP(B1384,TblArticles,2,FALSE),"GTIN inconnu"))</f>
        <v/>
      </c>
      <c r="D1384" s="8">
        <f>IF(A1384="","",IFERROR(VLOOKUP(B1384,TblArticles,3,FALSE),""))</f>
        <v/>
      </c>
      <c r="E1384" s="9">
        <f>IFERROR(DATE(2000+VALUE(MID(H1384,FIND("15",H1384,FIND("01",H1384)+16)+2,2)),VALUE(MID(H1384,FIND("15",H1384,FIND("01",H1384)+16)+4,2)),VALUE(MID(H1384,FIND("15",H1384,FIND("01",H1384)+16)+6,2))),"")</f>
        <v/>
      </c>
      <c r="F1384" s="8">
        <f>IFERROR(MID(H1384,FIND("10",H1384,FIND("15",H1384,FIND("01",H1384)+16)+8)+2,50),"")</f>
        <v/>
      </c>
      <c r="G1384" s="8" t="n"/>
      <c r="H1384" s="8">
        <f>SUBSTITUTE(SUBSTITUTE(SUBSTITUTE(SUBSTITUTE(A1384,"(",""),")","")," ",""),CHAR(29),"")</f>
        <v/>
      </c>
    </row>
    <row r="1385">
      <c r="A1385" s="4" t="n"/>
      <c r="B1385" s="5">
        <f>IFERROR(MID(H1385,FIND("01",H1385)+2,14),"")</f>
        <v/>
      </c>
      <c r="C1385" s="4">
        <f>IF(A1385="","",IFERROR(VLOOKUP(B1385,TblArticles,2,FALSE),"GTIN inconnu"))</f>
        <v/>
      </c>
      <c r="D1385" s="5">
        <f>IF(A1385="","",IFERROR(VLOOKUP(B1385,TblArticles,3,FALSE),""))</f>
        <v/>
      </c>
      <c r="E1385" s="6">
        <f>IFERROR(DATE(2000+VALUE(MID(H1385,FIND("15",H1385,FIND("01",H1385)+16)+2,2)),VALUE(MID(H1385,FIND("15",H1385,FIND("01",H1385)+16)+4,2)),VALUE(MID(H1385,FIND("15",H1385,FIND("01",H1385)+16)+6,2))),"")</f>
        <v/>
      </c>
      <c r="F1385" s="5">
        <f>IFERROR(MID(H1385,FIND("10",H1385,FIND("15",H1385,FIND("01",H1385)+16)+8)+2,50),"")</f>
        <v/>
      </c>
      <c r="G1385" s="5" t="n"/>
      <c r="H1385" s="5">
        <f>SUBSTITUTE(SUBSTITUTE(SUBSTITUTE(SUBSTITUTE(A1385,"(",""),")","")," ",""),CHAR(29),"")</f>
        <v/>
      </c>
    </row>
    <row r="1386">
      <c r="A1386" s="7" t="n"/>
      <c r="B1386" s="8">
        <f>IFERROR(MID(H1386,FIND("01",H1386)+2,14),"")</f>
        <v/>
      </c>
      <c r="C1386" s="7">
        <f>IF(A1386="","",IFERROR(VLOOKUP(B1386,TblArticles,2,FALSE),"GTIN inconnu"))</f>
        <v/>
      </c>
      <c r="D1386" s="8">
        <f>IF(A1386="","",IFERROR(VLOOKUP(B1386,TblArticles,3,FALSE),""))</f>
        <v/>
      </c>
      <c r="E1386" s="9">
        <f>IFERROR(DATE(2000+VALUE(MID(H1386,FIND("15",H1386,FIND("01",H1386)+16)+2,2)),VALUE(MID(H1386,FIND("15",H1386,FIND("01",H1386)+16)+4,2)),VALUE(MID(H1386,FIND("15",H1386,FIND("01",H1386)+16)+6,2))),"")</f>
        <v/>
      </c>
      <c r="F1386" s="8">
        <f>IFERROR(MID(H1386,FIND("10",H1386,FIND("15",H1386,FIND("01",H1386)+16)+8)+2,50),"")</f>
        <v/>
      </c>
      <c r="G1386" s="8" t="n"/>
      <c r="H1386" s="8">
        <f>SUBSTITUTE(SUBSTITUTE(SUBSTITUTE(SUBSTITUTE(A1386,"(",""),")","")," ",""),CHAR(29),"")</f>
        <v/>
      </c>
    </row>
    <row r="1387">
      <c r="A1387" s="4" t="n"/>
      <c r="B1387" s="5">
        <f>IFERROR(MID(H1387,FIND("01",H1387)+2,14),"")</f>
        <v/>
      </c>
      <c r="C1387" s="4">
        <f>IF(A1387="","",IFERROR(VLOOKUP(B1387,TblArticles,2,FALSE),"GTIN inconnu"))</f>
        <v/>
      </c>
      <c r="D1387" s="5">
        <f>IF(A1387="","",IFERROR(VLOOKUP(B1387,TblArticles,3,FALSE),""))</f>
        <v/>
      </c>
      <c r="E1387" s="6">
        <f>IFERROR(DATE(2000+VALUE(MID(H1387,FIND("15",H1387,FIND("01",H1387)+16)+2,2)),VALUE(MID(H1387,FIND("15",H1387,FIND("01",H1387)+16)+4,2)),VALUE(MID(H1387,FIND("15",H1387,FIND("01",H1387)+16)+6,2))),"")</f>
        <v/>
      </c>
      <c r="F1387" s="5">
        <f>IFERROR(MID(H1387,FIND("10",H1387,FIND("15",H1387,FIND("01",H1387)+16)+8)+2,50),"")</f>
        <v/>
      </c>
      <c r="G1387" s="5" t="n"/>
      <c r="H1387" s="5">
        <f>SUBSTITUTE(SUBSTITUTE(SUBSTITUTE(SUBSTITUTE(A1387,"(",""),")","")," ",""),CHAR(29),"")</f>
        <v/>
      </c>
    </row>
    <row r="1388">
      <c r="A1388" s="7" t="n"/>
      <c r="B1388" s="8">
        <f>IFERROR(MID(H1388,FIND("01",H1388)+2,14),"")</f>
        <v/>
      </c>
      <c r="C1388" s="7">
        <f>IF(A1388="","",IFERROR(VLOOKUP(B1388,TblArticles,2,FALSE),"GTIN inconnu"))</f>
        <v/>
      </c>
      <c r="D1388" s="8">
        <f>IF(A1388="","",IFERROR(VLOOKUP(B1388,TblArticles,3,FALSE),""))</f>
        <v/>
      </c>
      <c r="E1388" s="9">
        <f>IFERROR(DATE(2000+VALUE(MID(H1388,FIND("15",H1388,FIND("01",H1388)+16)+2,2)),VALUE(MID(H1388,FIND("15",H1388,FIND("01",H1388)+16)+4,2)),VALUE(MID(H1388,FIND("15",H1388,FIND("01",H1388)+16)+6,2))),"")</f>
        <v/>
      </c>
      <c r="F1388" s="8">
        <f>IFERROR(MID(H1388,FIND("10",H1388,FIND("15",H1388,FIND("01",H1388)+16)+8)+2,50),"")</f>
        <v/>
      </c>
      <c r="G1388" s="8" t="n"/>
      <c r="H1388" s="8">
        <f>SUBSTITUTE(SUBSTITUTE(SUBSTITUTE(SUBSTITUTE(A1388,"(",""),")","")," ",""),CHAR(29),"")</f>
        <v/>
      </c>
    </row>
    <row r="1389">
      <c r="A1389" s="4" t="n"/>
      <c r="B1389" s="5">
        <f>IFERROR(MID(H1389,FIND("01",H1389)+2,14),"")</f>
        <v/>
      </c>
      <c r="C1389" s="4">
        <f>IF(A1389="","",IFERROR(VLOOKUP(B1389,TblArticles,2,FALSE),"GTIN inconnu"))</f>
        <v/>
      </c>
      <c r="D1389" s="5">
        <f>IF(A1389="","",IFERROR(VLOOKUP(B1389,TblArticles,3,FALSE),""))</f>
        <v/>
      </c>
      <c r="E1389" s="6">
        <f>IFERROR(DATE(2000+VALUE(MID(H1389,FIND("15",H1389,FIND("01",H1389)+16)+2,2)),VALUE(MID(H1389,FIND("15",H1389,FIND("01",H1389)+16)+4,2)),VALUE(MID(H1389,FIND("15",H1389,FIND("01",H1389)+16)+6,2))),"")</f>
        <v/>
      </c>
      <c r="F1389" s="5">
        <f>IFERROR(MID(H1389,FIND("10",H1389,FIND("15",H1389,FIND("01",H1389)+16)+8)+2,50),"")</f>
        <v/>
      </c>
      <c r="G1389" s="5" t="n"/>
      <c r="H1389" s="5">
        <f>SUBSTITUTE(SUBSTITUTE(SUBSTITUTE(SUBSTITUTE(A1389,"(",""),")","")," ",""),CHAR(29),"")</f>
        <v/>
      </c>
    </row>
    <row r="1390">
      <c r="A1390" s="7" t="n"/>
      <c r="B1390" s="8">
        <f>IFERROR(MID(H1390,FIND("01",H1390)+2,14),"")</f>
        <v/>
      </c>
      <c r="C1390" s="7">
        <f>IF(A1390="","",IFERROR(VLOOKUP(B1390,TblArticles,2,FALSE),"GTIN inconnu"))</f>
        <v/>
      </c>
      <c r="D1390" s="8">
        <f>IF(A1390="","",IFERROR(VLOOKUP(B1390,TblArticles,3,FALSE),""))</f>
        <v/>
      </c>
      <c r="E1390" s="9">
        <f>IFERROR(DATE(2000+VALUE(MID(H1390,FIND("15",H1390,FIND("01",H1390)+16)+2,2)),VALUE(MID(H1390,FIND("15",H1390,FIND("01",H1390)+16)+4,2)),VALUE(MID(H1390,FIND("15",H1390,FIND("01",H1390)+16)+6,2))),"")</f>
        <v/>
      </c>
      <c r="F1390" s="8">
        <f>IFERROR(MID(H1390,FIND("10",H1390,FIND("15",H1390,FIND("01",H1390)+16)+8)+2,50),"")</f>
        <v/>
      </c>
      <c r="G1390" s="8" t="n"/>
      <c r="H1390" s="8">
        <f>SUBSTITUTE(SUBSTITUTE(SUBSTITUTE(SUBSTITUTE(A1390,"(",""),")","")," ",""),CHAR(29),"")</f>
        <v/>
      </c>
    </row>
    <row r="1391">
      <c r="A1391" s="4" t="n"/>
      <c r="B1391" s="5">
        <f>IFERROR(MID(H1391,FIND("01",H1391)+2,14),"")</f>
        <v/>
      </c>
      <c r="C1391" s="4">
        <f>IF(A1391="","",IFERROR(VLOOKUP(B1391,TblArticles,2,FALSE),"GTIN inconnu"))</f>
        <v/>
      </c>
      <c r="D1391" s="5">
        <f>IF(A1391="","",IFERROR(VLOOKUP(B1391,TblArticles,3,FALSE),""))</f>
        <v/>
      </c>
      <c r="E1391" s="6">
        <f>IFERROR(DATE(2000+VALUE(MID(H1391,FIND("15",H1391,FIND("01",H1391)+16)+2,2)),VALUE(MID(H1391,FIND("15",H1391,FIND("01",H1391)+16)+4,2)),VALUE(MID(H1391,FIND("15",H1391,FIND("01",H1391)+16)+6,2))),"")</f>
        <v/>
      </c>
      <c r="F1391" s="5">
        <f>IFERROR(MID(H1391,FIND("10",H1391,FIND("15",H1391,FIND("01",H1391)+16)+8)+2,50),"")</f>
        <v/>
      </c>
      <c r="G1391" s="5" t="n"/>
      <c r="H1391" s="5">
        <f>SUBSTITUTE(SUBSTITUTE(SUBSTITUTE(SUBSTITUTE(A1391,"(",""),")","")," ",""),CHAR(29),"")</f>
        <v/>
      </c>
    </row>
    <row r="1392">
      <c r="A1392" s="7" t="n"/>
      <c r="B1392" s="8">
        <f>IFERROR(MID(H1392,FIND("01",H1392)+2,14),"")</f>
        <v/>
      </c>
      <c r="C1392" s="7">
        <f>IF(A1392="","",IFERROR(VLOOKUP(B1392,TblArticles,2,FALSE),"GTIN inconnu"))</f>
        <v/>
      </c>
      <c r="D1392" s="8">
        <f>IF(A1392="","",IFERROR(VLOOKUP(B1392,TblArticles,3,FALSE),""))</f>
        <v/>
      </c>
      <c r="E1392" s="9">
        <f>IFERROR(DATE(2000+VALUE(MID(H1392,FIND("15",H1392,FIND("01",H1392)+16)+2,2)),VALUE(MID(H1392,FIND("15",H1392,FIND("01",H1392)+16)+4,2)),VALUE(MID(H1392,FIND("15",H1392,FIND("01",H1392)+16)+6,2))),"")</f>
        <v/>
      </c>
      <c r="F1392" s="8">
        <f>IFERROR(MID(H1392,FIND("10",H1392,FIND("15",H1392,FIND("01",H1392)+16)+8)+2,50),"")</f>
        <v/>
      </c>
      <c r="G1392" s="8" t="n"/>
      <c r="H1392" s="8">
        <f>SUBSTITUTE(SUBSTITUTE(SUBSTITUTE(SUBSTITUTE(A1392,"(",""),")","")," ",""),CHAR(29),"")</f>
        <v/>
      </c>
    </row>
    <row r="1393">
      <c r="A1393" s="4" t="n"/>
      <c r="B1393" s="5">
        <f>IFERROR(MID(H1393,FIND("01",H1393)+2,14),"")</f>
        <v/>
      </c>
      <c r="C1393" s="4">
        <f>IF(A1393="","",IFERROR(VLOOKUP(B1393,TblArticles,2,FALSE),"GTIN inconnu"))</f>
        <v/>
      </c>
      <c r="D1393" s="5">
        <f>IF(A1393="","",IFERROR(VLOOKUP(B1393,TblArticles,3,FALSE),""))</f>
        <v/>
      </c>
      <c r="E1393" s="6">
        <f>IFERROR(DATE(2000+VALUE(MID(H1393,FIND("15",H1393,FIND("01",H1393)+16)+2,2)),VALUE(MID(H1393,FIND("15",H1393,FIND("01",H1393)+16)+4,2)),VALUE(MID(H1393,FIND("15",H1393,FIND("01",H1393)+16)+6,2))),"")</f>
        <v/>
      </c>
      <c r="F1393" s="5">
        <f>IFERROR(MID(H1393,FIND("10",H1393,FIND("15",H1393,FIND("01",H1393)+16)+8)+2,50),"")</f>
        <v/>
      </c>
      <c r="G1393" s="5" t="n"/>
      <c r="H1393" s="5">
        <f>SUBSTITUTE(SUBSTITUTE(SUBSTITUTE(SUBSTITUTE(A1393,"(",""),")","")," ",""),CHAR(29),"")</f>
        <v/>
      </c>
    </row>
    <row r="1394">
      <c r="A1394" s="7" t="n"/>
      <c r="B1394" s="8">
        <f>IFERROR(MID(H1394,FIND("01",H1394)+2,14),"")</f>
        <v/>
      </c>
      <c r="C1394" s="7">
        <f>IF(A1394="","",IFERROR(VLOOKUP(B1394,TblArticles,2,FALSE),"GTIN inconnu"))</f>
        <v/>
      </c>
      <c r="D1394" s="8">
        <f>IF(A1394="","",IFERROR(VLOOKUP(B1394,TblArticles,3,FALSE),""))</f>
        <v/>
      </c>
      <c r="E1394" s="9">
        <f>IFERROR(DATE(2000+VALUE(MID(H1394,FIND("15",H1394,FIND("01",H1394)+16)+2,2)),VALUE(MID(H1394,FIND("15",H1394,FIND("01",H1394)+16)+4,2)),VALUE(MID(H1394,FIND("15",H1394,FIND("01",H1394)+16)+6,2))),"")</f>
        <v/>
      </c>
      <c r="F1394" s="8">
        <f>IFERROR(MID(H1394,FIND("10",H1394,FIND("15",H1394,FIND("01",H1394)+16)+8)+2,50),"")</f>
        <v/>
      </c>
      <c r="G1394" s="8" t="n"/>
      <c r="H1394" s="8">
        <f>SUBSTITUTE(SUBSTITUTE(SUBSTITUTE(SUBSTITUTE(A1394,"(",""),")","")," ",""),CHAR(29),"")</f>
        <v/>
      </c>
    </row>
    <row r="1395">
      <c r="A1395" s="4" t="n"/>
      <c r="B1395" s="5">
        <f>IFERROR(MID(H1395,FIND("01",H1395)+2,14),"")</f>
        <v/>
      </c>
      <c r="C1395" s="4">
        <f>IF(A1395="","",IFERROR(VLOOKUP(B1395,TblArticles,2,FALSE),"GTIN inconnu"))</f>
        <v/>
      </c>
      <c r="D1395" s="5">
        <f>IF(A1395="","",IFERROR(VLOOKUP(B1395,TblArticles,3,FALSE),""))</f>
        <v/>
      </c>
      <c r="E1395" s="6">
        <f>IFERROR(DATE(2000+VALUE(MID(H1395,FIND("15",H1395,FIND("01",H1395)+16)+2,2)),VALUE(MID(H1395,FIND("15",H1395,FIND("01",H1395)+16)+4,2)),VALUE(MID(H1395,FIND("15",H1395,FIND("01",H1395)+16)+6,2))),"")</f>
        <v/>
      </c>
      <c r="F1395" s="5">
        <f>IFERROR(MID(H1395,FIND("10",H1395,FIND("15",H1395,FIND("01",H1395)+16)+8)+2,50),"")</f>
        <v/>
      </c>
      <c r="G1395" s="5" t="n"/>
      <c r="H1395" s="5">
        <f>SUBSTITUTE(SUBSTITUTE(SUBSTITUTE(SUBSTITUTE(A1395,"(",""),")","")," ",""),CHAR(29),"")</f>
        <v/>
      </c>
    </row>
    <row r="1396">
      <c r="A1396" s="7" t="n"/>
      <c r="B1396" s="8">
        <f>IFERROR(MID(H1396,FIND("01",H1396)+2,14),"")</f>
        <v/>
      </c>
      <c r="C1396" s="7">
        <f>IF(A1396="","",IFERROR(VLOOKUP(B1396,TblArticles,2,FALSE),"GTIN inconnu"))</f>
        <v/>
      </c>
      <c r="D1396" s="8">
        <f>IF(A1396="","",IFERROR(VLOOKUP(B1396,TblArticles,3,FALSE),""))</f>
        <v/>
      </c>
      <c r="E1396" s="9">
        <f>IFERROR(DATE(2000+VALUE(MID(H1396,FIND("15",H1396,FIND("01",H1396)+16)+2,2)),VALUE(MID(H1396,FIND("15",H1396,FIND("01",H1396)+16)+4,2)),VALUE(MID(H1396,FIND("15",H1396,FIND("01",H1396)+16)+6,2))),"")</f>
        <v/>
      </c>
      <c r="F1396" s="8">
        <f>IFERROR(MID(H1396,FIND("10",H1396,FIND("15",H1396,FIND("01",H1396)+16)+8)+2,50),"")</f>
        <v/>
      </c>
      <c r="G1396" s="8" t="n"/>
      <c r="H1396" s="8">
        <f>SUBSTITUTE(SUBSTITUTE(SUBSTITUTE(SUBSTITUTE(A1396,"(",""),")","")," ",""),CHAR(29),"")</f>
        <v/>
      </c>
    </row>
    <row r="1397">
      <c r="A1397" s="4" t="n"/>
      <c r="B1397" s="5">
        <f>IFERROR(MID(H1397,FIND("01",H1397)+2,14),"")</f>
        <v/>
      </c>
      <c r="C1397" s="4">
        <f>IF(A1397="","",IFERROR(VLOOKUP(B1397,TblArticles,2,FALSE),"GTIN inconnu"))</f>
        <v/>
      </c>
      <c r="D1397" s="5">
        <f>IF(A1397="","",IFERROR(VLOOKUP(B1397,TblArticles,3,FALSE),""))</f>
        <v/>
      </c>
      <c r="E1397" s="6">
        <f>IFERROR(DATE(2000+VALUE(MID(H1397,FIND("15",H1397,FIND("01",H1397)+16)+2,2)),VALUE(MID(H1397,FIND("15",H1397,FIND("01",H1397)+16)+4,2)),VALUE(MID(H1397,FIND("15",H1397,FIND("01",H1397)+16)+6,2))),"")</f>
        <v/>
      </c>
      <c r="F1397" s="5">
        <f>IFERROR(MID(H1397,FIND("10",H1397,FIND("15",H1397,FIND("01",H1397)+16)+8)+2,50),"")</f>
        <v/>
      </c>
      <c r="G1397" s="5" t="n"/>
      <c r="H1397" s="5">
        <f>SUBSTITUTE(SUBSTITUTE(SUBSTITUTE(SUBSTITUTE(A1397,"(",""),")","")," ",""),CHAR(29),"")</f>
        <v/>
      </c>
    </row>
    <row r="1398">
      <c r="A1398" s="7" t="n"/>
      <c r="B1398" s="8">
        <f>IFERROR(MID(H1398,FIND("01",H1398)+2,14),"")</f>
        <v/>
      </c>
      <c r="C1398" s="7">
        <f>IF(A1398="","",IFERROR(VLOOKUP(B1398,TblArticles,2,FALSE),"GTIN inconnu"))</f>
        <v/>
      </c>
      <c r="D1398" s="8">
        <f>IF(A1398="","",IFERROR(VLOOKUP(B1398,TblArticles,3,FALSE),""))</f>
        <v/>
      </c>
      <c r="E1398" s="9">
        <f>IFERROR(DATE(2000+VALUE(MID(H1398,FIND("15",H1398,FIND("01",H1398)+16)+2,2)),VALUE(MID(H1398,FIND("15",H1398,FIND("01",H1398)+16)+4,2)),VALUE(MID(H1398,FIND("15",H1398,FIND("01",H1398)+16)+6,2))),"")</f>
        <v/>
      </c>
      <c r="F1398" s="8">
        <f>IFERROR(MID(H1398,FIND("10",H1398,FIND("15",H1398,FIND("01",H1398)+16)+8)+2,50),"")</f>
        <v/>
      </c>
      <c r="G1398" s="8" t="n"/>
      <c r="H1398" s="8">
        <f>SUBSTITUTE(SUBSTITUTE(SUBSTITUTE(SUBSTITUTE(A1398,"(",""),")","")," ",""),CHAR(29),"")</f>
        <v/>
      </c>
    </row>
    <row r="1399">
      <c r="A1399" s="4" t="n"/>
      <c r="B1399" s="5">
        <f>IFERROR(MID(H1399,FIND("01",H1399)+2,14),"")</f>
        <v/>
      </c>
      <c r="C1399" s="4">
        <f>IF(A1399="","",IFERROR(VLOOKUP(B1399,TblArticles,2,FALSE),"GTIN inconnu"))</f>
        <v/>
      </c>
      <c r="D1399" s="5">
        <f>IF(A1399="","",IFERROR(VLOOKUP(B1399,TblArticles,3,FALSE),""))</f>
        <v/>
      </c>
      <c r="E1399" s="6">
        <f>IFERROR(DATE(2000+VALUE(MID(H1399,FIND("15",H1399,FIND("01",H1399)+16)+2,2)),VALUE(MID(H1399,FIND("15",H1399,FIND("01",H1399)+16)+4,2)),VALUE(MID(H1399,FIND("15",H1399,FIND("01",H1399)+16)+6,2))),"")</f>
        <v/>
      </c>
      <c r="F1399" s="5">
        <f>IFERROR(MID(H1399,FIND("10",H1399,FIND("15",H1399,FIND("01",H1399)+16)+8)+2,50),"")</f>
        <v/>
      </c>
      <c r="G1399" s="5" t="n"/>
      <c r="H1399" s="5">
        <f>SUBSTITUTE(SUBSTITUTE(SUBSTITUTE(SUBSTITUTE(A1399,"(",""),")","")," ",""),CHAR(29),"")</f>
        <v/>
      </c>
    </row>
    <row r="1400">
      <c r="A1400" s="7" t="n"/>
      <c r="B1400" s="8">
        <f>IFERROR(MID(H1400,FIND("01",H1400)+2,14),"")</f>
        <v/>
      </c>
      <c r="C1400" s="7">
        <f>IF(A1400="","",IFERROR(VLOOKUP(B1400,TblArticles,2,FALSE),"GTIN inconnu"))</f>
        <v/>
      </c>
      <c r="D1400" s="8">
        <f>IF(A1400="","",IFERROR(VLOOKUP(B1400,TblArticles,3,FALSE),""))</f>
        <v/>
      </c>
      <c r="E1400" s="9">
        <f>IFERROR(DATE(2000+VALUE(MID(H1400,FIND("15",H1400,FIND("01",H1400)+16)+2,2)),VALUE(MID(H1400,FIND("15",H1400,FIND("01",H1400)+16)+4,2)),VALUE(MID(H1400,FIND("15",H1400,FIND("01",H1400)+16)+6,2))),"")</f>
        <v/>
      </c>
      <c r="F1400" s="8">
        <f>IFERROR(MID(H1400,FIND("10",H1400,FIND("15",H1400,FIND("01",H1400)+16)+8)+2,50),"")</f>
        <v/>
      </c>
      <c r="G1400" s="8" t="n"/>
      <c r="H1400" s="8">
        <f>SUBSTITUTE(SUBSTITUTE(SUBSTITUTE(SUBSTITUTE(A1400,"(",""),")","")," ",""),CHAR(29),"")</f>
        <v/>
      </c>
    </row>
    <row r="1401">
      <c r="A1401" s="4" t="n"/>
      <c r="B1401" s="5">
        <f>IFERROR(MID(H1401,FIND("01",H1401)+2,14),"")</f>
        <v/>
      </c>
      <c r="C1401" s="4">
        <f>IF(A1401="","",IFERROR(VLOOKUP(B1401,TblArticles,2,FALSE),"GTIN inconnu"))</f>
        <v/>
      </c>
      <c r="D1401" s="5">
        <f>IF(A1401="","",IFERROR(VLOOKUP(B1401,TblArticles,3,FALSE),""))</f>
        <v/>
      </c>
      <c r="E1401" s="6">
        <f>IFERROR(DATE(2000+VALUE(MID(H1401,FIND("15",H1401,FIND("01",H1401)+16)+2,2)),VALUE(MID(H1401,FIND("15",H1401,FIND("01",H1401)+16)+4,2)),VALUE(MID(H1401,FIND("15",H1401,FIND("01",H1401)+16)+6,2))),"")</f>
        <v/>
      </c>
      <c r="F1401" s="5">
        <f>IFERROR(MID(H1401,FIND("10",H1401,FIND("15",H1401,FIND("01",H1401)+16)+8)+2,50),"")</f>
        <v/>
      </c>
      <c r="G1401" s="5" t="n"/>
      <c r="H1401" s="5">
        <f>SUBSTITUTE(SUBSTITUTE(SUBSTITUTE(SUBSTITUTE(A1401,"(",""),")","")," ",""),CHAR(29),"")</f>
        <v/>
      </c>
    </row>
    <row r="1402">
      <c r="A1402" s="7" t="n"/>
      <c r="B1402" s="8">
        <f>IFERROR(MID(H1402,FIND("01",H1402)+2,14),"")</f>
        <v/>
      </c>
      <c r="C1402" s="7">
        <f>IF(A1402="","",IFERROR(VLOOKUP(B1402,TblArticles,2,FALSE),"GTIN inconnu"))</f>
        <v/>
      </c>
      <c r="D1402" s="8">
        <f>IF(A1402="","",IFERROR(VLOOKUP(B1402,TblArticles,3,FALSE),""))</f>
        <v/>
      </c>
      <c r="E1402" s="9">
        <f>IFERROR(DATE(2000+VALUE(MID(H1402,FIND("15",H1402,FIND("01",H1402)+16)+2,2)),VALUE(MID(H1402,FIND("15",H1402,FIND("01",H1402)+16)+4,2)),VALUE(MID(H1402,FIND("15",H1402,FIND("01",H1402)+16)+6,2))),"")</f>
        <v/>
      </c>
      <c r="F1402" s="8">
        <f>IFERROR(MID(H1402,FIND("10",H1402,FIND("15",H1402,FIND("01",H1402)+16)+8)+2,50),"")</f>
        <v/>
      </c>
      <c r="G1402" s="8" t="n"/>
      <c r="H1402" s="8">
        <f>SUBSTITUTE(SUBSTITUTE(SUBSTITUTE(SUBSTITUTE(A1402,"(",""),")","")," ",""),CHAR(29),"")</f>
        <v/>
      </c>
    </row>
    <row r="1403">
      <c r="A1403" s="4" t="n"/>
      <c r="B1403" s="5">
        <f>IFERROR(MID(H1403,FIND("01",H1403)+2,14),"")</f>
        <v/>
      </c>
      <c r="C1403" s="4">
        <f>IF(A1403="","",IFERROR(VLOOKUP(B1403,TblArticles,2,FALSE),"GTIN inconnu"))</f>
        <v/>
      </c>
      <c r="D1403" s="5">
        <f>IF(A1403="","",IFERROR(VLOOKUP(B1403,TblArticles,3,FALSE),""))</f>
        <v/>
      </c>
      <c r="E1403" s="6">
        <f>IFERROR(DATE(2000+VALUE(MID(H1403,FIND("15",H1403,FIND("01",H1403)+16)+2,2)),VALUE(MID(H1403,FIND("15",H1403,FIND("01",H1403)+16)+4,2)),VALUE(MID(H1403,FIND("15",H1403,FIND("01",H1403)+16)+6,2))),"")</f>
        <v/>
      </c>
      <c r="F1403" s="5">
        <f>IFERROR(MID(H1403,FIND("10",H1403,FIND("15",H1403,FIND("01",H1403)+16)+8)+2,50),"")</f>
        <v/>
      </c>
      <c r="G1403" s="5" t="n"/>
      <c r="H1403" s="5">
        <f>SUBSTITUTE(SUBSTITUTE(SUBSTITUTE(SUBSTITUTE(A1403,"(",""),")","")," ",""),CHAR(29),"")</f>
        <v/>
      </c>
    </row>
    <row r="1404">
      <c r="A1404" s="7" t="n"/>
      <c r="B1404" s="8">
        <f>IFERROR(MID(H1404,FIND("01",H1404)+2,14),"")</f>
        <v/>
      </c>
      <c r="C1404" s="7">
        <f>IF(A1404="","",IFERROR(VLOOKUP(B1404,TblArticles,2,FALSE),"GTIN inconnu"))</f>
        <v/>
      </c>
      <c r="D1404" s="8">
        <f>IF(A1404="","",IFERROR(VLOOKUP(B1404,TblArticles,3,FALSE),""))</f>
        <v/>
      </c>
      <c r="E1404" s="9">
        <f>IFERROR(DATE(2000+VALUE(MID(H1404,FIND("15",H1404,FIND("01",H1404)+16)+2,2)),VALUE(MID(H1404,FIND("15",H1404,FIND("01",H1404)+16)+4,2)),VALUE(MID(H1404,FIND("15",H1404,FIND("01",H1404)+16)+6,2))),"")</f>
        <v/>
      </c>
      <c r="F1404" s="8">
        <f>IFERROR(MID(H1404,FIND("10",H1404,FIND("15",H1404,FIND("01",H1404)+16)+8)+2,50),"")</f>
        <v/>
      </c>
      <c r="G1404" s="8" t="n"/>
      <c r="H1404" s="8">
        <f>SUBSTITUTE(SUBSTITUTE(SUBSTITUTE(SUBSTITUTE(A1404,"(",""),")","")," ",""),CHAR(29),"")</f>
        <v/>
      </c>
    </row>
    <row r="1405">
      <c r="A1405" s="4" t="n"/>
      <c r="B1405" s="5">
        <f>IFERROR(MID(H1405,FIND("01",H1405)+2,14),"")</f>
        <v/>
      </c>
      <c r="C1405" s="4">
        <f>IF(A1405="","",IFERROR(VLOOKUP(B1405,TblArticles,2,FALSE),"GTIN inconnu"))</f>
        <v/>
      </c>
      <c r="D1405" s="5">
        <f>IF(A1405="","",IFERROR(VLOOKUP(B1405,TblArticles,3,FALSE),""))</f>
        <v/>
      </c>
      <c r="E1405" s="6">
        <f>IFERROR(DATE(2000+VALUE(MID(H1405,FIND("15",H1405,FIND("01",H1405)+16)+2,2)),VALUE(MID(H1405,FIND("15",H1405,FIND("01",H1405)+16)+4,2)),VALUE(MID(H1405,FIND("15",H1405,FIND("01",H1405)+16)+6,2))),"")</f>
        <v/>
      </c>
      <c r="F1405" s="5">
        <f>IFERROR(MID(H1405,FIND("10",H1405,FIND("15",H1405,FIND("01",H1405)+16)+8)+2,50),"")</f>
        <v/>
      </c>
      <c r="G1405" s="5" t="n"/>
      <c r="H1405" s="5">
        <f>SUBSTITUTE(SUBSTITUTE(SUBSTITUTE(SUBSTITUTE(A1405,"(",""),")","")," ",""),CHAR(29),"")</f>
        <v/>
      </c>
    </row>
    <row r="1406">
      <c r="A1406" s="7" t="n"/>
      <c r="B1406" s="8">
        <f>IFERROR(MID(H1406,FIND("01",H1406)+2,14),"")</f>
        <v/>
      </c>
      <c r="C1406" s="7">
        <f>IF(A1406="","",IFERROR(VLOOKUP(B1406,TblArticles,2,FALSE),"GTIN inconnu"))</f>
        <v/>
      </c>
      <c r="D1406" s="8">
        <f>IF(A1406="","",IFERROR(VLOOKUP(B1406,TblArticles,3,FALSE),""))</f>
        <v/>
      </c>
      <c r="E1406" s="9">
        <f>IFERROR(DATE(2000+VALUE(MID(H1406,FIND("15",H1406,FIND("01",H1406)+16)+2,2)),VALUE(MID(H1406,FIND("15",H1406,FIND("01",H1406)+16)+4,2)),VALUE(MID(H1406,FIND("15",H1406,FIND("01",H1406)+16)+6,2))),"")</f>
        <v/>
      </c>
      <c r="F1406" s="8">
        <f>IFERROR(MID(H1406,FIND("10",H1406,FIND("15",H1406,FIND("01",H1406)+16)+8)+2,50),"")</f>
        <v/>
      </c>
      <c r="G1406" s="8" t="n"/>
      <c r="H1406" s="8">
        <f>SUBSTITUTE(SUBSTITUTE(SUBSTITUTE(SUBSTITUTE(A1406,"(",""),")","")," ",""),CHAR(29),"")</f>
        <v/>
      </c>
    </row>
    <row r="1407">
      <c r="A1407" s="4" t="n"/>
      <c r="B1407" s="5">
        <f>IFERROR(MID(H1407,FIND("01",H1407)+2,14),"")</f>
        <v/>
      </c>
      <c r="C1407" s="4">
        <f>IF(A1407="","",IFERROR(VLOOKUP(B1407,TblArticles,2,FALSE),"GTIN inconnu"))</f>
        <v/>
      </c>
      <c r="D1407" s="5">
        <f>IF(A1407="","",IFERROR(VLOOKUP(B1407,TblArticles,3,FALSE),""))</f>
        <v/>
      </c>
      <c r="E1407" s="6">
        <f>IFERROR(DATE(2000+VALUE(MID(H1407,FIND("15",H1407,FIND("01",H1407)+16)+2,2)),VALUE(MID(H1407,FIND("15",H1407,FIND("01",H1407)+16)+4,2)),VALUE(MID(H1407,FIND("15",H1407,FIND("01",H1407)+16)+6,2))),"")</f>
        <v/>
      </c>
      <c r="F1407" s="5">
        <f>IFERROR(MID(H1407,FIND("10",H1407,FIND("15",H1407,FIND("01",H1407)+16)+8)+2,50),"")</f>
        <v/>
      </c>
      <c r="G1407" s="5" t="n"/>
      <c r="H1407" s="5">
        <f>SUBSTITUTE(SUBSTITUTE(SUBSTITUTE(SUBSTITUTE(A1407,"(",""),")","")," ",""),CHAR(29),"")</f>
        <v/>
      </c>
    </row>
    <row r="1408">
      <c r="A1408" s="7" t="n"/>
      <c r="B1408" s="8">
        <f>IFERROR(MID(H1408,FIND("01",H1408)+2,14),"")</f>
        <v/>
      </c>
      <c r="C1408" s="7">
        <f>IF(A1408="","",IFERROR(VLOOKUP(B1408,TblArticles,2,FALSE),"GTIN inconnu"))</f>
        <v/>
      </c>
      <c r="D1408" s="8">
        <f>IF(A1408="","",IFERROR(VLOOKUP(B1408,TblArticles,3,FALSE),""))</f>
        <v/>
      </c>
      <c r="E1408" s="9">
        <f>IFERROR(DATE(2000+VALUE(MID(H1408,FIND("15",H1408,FIND("01",H1408)+16)+2,2)),VALUE(MID(H1408,FIND("15",H1408,FIND("01",H1408)+16)+4,2)),VALUE(MID(H1408,FIND("15",H1408,FIND("01",H1408)+16)+6,2))),"")</f>
        <v/>
      </c>
      <c r="F1408" s="8">
        <f>IFERROR(MID(H1408,FIND("10",H1408,FIND("15",H1408,FIND("01",H1408)+16)+8)+2,50),"")</f>
        <v/>
      </c>
      <c r="G1408" s="8" t="n"/>
      <c r="H1408" s="8">
        <f>SUBSTITUTE(SUBSTITUTE(SUBSTITUTE(SUBSTITUTE(A1408,"(",""),")","")," ",""),CHAR(29),"")</f>
        <v/>
      </c>
    </row>
    <row r="1409">
      <c r="A1409" s="4" t="n"/>
      <c r="B1409" s="5">
        <f>IFERROR(MID(H1409,FIND("01",H1409)+2,14),"")</f>
        <v/>
      </c>
      <c r="C1409" s="4">
        <f>IF(A1409="","",IFERROR(VLOOKUP(B1409,TblArticles,2,FALSE),"GTIN inconnu"))</f>
        <v/>
      </c>
      <c r="D1409" s="5">
        <f>IF(A1409="","",IFERROR(VLOOKUP(B1409,TblArticles,3,FALSE),""))</f>
        <v/>
      </c>
      <c r="E1409" s="6">
        <f>IFERROR(DATE(2000+VALUE(MID(H1409,FIND("15",H1409,FIND("01",H1409)+16)+2,2)),VALUE(MID(H1409,FIND("15",H1409,FIND("01",H1409)+16)+4,2)),VALUE(MID(H1409,FIND("15",H1409,FIND("01",H1409)+16)+6,2))),"")</f>
        <v/>
      </c>
      <c r="F1409" s="5">
        <f>IFERROR(MID(H1409,FIND("10",H1409,FIND("15",H1409,FIND("01",H1409)+16)+8)+2,50),"")</f>
        <v/>
      </c>
      <c r="G1409" s="5" t="n"/>
      <c r="H1409" s="5">
        <f>SUBSTITUTE(SUBSTITUTE(SUBSTITUTE(SUBSTITUTE(A1409,"(",""),")","")," ",""),CHAR(29),"")</f>
        <v/>
      </c>
    </row>
    <row r="1410">
      <c r="A1410" s="7" t="n"/>
      <c r="B1410" s="8">
        <f>IFERROR(MID(H1410,FIND("01",H1410)+2,14),"")</f>
        <v/>
      </c>
      <c r="C1410" s="7">
        <f>IF(A1410="","",IFERROR(VLOOKUP(B1410,TblArticles,2,FALSE),"GTIN inconnu"))</f>
        <v/>
      </c>
      <c r="D1410" s="8">
        <f>IF(A1410="","",IFERROR(VLOOKUP(B1410,TblArticles,3,FALSE),""))</f>
        <v/>
      </c>
      <c r="E1410" s="9">
        <f>IFERROR(DATE(2000+VALUE(MID(H1410,FIND("15",H1410,FIND("01",H1410)+16)+2,2)),VALUE(MID(H1410,FIND("15",H1410,FIND("01",H1410)+16)+4,2)),VALUE(MID(H1410,FIND("15",H1410,FIND("01",H1410)+16)+6,2))),"")</f>
        <v/>
      </c>
      <c r="F1410" s="8">
        <f>IFERROR(MID(H1410,FIND("10",H1410,FIND("15",H1410,FIND("01",H1410)+16)+8)+2,50),"")</f>
        <v/>
      </c>
      <c r="G1410" s="8" t="n"/>
      <c r="H1410" s="8">
        <f>SUBSTITUTE(SUBSTITUTE(SUBSTITUTE(SUBSTITUTE(A1410,"(",""),")","")," ",""),CHAR(29),"")</f>
        <v/>
      </c>
    </row>
    <row r="1411">
      <c r="A1411" s="4" t="n"/>
      <c r="B1411" s="5">
        <f>IFERROR(MID(H1411,FIND("01",H1411)+2,14),"")</f>
        <v/>
      </c>
      <c r="C1411" s="4">
        <f>IF(A1411="","",IFERROR(VLOOKUP(B1411,TblArticles,2,FALSE),"GTIN inconnu"))</f>
        <v/>
      </c>
      <c r="D1411" s="5">
        <f>IF(A1411="","",IFERROR(VLOOKUP(B1411,TblArticles,3,FALSE),""))</f>
        <v/>
      </c>
      <c r="E1411" s="6">
        <f>IFERROR(DATE(2000+VALUE(MID(H1411,FIND("15",H1411,FIND("01",H1411)+16)+2,2)),VALUE(MID(H1411,FIND("15",H1411,FIND("01",H1411)+16)+4,2)),VALUE(MID(H1411,FIND("15",H1411,FIND("01",H1411)+16)+6,2))),"")</f>
        <v/>
      </c>
      <c r="F1411" s="5">
        <f>IFERROR(MID(H1411,FIND("10",H1411,FIND("15",H1411,FIND("01",H1411)+16)+8)+2,50),"")</f>
        <v/>
      </c>
      <c r="G1411" s="5" t="n"/>
      <c r="H1411" s="5">
        <f>SUBSTITUTE(SUBSTITUTE(SUBSTITUTE(SUBSTITUTE(A1411,"(",""),")","")," ",""),CHAR(29),"")</f>
        <v/>
      </c>
    </row>
    <row r="1412">
      <c r="A1412" s="7" t="n"/>
      <c r="B1412" s="8">
        <f>IFERROR(MID(H1412,FIND("01",H1412)+2,14),"")</f>
        <v/>
      </c>
      <c r="C1412" s="7">
        <f>IF(A1412="","",IFERROR(VLOOKUP(B1412,TblArticles,2,FALSE),"GTIN inconnu"))</f>
        <v/>
      </c>
      <c r="D1412" s="8">
        <f>IF(A1412="","",IFERROR(VLOOKUP(B1412,TblArticles,3,FALSE),""))</f>
        <v/>
      </c>
      <c r="E1412" s="9">
        <f>IFERROR(DATE(2000+VALUE(MID(H1412,FIND("15",H1412,FIND("01",H1412)+16)+2,2)),VALUE(MID(H1412,FIND("15",H1412,FIND("01",H1412)+16)+4,2)),VALUE(MID(H1412,FIND("15",H1412,FIND("01",H1412)+16)+6,2))),"")</f>
        <v/>
      </c>
      <c r="F1412" s="8">
        <f>IFERROR(MID(H1412,FIND("10",H1412,FIND("15",H1412,FIND("01",H1412)+16)+8)+2,50),"")</f>
        <v/>
      </c>
      <c r="G1412" s="8" t="n"/>
      <c r="H1412" s="8">
        <f>SUBSTITUTE(SUBSTITUTE(SUBSTITUTE(SUBSTITUTE(A1412,"(",""),")","")," ",""),CHAR(29),"")</f>
        <v/>
      </c>
    </row>
    <row r="1413">
      <c r="A1413" s="4" t="n"/>
      <c r="B1413" s="5">
        <f>IFERROR(MID(H1413,FIND("01",H1413)+2,14),"")</f>
        <v/>
      </c>
      <c r="C1413" s="4">
        <f>IF(A1413="","",IFERROR(VLOOKUP(B1413,TblArticles,2,FALSE),"GTIN inconnu"))</f>
        <v/>
      </c>
      <c r="D1413" s="5">
        <f>IF(A1413="","",IFERROR(VLOOKUP(B1413,TblArticles,3,FALSE),""))</f>
        <v/>
      </c>
      <c r="E1413" s="6">
        <f>IFERROR(DATE(2000+VALUE(MID(H1413,FIND("15",H1413,FIND("01",H1413)+16)+2,2)),VALUE(MID(H1413,FIND("15",H1413,FIND("01",H1413)+16)+4,2)),VALUE(MID(H1413,FIND("15",H1413,FIND("01",H1413)+16)+6,2))),"")</f>
        <v/>
      </c>
      <c r="F1413" s="5">
        <f>IFERROR(MID(H1413,FIND("10",H1413,FIND("15",H1413,FIND("01",H1413)+16)+8)+2,50),"")</f>
        <v/>
      </c>
      <c r="G1413" s="5" t="n"/>
      <c r="H1413" s="5">
        <f>SUBSTITUTE(SUBSTITUTE(SUBSTITUTE(SUBSTITUTE(A1413,"(",""),")","")," ",""),CHAR(29),"")</f>
        <v/>
      </c>
    </row>
    <row r="1414">
      <c r="A1414" s="7" t="n"/>
      <c r="B1414" s="8">
        <f>IFERROR(MID(H1414,FIND("01",H1414)+2,14),"")</f>
        <v/>
      </c>
      <c r="C1414" s="7">
        <f>IF(A1414="","",IFERROR(VLOOKUP(B1414,TblArticles,2,FALSE),"GTIN inconnu"))</f>
        <v/>
      </c>
      <c r="D1414" s="8">
        <f>IF(A1414="","",IFERROR(VLOOKUP(B1414,TblArticles,3,FALSE),""))</f>
        <v/>
      </c>
      <c r="E1414" s="9">
        <f>IFERROR(DATE(2000+VALUE(MID(H1414,FIND("15",H1414,FIND("01",H1414)+16)+2,2)),VALUE(MID(H1414,FIND("15",H1414,FIND("01",H1414)+16)+4,2)),VALUE(MID(H1414,FIND("15",H1414,FIND("01",H1414)+16)+6,2))),"")</f>
        <v/>
      </c>
      <c r="F1414" s="8">
        <f>IFERROR(MID(H1414,FIND("10",H1414,FIND("15",H1414,FIND("01",H1414)+16)+8)+2,50),"")</f>
        <v/>
      </c>
      <c r="G1414" s="8" t="n"/>
      <c r="H1414" s="8">
        <f>SUBSTITUTE(SUBSTITUTE(SUBSTITUTE(SUBSTITUTE(A1414,"(",""),")","")," ",""),CHAR(29),"")</f>
        <v/>
      </c>
    </row>
    <row r="1415">
      <c r="A1415" s="4" t="n"/>
      <c r="B1415" s="5">
        <f>IFERROR(MID(H1415,FIND("01",H1415)+2,14),"")</f>
        <v/>
      </c>
      <c r="C1415" s="4">
        <f>IF(A1415="","",IFERROR(VLOOKUP(B1415,TblArticles,2,FALSE),"GTIN inconnu"))</f>
        <v/>
      </c>
      <c r="D1415" s="5">
        <f>IF(A1415="","",IFERROR(VLOOKUP(B1415,TblArticles,3,FALSE),""))</f>
        <v/>
      </c>
      <c r="E1415" s="6">
        <f>IFERROR(DATE(2000+VALUE(MID(H1415,FIND("15",H1415,FIND("01",H1415)+16)+2,2)),VALUE(MID(H1415,FIND("15",H1415,FIND("01",H1415)+16)+4,2)),VALUE(MID(H1415,FIND("15",H1415,FIND("01",H1415)+16)+6,2))),"")</f>
        <v/>
      </c>
      <c r="F1415" s="5">
        <f>IFERROR(MID(H1415,FIND("10",H1415,FIND("15",H1415,FIND("01",H1415)+16)+8)+2,50),"")</f>
        <v/>
      </c>
      <c r="G1415" s="5" t="n"/>
      <c r="H1415" s="5">
        <f>SUBSTITUTE(SUBSTITUTE(SUBSTITUTE(SUBSTITUTE(A1415,"(",""),")","")," ",""),CHAR(29),"")</f>
        <v/>
      </c>
    </row>
    <row r="1416">
      <c r="A1416" s="7" t="n"/>
      <c r="B1416" s="8">
        <f>IFERROR(MID(H1416,FIND("01",H1416)+2,14),"")</f>
        <v/>
      </c>
      <c r="C1416" s="7">
        <f>IF(A1416="","",IFERROR(VLOOKUP(B1416,TblArticles,2,FALSE),"GTIN inconnu"))</f>
        <v/>
      </c>
      <c r="D1416" s="8">
        <f>IF(A1416="","",IFERROR(VLOOKUP(B1416,TblArticles,3,FALSE),""))</f>
        <v/>
      </c>
      <c r="E1416" s="9">
        <f>IFERROR(DATE(2000+VALUE(MID(H1416,FIND("15",H1416,FIND("01",H1416)+16)+2,2)),VALUE(MID(H1416,FIND("15",H1416,FIND("01",H1416)+16)+4,2)),VALUE(MID(H1416,FIND("15",H1416,FIND("01",H1416)+16)+6,2))),"")</f>
        <v/>
      </c>
      <c r="F1416" s="8">
        <f>IFERROR(MID(H1416,FIND("10",H1416,FIND("15",H1416,FIND("01",H1416)+16)+8)+2,50),"")</f>
        <v/>
      </c>
      <c r="G1416" s="8" t="n"/>
      <c r="H1416" s="8">
        <f>SUBSTITUTE(SUBSTITUTE(SUBSTITUTE(SUBSTITUTE(A1416,"(",""),")","")," ",""),CHAR(29),"")</f>
        <v/>
      </c>
    </row>
    <row r="1417">
      <c r="A1417" s="4" t="n"/>
      <c r="B1417" s="5">
        <f>IFERROR(MID(H1417,FIND("01",H1417)+2,14),"")</f>
        <v/>
      </c>
      <c r="C1417" s="4">
        <f>IF(A1417="","",IFERROR(VLOOKUP(B1417,TblArticles,2,FALSE),"GTIN inconnu"))</f>
        <v/>
      </c>
      <c r="D1417" s="5">
        <f>IF(A1417="","",IFERROR(VLOOKUP(B1417,TblArticles,3,FALSE),""))</f>
        <v/>
      </c>
      <c r="E1417" s="6">
        <f>IFERROR(DATE(2000+VALUE(MID(H1417,FIND("15",H1417,FIND("01",H1417)+16)+2,2)),VALUE(MID(H1417,FIND("15",H1417,FIND("01",H1417)+16)+4,2)),VALUE(MID(H1417,FIND("15",H1417,FIND("01",H1417)+16)+6,2))),"")</f>
        <v/>
      </c>
      <c r="F1417" s="5">
        <f>IFERROR(MID(H1417,FIND("10",H1417,FIND("15",H1417,FIND("01",H1417)+16)+8)+2,50),"")</f>
        <v/>
      </c>
      <c r="G1417" s="5" t="n"/>
      <c r="H1417" s="5">
        <f>SUBSTITUTE(SUBSTITUTE(SUBSTITUTE(SUBSTITUTE(A1417,"(",""),")","")," ",""),CHAR(29),"")</f>
        <v/>
      </c>
    </row>
    <row r="1418">
      <c r="A1418" s="7" t="n"/>
      <c r="B1418" s="8">
        <f>IFERROR(MID(H1418,FIND("01",H1418)+2,14),"")</f>
        <v/>
      </c>
      <c r="C1418" s="7">
        <f>IF(A1418="","",IFERROR(VLOOKUP(B1418,TblArticles,2,FALSE),"GTIN inconnu"))</f>
        <v/>
      </c>
      <c r="D1418" s="8">
        <f>IF(A1418="","",IFERROR(VLOOKUP(B1418,TblArticles,3,FALSE),""))</f>
        <v/>
      </c>
      <c r="E1418" s="9">
        <f>IFERROR(DATE(2000+VALUE(MID(H1418,FIND("15",H1418,FIND("01",H1418)+16)+2,2)),VALUE(MID(H1418,FIND("15",H1418,FIND("01",H1418)+16)+4,2)),VALUE(MID(H1418,FIND("15",H1418,FIND("01",H1418)+16)+6,2))),"")</f>
        <v/>
      </c>
      <c r="F1418" s="8">
        <f>IFERROR(MID(H1418,FIND("10",H1418,FIND("15",H1418,FIND("01",H1418)+16)+8)+2,50),"")</f>
        <v/>
      </c>
      <c r="G1418" s="8" t="n"/>
      <c r="H1418" s="8">
        <f>SUBSTITUTE(SUBSTITUTE(SUBSTITUTE(SUBSTITUTE(A1418,"(",""),")","")," ",""),CHAR(29),"")</f>
        <v/>
      </c>
    </row>
    <row r="1419">
      <c r="A1419" s="4" t="n"/>
      <c r="B1419" s="5">
        <f>IFERROR(MID(H1419,FIND("01",H1419)+2,14),"")</f>
        <v/>
      </c>
      <c r="C1419" s="4">
        <f>IF(A1419="","",IFERROR(VLOOKUP(B1419,TblArticles,2,FALSE),"GTIN inconnu"))</f>
        <v/>
      </c>
      <c r="D1419" s="5">
        <f>IF(A1419="","",IFERROR(VLOOKUP(B1419,TblArticles,3,FALSE),""))</f>
        <v/>
      </c>
      <c r="E1419" s="6">
        <f>IFERROR(DATE(2000+VALUE(MID(H1419,FIND("15",H1419,FIND("01",H1419)+16)+2,2)),VALUE(MID(H1419,FIND("15",H1419,FIND("01",H1419)+16)+4,2)),VALUE(MID(H1419,FIND("15",H1419,FIND("01",H1419)+16)+6,2))),"")</f>
        <v/>
      </c>
      <c r="F1419" s="5">
        <f>IFERROR(MID(H1419,FIND("10",H1419,FIND("15",H1419,FIND("01",H1419)+16)+8)+2,50),"")</f>
        <v/>
      </c>
      <c r="G1419" s="5" t="n"/>
      <c r="H1419" s="5">
        <f>SUBSTITUTE(SUBSTITUTE(SUBSTITUTE(SUBSTITUTE(A1419,"(",""),")","")," ",""),CHAR(29),"")</f>
        <v/>
      </c>
    </row>
    <row r="1420">
      <c r="A1420" s="7" t="n"/>
      <c r="B1420" s="8">
        <f>IFERROR(MID(H1420,FIND("01",H1420)+2,14),"")</f>
        <v/>
      </c>
      <c r="C1420" s="7">
        <f>IF(A1420="","",IFERROR(VLOOKUP(B1420,TblArticles,2,FALSE),"GTIN inconnu"))</f>
        <v/>
      </c>
      <c r="D1420" s="8">
        <f>IF(A1420="","",IFERROR(VLOOKUP(B1420,TblArticles,3,FALSE),""))</f>
        <v/>
      </c>
      <c r="E1420" s="9">
        <f>IFERROR(DATE(2000+VALUE(MID(H1420,FIND("15",H1420,FIND("01",H1420)+16)+2,2)),VALUE(MID(H1420,FIND("15",H1420,FIND("01",H1420)+16)+4,2)),VALUE(MID(H1420,FIND("15",H1420,FIND("01",H1420)+16)+6,2))),"")</f>
        <v/>
      </c>
      <c r="F1420" s="8">
        <f>IFERROR(MID(H1420,FIND("10",H1420,FIND("15",H1420,FIND("01",H1420)+16)+8)+2,50),"")</f>
        <v/>
      </c>
      <c r="G1420" s="8" t="n"/>
      <c r="H1420" s="8">
        <f>SUBSTITUTE(SUBSTITUTE(SUBSTITUTE(SUBSTITUTE(A1420,"(",""),")","")," ",""),CHAR(29),"")</f>
        <v/>
      </c>
    </row>
    <row r="1421">
      <c r="A1421" s="4" t="n"/>
      <c r="B1421" s="5">
        <f>IFERROR(MID(H1421,FIND("01",H1421)+2,14),"")</f>
        <v/>
      </c>
      <c r="C1421" s="4">
        <f>IF(A1421="","",IFERROR(VLOOKUP(B1421,TblArticles,2,FALSE),"GTIN inconnu"))</f>
        <v/>
      </c>
      <c r="D1421" s="5">
        <f>IF(A1421="","",IFERROR(VLOOKUP(B1421,TblArticles,3,FALSE),""))</f>
        <v/>
      </c>
      <c r="E1421" s="6">
        <f>IFERROR(DATE(2000+VALUE(MID(H1421,FIND("15",H1421,FIND("01",H1421)+16)+2,2)),VALUE(MID(H1421,FIND("15",H1421,FIND("01",H1421)+16)+4,2)),VALUE(MID(H1421,FIND("15",H1421,FIND("01",H1421)+16)+6,2))),"")</f>
        <v/>
      </c>
      <c r="F1421" s="5">
        <f>IFERROR(MID(H1421,FIND("10",H1421,FIND("15",H1421,FIND("01",H1421)+16)+8)+2,50),"")</f>
        <v/>
      </c>
      <c r="G1421" s="5" t="n"/>
      <c r="H1421" s="5">
        <f>SUBSTITUTE(SUBSTITUTE(SUBSTITUTE(SUBSTITUTE(A1421,"(",""),")","")," ",""),CHAR(29),"")</f>
        <v/>
      </c>
    </row>
    <row r="1422">
      <c r="A1422" s="7" t="n"/>
      <c r="B1422" s="8">
        <f>IFERROR(MID(H1422,FIND("01",H1422)+2,14),"")</f>
        <v/>
      </c>
      <c r="C1422" s="7">
        <f>IF(A1422="","",IFERROR(VLOOKUP(B1422,TblArticles,2,FALSE),"GTIN inconnu"))</f>
        <v/>
      </c>
      <c r="D1422" s="8">
        <f>IF(A1422="","",IFERROR(VLOOKUP(B1422,TblArticles,3,FALSE),""))</f>
        <v/>
      </c>
      <c r="E1422" s="9">
        <f>IFERROR(DATE(2000+VALUE(MID(H1422,FIND("15",H1422,FIND("01",H1422)+16)+2,2)),VALUE(MID(H1422,FIND("15",H1422,FIND("01",H1422)+16)+4,2)),VALUE(MID(H1422,FIND("15",H1422,FIND("01",H1422)+16)+6,2))),"")</f>
        <v/>
      </c>
      <c r="F1422" s="8">
        <f>IFERROR(MID(H1422,FIND("10",H1422,FIND("15",H1422,FIND("01",H1422)+16)+8)+2,50),"")</f>
        <v/>
      </c>
      <c r="G1422" s="8" t="n"/>
      <c r="H1422" s="8">
        <f>SUBSTITUTE(SUBSTITUTE(SUBSTITUTE(SUBSTITUTE(A1422,"(",""),")","")," ",""),CHAR(29),"")</f>
        <v/>
      </c>
    </row>
    <row r="1423">
      <c r="A1423" s="4" t="n"/>
      <c r="B1423" s="5">
        <f>IFERROR(MID(H1423,FIND("01",H1423)+2,14),"")</f>
        <v/>
      </c>
      <c r="C1423" s="4">
        <f>IF(A1423="","",IFERROR(VLOOKUP(B1423,TblArticles,2,FALSE),"GTIN inconnu"))</f>
        <v/>
      </c>
      <c r="D1423" s="5">
        <f>IF(A1423="","",IFERROR(VLOOKUP(B1423,TblArticles,3,FALSE),""))</f>
        <v/>
      </c>
      <c r="E1423" s="6">
        <f>IFERROR(DATE(2000+VALUE(MID(H1423,FIND("15",H1423,FIND("01",H1423)+16)+2,2)),VALUE(MID(H1423,FIND("15",H1423,FIND("01",H1423)+16)+4,2)),VALUE(MID(H1423,FIND("15",H1423,FIND("01",H1423)+16)+6,2))),"")</f>
        <v/>
      </c>
      <c r="F1423" s="5">
        <f>IFERROR(MID(H1423,FIND("10",H1423,FIND("15",H1423,FIND("01",H1423)+16)+8)+2,50),"")</f>
        <v/>
      </c>
      <c r="G1423" s="5" t="n"/>
      <c r="H1423" s="5">
        <f>SUBSTITUTE(SUBSTITUTE(SUBSTITUTE(SUBSTITUTE(A1423,"(",""),")","")," ",""),CHAR(29),"")</f>
        <v/>
      </c>
    </row>
    <row r="1424">
      <c r="A1424" s="7" t="n"/>
      <c r="B1424" s="8">
        <f>IFERROR(MID(H1424,FIND("01",H1424)+2,14),"")</f>
        <v/>
      </c>
      <c r="C1424" s="7">
        <f>IF(A1424="","",IFERROR(VLOOKUP(B1424,TblArticles,2,FALSE),"GTIN inconnu"))</f>
        <v/>
      </c>
      <c r="D1424" s="8">
        <f>IF(A1424="","",IFERROR(VLOOKUP(B1424,TblArticles,3,FALSE),""))</f>
        <v/>
      </c>
      <c r="E1424" s="9">
        <f>IFERROR(DATE(2000+VALUE(MID(H1424,FIND("15",H1424,FIND("01",H1424)+16)+2,2)),VALUE(MID(H1424,FIND("15",H1424,FIND("01",H1424)+16)+4,2)),VALUE(MID(H1424,FIND("15",H1424,FIND("01",H1424)+16)+6,2))),"")</f>
        <v/>
      </c>
      <c r="F1424" s="8">
        <f>IFERROR(MID(H1424,FIND("10",H1424,FIND("15",H1424,FIND("01",H1424)+16)+8)+2,50),"")</f>
        <v/>
      </c>
      <c r="G1424" s="8" t="n"/>
      <c r="H1424" s="8">
        <f>SUBSTITUTE(SUBSTITUTE(SUBSTITUTE(SUBSTITUTE(A1424,"(",""),")","")," ",""),CHAR(29),"")</f>
        <v/>
      </c>
    </row>
    <row r="1425">
      <c r="A1425" s="4" t="n"/>
      <c r="B1425" s="5">
        <f>IFERROR(MID(H1425,FIND("01",H1425)+2,14),"")</f>
        <v/>
      </c>
      <c r="C1425" s="4">
        <f>IF(A1425="","",IFERROR(VLOOKUP(B1425,TblArticles,2,FALSE),"GTIN inconnu"))</f>
        <v/>
      </c>
      <c r="D1425" s="5">
        <f>IF(A1425="","",IFERROR(VLOOKUP(B1425,TblArticles,3,FALSE),""))</f>
        <v/>
      </c>
      <c r="E1425" s="6">
        <f>IFERROR(DATE(2000+VALUE(MID(H1425,FIND("15",H1425,FIND("01",H1425)+16)+2,2)),VALUE(MID(H1425,FIND("15",H1425,FIND("01",H1425)+16)+4,2)),VALUE(MID(H1425,FIND("15",H1425,FIND("01",H1425)+16)+6,2))),"")</f>
        <v/>
      </c>
      <c r="F1425" s="5">
        <f>IFERROR(MID(H1425,FIND("10",H1425,FIND("15",H1425,FIND("01",H1425)+16)+8)+2,50),"")</f>
        <v/>
      </c>
      <c r="G1425" s="5" t="n"/>
      <c r="H1425" s="5">
        <f>SUBSTITUTE(SUBSTITUTE(SUBSTITUTE(SUBSTITUTE(A1425,"(",""),")","")," ",""),CHAR(29),"")</f>
        <v/>
      </c>
    </row>
    <row r="1426">
      <c r="A1426" s="7" t="n"/>
      <c r="B1426" s="8">
        <f>IFERROR(MID(H1426,FIND("01",H1426)+2,14),"")</f>
        <v/>
      </c>
      <c r="C1426" s="7">
        <f>IF(A1426="","",IFERROR(VLOOKUP(B1426,TblArticles,2,FALSE),"GTIN inconnu"))</f>
        <v/>
      </c>
      <c r="D1426" s="8">
        <f>IF(A1426="","",IFERROR(VLOOKUP(B1426,TblArticles,3,FALSE),""))</f>
        <v/>
      </c>
      <c r="E1426" s="9">
        <f>IFERROR(DATE(2000+VALUE(MID(H1426,FIND("15",H1426,FIND("01",H1426)+16)+2,2)),VALUE(MID(H1426,FIND("15",H1426,FIND("01",H1426)+16)+4,2)),VALUE(MID(H1426,FIND("15",H1426,FIND("01",H1426)+16)+6,2))),"")</f>
        <v/>
      </c>
      <c r="F1426" s="8">
        <f>IFERROR(MID(H1426,FIND("10",H1426,FIND("15",H1426,FIND("01",H1426)+16)+8)+2,50),"")</f>
        <v/>
      </c>
      <c r="G1426" s="8" t="n"/>
      <c r="H1426" s="8">
        <f>SUBSTITUTE(SUBSTITUTE(SUBSTITUTE(SUBSTITUTE(A1426,"(",""),")","")," ",""),CHAR(29),"")</f>
        <v/>
      </c>
    </row>
    <row r="1427">
      <c r="A1427" s="4" t="n"/>
      <c r="B1427" s="5">
        <f>IFERROR(MID(H1427,FIND("01",H1427)+2,14),"")</f>
        <v/>
      </c>
      <c r="C1427" s="4">
        <f>IF(A1427="","",IFERROR(VLOOKUP(B1427,TblArticles,2,FALSE),"GTIN inconnu"))</f>
        <v/>
      </c>
      <c r="D1427" s="5">
        <f>IF(A1427="","",IFERROR(VLOOKUP(B1427,TblArticles,3,FALSE),""))</f>
        <v/>
      </c>
      <c r="E1427" s="6">
        <f>IFERROR(DATE(2000+VALUE(MID(H1427,FIND("15",H1427,FIND("01",H1427)+16)+2,2)),VALUE(MID(H1427,FIND("15",H1427,FIND("01",H1427)+16)+4,2)),VALUE(MID(H1427,FIND("15",H1427,FIND("01",H1427)+16)+6,2))),"")</f>
        <v/>
      </c>
      <c r="F1427" s="5">
        <f>IFERROR(MID(H1427,FIND("10",H1427,FIND("15",H1427,FIND("01",H1427)+16)+8)+2,50),"")</f>
        <v/>
      </c>
      <c r="G1427" s="5" t="n"/>
      <c r="H1427" s="5">
        <f>SUBSTITUTE(SUBSTITUTE(SUBSTITUTE(SUBSTITUTE(A1427,"(",""),")","")," ",""),CHAR(29),"")</f>
        <v/>
      </c>
    </row>
    <row r="1428">
      <c r="A1428" s="7" t="n"/>
      <c r="B1428" s="8">
        <f>IFERROR(MID(H1428,FIND("01",H1428)+2,14),"")</f>
        <v/>
      </c>
      <c r="C1428" s="7">
        <f>IF(A1428="","",IFERROR(VLOOKUP(B1428,TblArticles,2,FALSE),"GTIN inconnu"))</f>
        <v/>
      </c>
      <c r="D1428" s="8">
        <f>IF(A1428="","",IFERROR(VLOOKUP(B1428,TblArticles,3,FALSE),""))</f>
        <v/>
      </c>
      <c r="E1428" s="9">
        <f>IFERROR(DATE(2000+VALUE(MID(H1428,FIND("15",H1428,FIND("01",H1428)+16)+2,2)),VALUE(MID(H1428,FIND("15",H1428,FIND("01",H1428)+16)+4,2)),VALUE(MID(H1428,FIND("15",H1428,FIND("01",H1428)+16)+6,2))),"")</f>
        <v/>
      </c>
      <c r="F1428" s="8">
        <f>IFERROR(MID(H1428,FIND("10",H1428,FIND("15",H1428,FIND("01",H1428)+16)+8)+2,50),"")</f>
        <v/>
      </c>
      <c r="G1428" s="8" t="n"/>
      <c r="H1428" s="8">
        <f>SUBSTITUTE(SUBSTITUTE(SUBSTITUTE(SUBSTITUTE(A1428,"(",""),")","")," ",""),CHAR(29),"")</f>
        <v/>
      </c>
    </row>
    <row r="1429">
      <c r="A1429" s="4" t="n"/>
      <c r="B1429" s="5">
        <f>IFERROR(MID(H1429,FIND("01",H1429)+2,14),"")</f>
        <v/>
      </c>
      <c r="C1429" s="4">
        <f>IF(A1429="","",IFERROR(VLOOKUP(B1429,TblArticles,2,FALSE),"GTIN inconnu"))</f>
        <v/>
      </c>
      <c r="D1429" s="5">
        <f>IF(A1429="","",IFERROR(VLOOKUP(B1429,TblArticles,3,FALSE),""))</f>
        <v/>
      </c>
      <c r="E1429" s="6">
        <f>IFERROR(DATE(2000+VALUE(MID(H1429,FIND("15",H1429,FIND("01",H1429)+16)+2,2)),VALUE(MID(H1429,FIND("15",H1429,FIND("01",H1429)+16)+4,2)),VALUE(MID(H1429,FIND("15",H1429,FIND("01",H1429)+16)+6,2))),"")</f>
        <v/>
      </c>
      <c r="F1429" s="5">
        <f>IFERROR(MID(H1429,FIND("10",H1429,FIND("15",H1429,FIND("01",H1429)+16)+8)+2,50),"")</f>
        <v/>
      </c>
      <c r="G1429" s="5" t="n"/>
      <c r="H1429" s="5">
        <f>SUBSTITUTE(SUBSTITUTE(SUBSTITUTE(SUBSTITUTE(A1429,"(",""),")","")," ",""),CHAR(29),"")</f>
        <v/>
      </c>
    </row>
    <row r="1430">
      <c r="A1430" s="7" t="n"/>
      <c r="B1430" s="8">
        <f>IFERROR(MID(H1430,FIND("01",H1430)+2,14),"")</f>
        <v/>
      </c>
      <c r="C1430" s="7">
        <f>IF(A1430="","",IFERROR(VLOOKUP(B1430,TblArticles,2,FALSE),"GTIN inconnu"))</f>
        <v/>
      </c>
      <c r="D1430" s="8">
        <f>IF(A1430="","",IFERROR(VLOOKUP(B1430,TblArticles,3,FALSE),""))</f>
        <v/>
      </c>
      <c r="E1430" s="9">
        <f>IFERROR(DATE(2000+VALUE(MID(H1430,FIND("15",H1430,FIND("01",H1430)+16)+2,2)),VALUE(MID(H1430,FIND("15",H1430,FIND("01",H1430)+16)+4,2)),VALUE(MID(H1430,FIND("15",H1430,FIND("01",H1430)+16)+6,2))),"")</f>
        <v/>
      </c>
      <c r="F1430" s="8">
        <f>IFERROR(MID(H1430,FIND("10",H1430,FIND("15",H1430,FIND("01",H1430)+16)+8)+2,50),"")</f>
        <v/>
      </c>
      <c r="G1430" s="8" t="n"/>
      <c r="H1430" s="8">
        <f>SUBSTITUTE(SUBSTITUTE(SUBSTITUTE(SUBSTITUTE(A1430,"(",""),")","")," ",""),CHAR(29),"")</f>
        <v/>
      </c>
    </row>
    <row r="1431">
      <c r="A1431" s="4" t="n"/>
      <c r="B1431" s="5">
        <f>IFERROR(MID(H1431,FIND("01",H1431)+2,14),"")</f>
        <v/>
      </c>
      <c r="C1431" s="4">
        <f>IF(A1431="","",IFERROR(VLOOKUP(B1431,TblArticles,2,FALSE),"GTIN inconnu"))</f>
        <v/>
      </c>
      <c r="D1431" s="5">
        <f>IF(A1431="","",IFERROR(VLOOKUP(B1431,TblArticles,3,FALSE),""))</f>
        <v/>
      </c>
      <c r="E1431" s="6">
        <f>IFERROR(DATE(2000+VALUE(MID(H1431,FIND("15",H1431,FIND("01",H1431)+16)+2,2)),VALUE(MID(H1431,FIND("15",H1431,FIND("01",H1431)+16)+4,2)),VALUE(MID(H1431,FIND("15",H1431,FIND("01",H1431)+16)+6,2))),"")</f>
        <v/>
      </c>
      <c r="F1431" s="5">
        <f>IFERROR(MID(H1431,FIND("10",H1431,FIND("15",H1431,FIND("01",H1431)+16)+8)+2,50),"")</f>
        <v/>
      </c>
      <c r="G1431" s="5" t="n"/>
      <c r="H1431" s="5">
        <f>SUBSTITUTE(SUBSTITUTE(SUBSTITUTE(SUBSTITUTE(A1431,"(",""),")","")," ",""),CHAR(29),"")</f>
        <v/>
      </c>
    </row>
    <row r="1432">
      <c r="A1432" s="7" t="n"/>
      <c r="B1432" s="8">
        <f>IFERROR(MID(H1432,FIND("01",H1432)+2,14),"")</f>
        <v/>
      </c>
      <c r="C1432" s="7">
        <f>IF(A1432="","",IFERROR(VLOOKUP(B1432,TblArticles,2,FALSE),"GTIN inconnu"))</f>
        <v/>
      </c>
      <c r="D1432" s="8">
        <f>IF(A1432="","",IFERROR(VLOOKUP(B1432,TblArticles,3,FALSE),""))</f>
        <v/>
      </c>
      <c r="E1432" s="9">
        <f>IFERROR(DATE(2000+VALUE(MID(H1432,FIND("15",H1432,FIND("01",H1432)+16)+2,2)),VALUE(MID(H1432,FIND("15",H1432,FIND("01",H1432)+16)+4,2)),VALUE(MID(H1432,FIND("15",H1432,FIND("01",H1432)+16)+6,2))),"")</f>
        <v/>
      </c>
      <c r="F1432" s="8">
        <f>IFERROR(MID(H1432,FIND("10",H1432,FIND("15",H1432,FIND("01",H1432)+16)+8)+2,50),"")</f>
        <v/>
      </c>
      <c r="G1432" s="8" t="n"/>
      <c r="H1432" s="8">
        <f>SUBSTITUTE(SUBSTITUTE(SUBSTITUTE(SUBSTITUTE(A1432,"(",""),")","")," ",""),CHAR(29),"")</f>
        <v/>
      </c>
    </row>
    <row r="1433">
      <c r="A1433" s="4" t="n"/>
      <c r="B1433" s="5">
        <f>IFERROR(MID(H1433,FIND("01",H1433)+2,14),"")</f>
        <v/>
      </c>
      <c r="C1433" s="4">
        <f>IF(A1433="","",IFERROR(VLOOKUP(B1433,TblArticles,2,FALSE),"GTIN inconnu"))</f>
        <v/>
      </c>
      <c r="D1433" s="5">
        <f>IF(A1433="","",IFERROR(VLOOKUP(B1433,TblArticles,3,FALSE),""))</f>
        <v/>
      </c>
      <c r="E1433" s="6">
        <f>IFERROR(DATE(2000+VALUE(MID(H1433,FIND("15",H1433,FIND("01",H1433)+16)+2,2)),VALUE(MID(H1433,FIND("15",H1433,FIND("01",H1433)+16)+4,2)),VALUE(MID(H1433,FIND("15",H1433,FIND("01",H1433)+16)+6,2))),"")</f>
        <v/>
      </c>
      <c r="F1433" s="5">
        <f>IFERROR(MID(H1433,FIND("10",H1433,FIND("15",H1433,FIND("01",H1433)+16)+8)+2,50),"")</f>
        <v/>
      </c>
      <c r="G1433" s="5" t="n"/>
      <c r="H1433" s="5">
        <f>SUBSTITUTE(SUBSTITUTE(SUBSTITUTE(SUBSTITUTE(A1433,"(",""),")","")," ",""),CHAR(29),"")</f>
        <v/>
      </c>
    </row>
    <row r="1434">
      <c r="A1434" s="7" t="n"/>
      <c r="B1434" s="8">
        <f>IFERROR(MID(H1434,FIND("01",H1434)+2,14),"")</f>
        <v/>
      </c>
      <c r="C1434" s="7">
        <f>IF(A1434="","",IFERROR(VLOOKUP(B1434,TblArticles,2,FALSE),"GTIN inconnu"))</f>
        <v/>
      </c>
      <c r="D1434" s="8">
        <f>IF(A1434="","",IFERROR(VLOOKUP(B1434,TblArticles,3,FALSE),""))</f>
        <v/>
      </c>
      <c r="E1434" s="9">
        <f>IFERROR(DATE(2000+VALUE(MID(H1434,FIND("15",H1434,FIND("01",H1434)+16)+2,2)),VALUE(MID(H1434,FIND("15",H1434,FIND("01",H1434)+16)+4,2)),VALUE(MID(H1434,FIND("15",H1434,FIND("01",H1434)+16)+6,2))),"")</f>
        <v/>
      </c>
      <c r="F1434" s="8">
        <f>IFERROR(MID(H1434,FIND("10",H1434,FIND("15",H1434,FIND("01",H1434)+16)+8)+2,50),"")</f>
        <v/>
      </c>
      <c r="G1434" s="8" t="n"/>
      <c r="H1434" s="8">
        <f>SUBSTITUTE(SUBSTITUTE(SUBSTITUTE(SUBSTITUTE(A1434,"(",""),")","")," ",""),CHAR(29),"")</f>
        <v/>
      </c>
    </row>
    <row r="1435">
      <c r="A1435" s="4" t="n"/>
      <c r="B1435" s="5">
        <f>IFERROR(MID(H1435,FIND("01",H1435)+2,14),"")</f>
        <v/>
      </c>
      <c r="C1435" s="4">
        <f>IF(A1435="","",IFERROR(VLOOKUP(B1435,TblArticles,2,FALSE),"GTIN inconnu"))</f>
        <v/>
      </c>
      <c r="D1435" s="5">
        <f>IF(A1435="","",IFERROR(VLOOKUP(B1435,TblArticles,3,FALSE),""))</f>
        <v/>
      </c>
      <c r="E1435" s="6">
        <f>IFERROR(DATE(2000+VALUE(MID(H1435,FIND("15",H1435,FIND("01",H1435)+16)+2,2)),VALUE(MID(H1435,FIND("15",H1435,FIND("01",H1435)+16)+4,2)),VALUE(MID(H1435,FIND("15",H1435,FIND("01",H1435)+16)+6,2))),"")</f>
        <v/>
      </c>
      <c r="F1435" s="5">
        <f>IFERROR(MID(H1435,FIND("10",H1435,FIND("15",H1435,FIND("01",H1435)+16)+8)+2,50),"")</f>
        <v/>
      </c>
      <c r="G1435" s="5" t="n"/>
      <c r="H1435" s="5">
        <f>SUBSTITUTE(SUBSTITUTE(SUBSTITUTE(SUBSTITUTE(A1435,"(",""),")","")," ",""),CHAR(29),"")</f>
        <v/>
      </c>
    </row>
    <row r="1436">
      <c r="A1436" s="7" t="n"/>
      <c r="B1436" s="8">
        <f>IFERROR(MID(H1436,FIND("01",H1436)+2,14),"")</f>
        <v/>
      </c>
      <c r="C1436" s="7">
        <f>IF(A1436="","",IFERROR(VLOOKUP(B1436,TblArticles,2,FALSE),"GTIN inconnu"))</f>
        <v/>
      </c>
      <c r="D1436" s="8">
        <f>IF(A1436="","",IFERROR(VLOOKUP(B1436,TblArticles,3,FALSE),""))</f>
        <v/>
      </c>
      <c r="E1436" s="9">
        <f>IFERROR(DATE(2000+VALUE(MID(H1436,FIND("15",H1436,FIND("01",H1436)+16)+2,2)),VALUE(MID(H1436,FIND("15",H1436,FIND("01",H1436)+16)+4,2)),VALUE(MID(H1436,FIND("15",H1436,FIND("01",H1436)+16)+6,2))),"")</f>
        <v/>
      </c>
      <c r="F1436" s="8">
        <f>IFERROR(MID(H1436,FIND("10",H1436,FIND("15",H1436,FIND("01",H1436)+16)+8)+2,50),"")</f>
        <v/>
      </c>
      <c r="G1436" s="8" t="n"/>
      <c r="H1436" s="8">
        <f>SUBSTITUTE(SUBSTITUTE(SUBSTITUTE(SUBSTITUTE(A1436,"(",""),")","")," ",""),CHAR(29),"")</f>
        <v/>
      </c>
    </row>
    <row r="1437">
      <c r="A1437" s="4" t="n"/>
      <c r="B1437" s="5">
        <f>IFERROR(MID(H1437,FIND("01",H1437)+2,14),"")</f>
        <v/>
      </c>
      <c r="C1437" s="4">
        <f>IF(A1437="","",IFERROR(VLOOKUP(B1437,TblArticles,2,FALSE),"GTIN inconnu"))</f>
        <v/>
      </c>
      <c r="D1437" s="5">
        <f>IF(A1437="","",IFERROR(VLOOKUP(B1437,TblArticles,3,FALSE),""))</f>
        <v/>
      </c>
      <c r="E1437" s="6">
        <f>IFERROR(DATE(2000+VALUE(MID(H1437,FIND("15",H1437,FIND("01",H1437)+16)+2,2)),VALUE(MID(H1437,FIND("15",H1437,FIND("01",H1437)+16)+4,2)),VALUE(MID(H1437,FIND("15",H1437,FIND("01",H1437)+16)+6,2))),"")</f>
        <v/>
      </c>
      <c r="F1437" s="5">
        <f>IFERROR(MID(H1437,FIND("10",H1437,FIND("15",H1437,FIND("01",H1437)+16)+8)+2,50),"")</f>
        <v/>
      </c>
      <c r="G1437" s="5" t="n"/>
      <c r="H1437" s="5">
        <f>SUBSTITUTE(SUBSTITUTE(SUBSTITUTE(SUBSTITUTE(A1437,"(",""),")","")," ",""),CHAR(29),"")</f>
        <v/>
      </c>
    </row>
    <row r="1438">
      <c r="A1438" s="7" t="n"/>
      <c r="B1438" s="8">
        <f>IFERROR(MID(H1438,FIND("01",H1438)+2,14),"")</f>
        <v/>
      </c>
      <c r="C1438" s="7">
        <f>IF(A1438="","",IFERROR(VLOOKUP(B1438,TblArticles,2,FALSE),"GTIN inconnu"))</f>
        <v/>
      </c>
      <c r="D1438" s="8">
        <f>IF(A1438="","",IFERROR(VLOOKUP(B1438,TblArticles,3,FALSE),""))</f>
        <v/>
      </c>
      <c r="E1438" s="9">
        <f>IFERROR(DATE(2000+VALUE(MID(H1438,FIND("15",H1438,FIND("01",H1438)+16)+2,2)),VALUE(MID(H1438,FIND("15",H1438,FIND("01",H1438)+16)+4,2)),VALUE(MID(H1438,FIND("15",H1438,FIND("01",H1438)+16)+6,2))),"")</f>
        <v/>
      </c>
      <c r="F1438" s="8">
        <f>IFERROR(MID(H1438,FIND("10",H1438,FIND("15",H1438,FIND("01",H1438)+16)+8)+2,50),"")</f>
        <v/>
      </c>
      <c r="G1438" s="8" t="n"/>
      <c r="H1438" s="8">
        <f>SUBSTITUTE(SUBSTITUTE(SUBSTITUTE(SUBSTITUTE(A1438,"(",""),")","")," ",""),CHAR(29),"")</f>
        <v/>
      </c>
    </row>
    <row r="1439">
      <c r="A1439" s="4" t="n"/>
      <c r="B1439" s="5">
        <f>IFERROR(MID(H1439,FIND("01",H1439)+2,14),"")</f>
        <v/>
      </c>
      <c r="C1439" s="4">
        <f>IF(A1439="","",IFERROR(VLOOKUP(B1439,TblArticles,2,FALSE),"GTIN inconnu"))</f>
        <v/>
      </c>
      <c r="D1439" s="5">
        <f>IF(A1439="","",IFERROR(VLOOKUP(B1439,TblArticles,3,FALSE),""))</f>
        <v/>
      </c>
      <c r="E1439" s="6">
        <f>IFERROR(DATE(2000+VALUE(MID(H1439,FIND("15",H1439,FIND("01",H1439)+16)+2,2)),VALUE(MID(H1439,FIND("15",H1439,FIND("01",H1439)+16)+4,2)),VALUE(MID(H1439,FIND("15",H1439,FIND("01",H1439)+16)+6,2))),"")</f>
        <v/>
      </c>
      <c r="F1439" s="5">
        <f>IFERROR(MID(H1439,FIND("10",H1439,FIND("15",H1439,FIND("01",H1439)+16)+8)+2,50),"")</f>
        <v/>
      </c>
      <c r="G1439" s="5" t="n"/>
      <c r="H1439" s="5">
        <f>SUBSTITUTE(SUBSTITUTE(SUBSTITUTE(SUBSTITUTE(A1439,"(",""),")","")," ",""),CHAR(29),"")</f>
        <v/>
      </c>
    </row>
    <row r="1440">
      <c r="A1440" s="7" t="n"/>
      <c r="B1440" s="8">
        <f>IFERROR(MID(H1440,FIND("01",H1440)+2,14),"")</f>
        <v/>
      </c>
      <c r="C1440" s="7">
        <f>IF(A1440="","",IFERROR(VLOOKUP(B1440,TblArticles,2,FALSE),"GTIN inconnu"))</f>
        <v/>
      </c>
      <c r="D1440" s="8">
        <f>IF(A1440="","",IFERROR(VLOOKUP(B1440,TblArticles,3,FALSE),""))</f>
        <v/>
      </c>
      <c r="E1440" s="9">
        <f>IFERROR(DATE(2000+VALUE(MID(H1440,FIND("15",H1440,FIND("01",H1440)+16)+2,2)),VALUE(MID(H1440,FIND("15",H1440,FIND("01",H1440)+16)+4,2)),VALUE(MID(H1440,FIND("15",H1440,FIND("01",H1440)+16)+6,2))),"")</f>
        <v/>
      </c>
      <c r="F1440" s="8">
        <f>IFERROR(MID(H1440,FIND("10",H1440,FIND("15",H1440,FIND("01",H1440)+16)+8)+2,50),"")</f>
        <v/>
      </c>
      <c r="G1440" s="8" t="n"/>
      <c r="H1440" s="8">
        <f>SUBSTITUTE(SUBSTITUTE(SUBSTITUTE(SUBSTITUTE(A1440,"(",""),")","")," ",""),CHAR(29),"")</f>
        <v/>
      </c>
    </row>
    <row r="1441">
      <c r="A1441" s="4" t="n"/>
      <c r="B1441" s="5">
        <f>IFERROR(MID(H1441,FIND("01",H1441)+2,14),"")</f>
        <v/>
      </c>
      <c r="C1441" s="4">
        <f>IF(A1441="","",IFERROR(VLOOKUP(B1441,TblArticles,2,FALSE),"GTIN inconnu"))</f>
        <v/>
      </c>
      <c r="D1441" s="5">
        <f>IF(A1441="","",IFERROR(VLOOKUP(B1441,TblArticles,3,FALSE),""))</f>
        <v/>
      </c>
      <c r="E1441" s="6">
        <f>IFERROR(DATE(2000+VALUE(MID(H1441,FIND("15",H1441,FIND("01",H1441)+16)+2,2)),VALUE(MID(H1441,FIND("15",H1441,FIND("01",H1441)+16)+4,2)),VALUE(MID(H1441,FIND("15",H1441,FIND("01",H1441)+16)+6,2))),"")</f>
        <v/>
      </c>
      <c r="F1441" s="5">
        <f>IFERROR(MID(H1441,FIND("10",H1441,FIND("15",H1441,FIND("01",H1441)+16)+8)+2,50),"")</f>
        <v/>
      </c>
      <c r="G1441" s="5" t="n"/>
      <c r="H1441" s="5">
        <f>SUBSTITUTE(SUBSTITUTE(SUBSTITUTE(SUBSTITUTE(A1441,"(",""),")","")," ",""),CHAR(29),"")</f>
        <v/>
      </c>
    </row>
    <row r="1442">
      <c r="A1442" s="7" t="n"/>
      <c r="B1442" s="8">
        <f>IFERROR(MID(H1442,FIND("01",H1442)+2,14),"")</f>
        <v/>
      </c>
      <c r="C1442" s="7">
        <f>IF(A1442="","",IFERROR(VLOOKUP(B1442,TblArticles,2,FALSE),"GTIN inconnu"))</f>
        <v/>
      </c>
      <c r="D1442" s="8">
        <f>IF(A1442="","",IFERROR(VLOOKUP(B1442,TblArticles,3,FALSE),""))</f>
        <v/>
      </c>
      <c r="E1442" s="9">
        <f>IFERROR(DATE(2000+VALUE(MID(H1442,FIND("15",H1442,FIND("01",H1442)+16)+2,2)),VALUE(MID(H1442,FIND("15",H1442,FIND("01",H1442)+16)+4,2)),VALUE(MID(H1442,FIND("15",H1442,FIND("01",H1442)+16)+6,2))),"")</f>
        <v/>
      </c>
      <c r="F1442" s="8">
        <f>IFERROR(MID(H1442,FIND("10",H1442,FIND("15",H1442,FIND("01",H1442)+16)+8)+2,50),"")</f>
        <v/>
      </c>
      <c r="G1442" s="8" t="n"/>
      <c r="H1442" s="8">
        <f>SUBSTITUTE(SUBSTITUTE(SUBSTITUTE(SUBSTITUTE(A1442,"(",""),")","")," ",""),CHAR(29),"")</f>
        <v/>
      </c>
    </row>
    <row r="1443">
      <c r="A1443" s="4" t="n"/>
      <c r="B1443" s="5">
        <f>IFERROR(MID(H1443,FIND("01",H1443)+2,14),"")</f>
        <v/>
      </c>
      <c r="C1443" s="4">
        <f>IF(A1443="","",IFERROR(VLOOKUP(B1443,TblArticles,2,FALSE),"GTIN inconnu"))</f>
        <v/>
      </c>
      <c r="D1443" s="5">
        <f>IF(A1443="","",IFERROR(VLOOKUP(B1443,TblArticles,3,FALSE),""))</f>
        <v/>
      </c>
      <c r="E1443" s="6">
        <f>IFERROR(DATE(2000+VALUE(MID(H1443,FIND("15",H1443,FIND("01",H1443)+16)+2,2)),VALUE(MID(H1443,FIND("15",H1443,FIND("01",H1443)+16)+4,2)),VALUE(MID(H1443,FIND("15",H1443,FIND("01",H1443)+16)+6,2))),"")</f>
        <v/>
      </c>
      <c r="F1443" s="5">
        <f>IFERROR(MID(H1443,FIND("10",H1443,FIND("15",H1443,FIND("01",H1443)+16)+8)+2,50),"")</f>
        <v/>
      </c>
      <c r="G1443" s="5" t="n"/>
      <c r="H1443" s="5">
        <f>SUBSTITUTE(SUBSTITUTE(SUBSTITUTE(SUBSTITUTE(A1443,"(",""),")","")," ",""),CHAR(29),"")</f>
        <v/>
      </c>
    </row>
    <row r="1444">
      <c r="A1444" s="7" t="n"/>
      <c r="B1444" s="8">
        <f>IFERROR(MID(H1444,FIND("01",H1444)+2,14),"")</f>
        <v/>
      </c>
      <c r="C1444" s="7">
        <f>IF(A1444="","",IFERROR(VLOOKUP(B1444,TblArticles,2,FALSE),"GTIN inconnu"))</f>
        <v/>
      </c>
      <c r="D1444" s="8">
        <f>IF(A1444="","",IFERROR(VLOOKUP(B1444,TblArticles,3,FALSE),""))</f>
        <v/>
      </c>
      <c r="E1444" s="9">
        <f>IFERROR(DATE(2000+VALUE(MID(H1444,FIND("15",H1444,FIND("01",H1444)+16)+2,2)),VALUE(MID(H1444,FIND("15",H1444,FIND("01",H1444)+16)+4,2)),VALUE(MID(H1444,FIND("15",H1444,FIND("01",H1444)+16)+6,2))),"")</f>
        <v/>
      </c>
      <c r="F1444" s="8">
        <f>IFERROR(MID(H1444,FIND("10",H1444,FIND("15",H1444,FIND("01",H1444)+16)+8)+2,50),"")</f>
        <v/>
      </c>
      <c r="G1444" s="8" t="n"/>
      <c r="H1444" s="8">
        <f>SUBSTITUTE(SUBSTITUTE(SUBSTITUTE(SUBSTITUTE(A1444,"(",""),")","")," ",""),CHAR(29),"")</f>
        <v/>
      </c>
    </row>
    <row r="1445">
      <c r="A1445" s="4" t="n"/>
      <c r="B1445" s="5">
        <f>IFERROR(MID(H1445,FIND("01",H1445)+2,14),"")</f>
        <v/>
      </c>
      <c r="C1445" s="4">
        <f>IF(A1445="","",IFERROR(VLOOKUP(B1445,TblArticles,2,FALSE),"GTIN inconnu"))</f>
        <v/>
      </c>
      <c r="D1445" s="5">
        <f>IF(A1445="","",IFERROR(VLOOKUP(B1445,TblArticles,3,FALSE),""))</f>
        <v/>
      </c>
      <c r="E1445" s="6">
        <f>IFERROR(DATE(2000+VALUE(MID(H1445,FIND("15",H1445,FIND("01",H1445)+16)+2,2)),VALUE(MID(H1445,FIND("15",H1445,FIND("01",H1445)+16)+4,2)),VALUE(MID(H1445,FIND("15",H1445,FIND("01",H1445)+16)+6,2))),"")</f>
        <v/>
      </c>
      <c r="F1445" s="5">
        <f>IFERROR(MID(H1445,FIND("10",H1445,FIND("15",H1445,FIND("01",H1445)+16)+8)+2,50),"")</f>
        <v/>
      </c>
      <c r="G1445" s="5" t="n"/>
      <c r="H1445" s="5">
        <f>SUBSTITUTE(SUBSTITUTE(SUBSTITUTE(SUBSTITUTE(A1445,"(",""),")","")," ",""),CHAR(29),"")</f>
        <v/>
      </c>
    </row>
    <row r="1446">
      <c r="A1446" s="7" t="n"/>
      <c r="B1446" s="8">
        <f>IFERROR(MID(H1446,FIND("01",H1446)+2,14),"")</f>
        <v/>
      </c>
      <c r="C1446" s="7">
        <f>IF(A1446="","",IFERROR(VLOOKUP(B1446,TblArticles,2,FALSE),"GTIN inconnu"))</f>
        <v/>
      </c>
      <c r="D1446" s="8">
        <f>IF(A1446="","",IFERROR(VLOOKUP(B1446,TblArticles,3,FALSE),""))</f>
        <v/>
      </c>
      <c r="E1446" s="9">
        <f>IFERROR(DATE(2000+VALUE(MID(H1446,FIND("15",H1446,FIND("01",H1446)+16)+2,2)),VALUE(MID(H1446,FIND("15",H1446,FIND("01",H1446)+16)+4,2)),VALUE(MID(H1446,FIND("15",H1446,FIND("01",H1446)+16)+6,2))),"")</f>
        <v/>
      </c>
      <c r="F1446" s="8">
        <f>IFERROR(MID(H1446,FIND("10",H1446,FIND("15",H1446,FIND("01",H1446)+16)+8)+2,50),"")</f>
        <v/>
      </c>
      <c r="G1446" s="8" t="n"/>
      <c r="H1446" s="8">
        <f>SUBSTITUTE(SUBSTITUTE(SUBSTITUTE(SUBSTITUTE(A1446,"(",""),")","")," ",""),CHAR(29),"")</f>
        <v/>
      </c>
    </row>
    <row r="1447">
      <c r="A1447" s="4" t="n"/>
      <c r="B1447" s="5">
        <f>IFERROR(MID(H1447,FIND("01",H1447)+2,14),"")</f>
        <v/>
      </c>
      <c r="C1447" s="4">
        <f>IF(A1447="","",IFERROR(VLOOKUP(B1447,TblArticles,2,FALSE),"GTIN inconnu"))</f>
        <v/>
      </c>
      <c r="D1447" s="5">
        <f>IF(A1447="","",IFERROR(VLOOKUP(B1447,TblArticles,3,FALSE),""))</f>
        <v/>
      </c>
      <c r="E1447" s="6">
        <f>IFERROR(DATE(2000+VALUE(MID(H1447,FIND("15",H1447,FIND("01",H1447)+16)+2,2)),VALUE(MID(H1447,FIND("15",H1447,FIND("01",H1447)+16)+4,2)),VALUE(MID(H1447,FIND("15",H1447,FIND("01",H1447)+16)+6,2))),"")</f>
        <v/>
      </c>
      <c r="F1447" s="5">
        <f>IFERROR(MID(H1447,FIND("10",H1447,FIND("15",H1447,FIND("01",H1447)+16)+8)+2,50),"")</f>
        <v/>
      </c>
      <c r="G1447" s="5" t="n"/>
      <c r="H1447" s="5">
        <f>SUBSTITUTE(SUBSTITUTE(SUBSTITUTE(SUBSTITUTE(A1447,"(",""),")","")," ",""),CHAR(29),"")</f>
        <v/>
      </c>
    </row>
    <row r="1448">
      <c r="A1448" s="7" t="n"/>
      <c r="B1448" s="8">
        <f>IFERROR(MID(H1448,FIND("01",H1448)+2,14),"")</f>
        <v/>
      </c>
      <c r="C1448" s="7">
        <f>IF(A1448="","",IFERROR(VLOOKUP(B1448,TblArticles,2,FALSE),"GTIN inconnu"))</f>
        <v/>
      </c>
      <c r="D1448" s="8">
        <f>IF(A1448="","",IFERROR(VLOOKUP(B1448,TblArticles,3,FALSE),""))</f>
        <v/>
      </c>
      <c r="E1448" s="9">
        <f>IFERROR(DATE(2000+VALUE(MID(H1448,FIND("15",H1448,FIND("01",H1448)+16)+2,2)),VALUE(MID(H1448,FIND("15",H1448,FIND("01",H1448)+16)+4,2)),VALUE(MID(H1448,FIND("15",H1448,FIND("01",H1448)+16)+6,2))),"")</f>
        <v/>
      </c>
      <c r="F1448" s="8">
        <f>IFERROR(MID(H1448,FIND("10",H1448,FIND("15",H1448,FIND("01",H1448)+16)+8)+2,50),"")</f>
        <v/>
      </c>
      <c r="G1448" s="8" t="n"/>
      <c r="H1448" s="8">
        <f>SUBSTITUTE(SUBSTITUTE(SUBSTITUTE(SUBSTITUTE(A1448,"(",""),")","")," ",""),CHAR(29),"")</f>
        <v/>
      </c>
    </row>
    <row r="1449">
      <c r="A1449" s="4" t="n"/>
      <c r="B1449" s="5">
        <f>IFERROR(MID(H1449,FIND("01",H1449)+2,14),"")</f>
        <v/>
      </c>
      <c r="C1449" s="4">
        <f>IF(A1449="","",IFERROR(VLOOKUP(B1449,TblArticles,2,FALSE),"GTIN inconnu"))</f>
        <v/>
      </c>
      <c r="D1449" s="5">
        <f>IF(A1449="","",IFERROR(VLOOKUP(B1449,TblArticles,3,FALSE),""))</f>
        <v/>
      </c>
      <c r="E1449" s="6">
        <f>IFERROR(DATE(2000+VALUE(MID(H1449,FIND("15",H1449,FIND("01",H1449)+16)+2,2)),VALUE(MID(H1449,FIND("15",H1449,FIND("01",H1449)+16)+4,2)),VALUE(MID(H1449,FIND("15",H1449,FIND("01",H1449)+16)+6,2))),"")</f>
        <v/>
      </c>
      <c r="F1449" s="5">
        <f>IFERROR(MID(H1449,FIND("10",H1449,FIND("15",H1449,FIND("01",H1449)+16)+8)+2,50),"")</f>
        <v/>
      </c>
      <c r="G1449" s="5" t="n"/>
      <c r="H1449" s="5">
        <f>SUBSTITUTE(SUBSTITUTE(SUBSTITUTE(SUBSTITUTE(A1449,"(",""),")","")," ",""),CHAR(29),"")</f>
        <v/>
      </c>
    </row>
    <row r="1450">
      <c r="A1450" s="7" t="n"/>
      <c r="B1450" s="8">
        <f>IFERROR(MID(H1450,FIND("01",H1450)+2,14),"")</f>
        <v/>
      </c>
      <c r="C1450" s="7">
        <f>IF(A1450="","",IFERROR(VLOOKUP(B1450,TblArticles,2,FALSE),"GTIN inconnu"))</f>
        <v/>
      </c>
      <c r="D1450" s="8">
        <f>IF(A1450="","",IFERROR(VLOOKUP(B1450,TblArticles,3,FALSE),""))</f>
        <v/>
      </c>
      <c r="E1450" s="9">
        <f>IFERROR(DATE(2000+VALUE(MID(H1450,FIND("15",H1450,FIND("01",H1450)+16)+2,2)),VALUE(MID(H1450,FIND("15",H1450,FIND("01",H1450)+16)+4,2)),VALUE(MID(H1450,FIND("15",H1450,FIND("01",H1450)+16)+6,2))),"")</f>
        <v/>
      </c>
      <c r="F1450" s="8">
        <f>IFERROR(MID(H1450,FIND("10",H1450,FIND("15",H1450,FIND("01",H1450)+16)+8)+2,50),"")</f>
        <v/>
      </c>
      <c r="G1450" s="8" t="n"/>
      <c r="H1450" s="8">
        <f>SUBSTITUTE(SUBSTITUTE(SUBSTITUTE(SUBSTITUTE(A1450,"(",""),")","")," ",""),CHAR(29),"")</f>
        <v/>
      </c>
    </row>
    <row r="1451">
      <c r="A1451" s="4" t="n"/>
      <c r="B1451" s="5">
        <f>IFERROR(MID(H1451,FIND("01",H1451)+2,14),"")</f>
        <v/>
      </c>
      <c r="C1451" s="4">
        <f>IF(A1451="","",IFERROR(VLOOKUP(B1451,TblArticles,2,FALSE),"GTIN inconnu"))</f>
        <v/>
      </c>
      <c r="D1451" s="5">
        <f>IF(A1451="","",IFERROR(VLOOKUP(B1451,TblArticles,3,FALSE),""))</f>
        <v/>
      </c>
      <c r="E1451" s="6">
        <f>IFERROR(DATE(2000+VALUE(MID(H1451,FIND("15",H1451,FIND("01",H1451)+16)+2,2)),VALUE(MID(H1451,FIND("15",H1451,FIND("01",H1451)+16)+4,2)),VALUE(MID(H1451,FIND("15",H1451,FIND("01",H1451)+16)+6,2))),"")</f>
        <v/>
      </c>
      <c r="F1451" s="5">
        <f>IFERROR(MID(H1451,FIND("10",H1451,FIND("15",H1451,FIND("01",H1451)+16)+8)+2,50),"")</f>
        <v/>
      </c>
      <c r="G1451" s="5" t="n"/>
      <c r="H1451" s="5">
        <f>SUBSTITUTE(SUBSTITUTE(SUBSTITUTE(SUBSTITUTE(A1451,"(",""),")","")," ",""),CHAR(29),"")</f>
        <v/>
      </c>
    </row>
    <row r="1452">
      <c r="A1452" s="7" t="n"/>
      <c r="B1452" s="8">
        <f>IFERROR(MID(H1452,FIND("01",H1452)+2,14),"")</f>
        <v/>
      </c>
      <c r="C1452" s="7">
        <f>IF(A1452="","",IFERROR(VLOOKUP(B1452,TblArticles,2,FALSE),"GTIN inconnu"))</f>
        <v/>
      </c>
      <c r="D1452" s="8">
        <f>IF(A1452="","",IFERROR(VLOOKUP(B1452,TblArticles,3,FALSE),""))</f>
        <v/>
      </c>
      <c r="E1452" s="9">
        <f>IFERROR(DATE(2000+VALUE(MID(H1452,FIND("15",H1452,FIND("01",H1452)+16)+2,2)),VALUE(MID(H1452,FIND("15",H1452,FIND("01",H1452)+16)+4,2)),VALUE(MID(H1452,FIND("15",H1452,FIND("01",H1452)+16)+6,2))),"")</f>
        <v/>
      </c>
      <c r="F1452" s="8">
        <f>IFERROR(MID(H1452,FIND("10",H1452,FIND("15",H1452,FIND("01",H1452)+16)+8)+2,50),"")</f>
        <v/>
      </c>
      <c r="G1452" s="8" t="n"/>
      <c r="H1452" s="8">
        <f>SUBSTITUTE(SUBSTITUTE(SUBSTITUTE(SUBSTITUTE(A1452,"(",""),")","")," ",""),CHAR(29),"")</f>
        <v/>
      </c>
    </row>
    <row r="1453">
      <c r="A1453" s="4" t="n"/>
      <c r="B1453" s="5">
        <f>IFERROR(MID(H1453,FIND("01",H1453)+2,14),"")</f>
        <v/>
      </c>
      <c r="C1453" s="4">
        <f>IF(A1453="","",IFERROR(VLOOKUP(B1453,TblArticles,2,FALSE),"GTIN inconnu"))</f>
        <v/>
      </c>
      <c r="D1453" s="5">
        <f>IF(A1453="","",IFERROR(VLOOKUP(B1453,TblArticles,3,FALSE),""))</f>
        <v/>
      </c>
      <c r="E1453" s="6">
        <f>IFERROR(DATE(2000+VALUE(MID(H1453,FIND("15",H1453,FIND("01",H1453)+16)+2,2)),VALUE(MID(H1453,FIND("15",H1453,FIND("01",H1453)+16)+4,2)),VALUE(MID(H1453,FIND("15",H1453,FIND("01",H1453)+16)+6,2))),"")</f>
        <v/>
      </c>
      <c r="F1453" s="5">
        <f>IFERROR(MID(H1453,FIND("10",H1453,FIND("15",H1453,FIND("01",H1453)+16)+8)+2,50),"")</f>
        <v/>
      </c>
      <c r="G1453" s="5" t="n"/>
      <c r="H1453" s="5">
        <f>SUBSTITUTE(SUBSTITUTE(SUBSTITUTE(SUBSTITUTE(A1453,"(",""),")","")," ",""),CHAR(29),"")</f>
        <v/>
      </c>
    </row>
    <row r="1454">
      <c r="A1454" s="7" t="n"/>
      <c r="B1454" s="8">
        <f>IFERROR(MID(H1454,FIND("01",H1454)+2,14),"")</f>
        <v/>
      </c>
      <c r="C1454" s="7">
        <f>IF(A1454="","",IFERROR(VLOOKUP(B1454,TblArticles,2,FALSE),"GTIN inconnu"))</f>
        <v/>
      </c>
      <c r="D1454" s="8">
        <f>IF(A1454="","",IFERROR(VLOOKUP(B1454,TblArticles,3,FALSE),""))</f>
        <v/>
      </c>
      <c r="E1454" s="9">
        <f>IFERROR(DATE(2000+VALUE(MID(H1454,FIND("15",H1454,FIND("01",H1454)+16)+2,2)),VALUE(MID(H1454,FIND("15",H1454,FIND("01",H1454)+16)+4,2)),VALUE(MID(H1454,FIND("15",H1454,FIND("01",H1454)+16)+6,2))),"")</f>
        <v/>
      </c>
      <c r="F1454" s="8">
        <f>IFERROR(MID(H1454,FIND("10",H1454,FIND("15",H1454,FIND("01",H1454)+16)+8)+2,50),"")</f>
        <v/>
      </c>
      <c r="G1454" s="8" t="n"/>
      <c r="H1454" s="8">
        <f>SUBSTITUTE(SUBSTITUTE(SUBSTITUTE(SUBSTITUTE(A1454,"(",""),")","")," ",""),CHAR(29),"")</f>
        <v/>
      </c>
    </row>
    <row r="1455">
      <c r="A1455" s="4" t="n"/>
      <c r="B1455" s="5">
        <f>IFERROR(MID(H1455,FIND("01",H1455)+2,14),"")</f>
        <v/>
      </c>
      <c r="C1455" s="4">
        <f>IF(A1455="","",IFERROR(VLOOKUP(B1455,TblArticles,2,FALSE),"GTIN inconnu"))</f>
        <v/>
      </c>
      <c r="D1455" s="5">
        <f>IF(A1455="","",IFERROR(VLOOKUP(B1455,TblArticles,3,FALSE),""))</f>
        <v/>
      </c>
      <c r="E1455" s="6">
        <f>IFERROR(DATE(2000+VALUE(MID(H1455,FIND("15",H1455,FIND("01",H1455)+16)+2,2)),VALUE(MID(H1455,FIND("15",H1455,FIND("01",H1455)+16)+4,2)),VALUE(MID(H1455,FIND("15",H1455,FIND("01",H1455)+16)+6,2))),"")</f>
        <v/>
      </c>
      <c r="F1455" s="5">
        <f>IFERROR(MID(H1455,FIND("10",H1455,FIND("15",H1455,FIND("01",H1455)+16)+8)+2,50),"")</f>
        <v/>
      </c>
      <c r="G1455" s="5" t="n"/>
      <c r="H1455" s="5">
        <f>SUBSTITUTE(SUBSTITUTE(SUBSTITUTE(SUBSTITUTE(A1455,"(",""),")","")," ",""),CHAR(29),"")</f>
        <v/>
      </c>
    </row>
    <row r="1456">
      <c r="A1456" s="7" t="n"/>
      <c r="B1456" s="8">
        <f>IFERROR(MID(H1456,FIND("01",H1456)+2,14),"")</f>
        <v/>
      </c>
      <c r="C1456" s="7">
        <f>IF(A1456="","",IFERROR(VLOOKUP(B1456,TblArticles,2,FALSE),"GTIN inconnu"))</f>
        <v/>
      </c>
      <c r="D1456" s="8">
        <f>IF(A1456="","",IFERROR(VLOOKUP(B1456,TblArticles,3,FALSE),""))</f>
        <v/>
      </c>
      <c r="E1456" s="9">
        <f>IFERROR(DATE(2000+VALUE(MID(H1456,FIND("15",H1456,FIND("01",H1456)+16)+2,2)),VALUE(MID(H1456,FIND("15",H1456,FIND("01",H1456)+16)+4,2)),VALUE(MID(H1456,FIND("15",H1456,FIND("01",H1456)+16)+6,2))),"")</f>
        <v/>
      </c>
      <c r="F1456" s="8">
        <f>IFERROR(MID(H1456,FIND("10",H1456,FIND("15",H1456,FIND("01",H1456)+16)+8)+2,50),"")</f>
        <v/>
      </c>
      <c r="G1456" s="8" t="n"/>
      <c r="H1456" s="8">
        <f>SUBSTITUTE(SUBSTITUTE(SUBSTITUTE(SUBSTITUTE(A1456,"(",""),")","")," ",""),CHAR(29),"")</f>
        <v/>
      </c>
    </row>
    <row r="1457">
      <c r="A1457" s="4" t="n"/>
      <c r="B1457" s="5">
        <f>IFERROR(MID(H1457,FIND("01",H1457)+2,14),"")</f>
        <v/>
      </c>
      <c r="C1457" s="4">
        <f>IF(A1457="","",IFERROR(VLOOKUP(B1457,TblArticles,2,FALSE),"GTIN inconnu"))</f>
        <v/>
      </c>
      <c r="D1457" s="5">
        <f>IF(A1457="","",IFERROR(VLOOKUP(B1457,TblArticles,3,FALSE),""))</f>
        <v/>
      </c>
      <c r="E1457" s="6">
        <f>IFERROR(DATE(2000+VALUE(MID(H1457,FIND("15",H1457,FIND("01",H1457)+16)+2,2)),VALUE(MID(H1457,FIND("15",H1457,FIND("01",H1457)+16)+4,2)),VALUE(MID(H1457,FIND("15",H1457,FIND("01",H1457)+16)+6,2))),"")</f>
        <v/>
      </c>
      <c r="F1457" s="5">
        <f>IFERROR(MID(H1457,FIND("10",H1457,FIND("15",H1457,FIND("01",H1457)+16)+8)+2,50),"")</f>
        <v/>
      </c>
      <c r="G1457" s="5" t="n"/>
      <c r="H1457" s="5">
        <f>SUBSTITUTE(SUBSTITUTE(SUBSTITUTE(SUBSTITUTE(A1457,"(",""),")","")," ",""),CHAR(29),"")</f>
        <v/>
      </c>
    </row>
    <row r="1458">
      <c r="A1458" s="7" t="n"/>
      <c r="B1458" s="8">
        <f>IFERROR(MID(H1458,FIND("01",H1458)+2,14),"")</f>
        <v/>
      </c>
      <c r="C1458" s="7">
        <f>IF(A1458="","",IFERROR(VLOOKUP(B1458,TblArticles,2,FALSE),"GTIN inconnu"))</f>
        <v/>
      </c>
      <c r="D1458" s="8">
        <f>IF(A1458="","",IFERROR(VLOOKUP(B1458,TblArticles,3,FALSE),""))</f>
        <v/>
      </c>
      <c r="E1458" s="9">
        <f>IFERROR(DATE(2000+VALUE(MID(H1458,FIND("15",H1458,FIND("01",H1458)+16)+2,2)),VALUE(MID(H1458,FIND("15",H1458,FIND("01",H1458)+16)+4,2)),VALUE(MID(H1458,FIND("15",H1458,FIND("01",H1458)+16)+6,2))),"")</f>
        <v/>
      </c>
      <c r="F1458" s="8">
        <f>IFERROR(MID(H1458,FIND("10",H1458,FIND("15",H1458,FIND("01",H1458)+16)+8)+2,50),"")</f>
        <v/>
      </c>
      <c r="G1458" s="8" t="n"/>
      <c r="H1458" s="8">
        <f>SUBSTITUTE(SUBSTITUTE(SUBSTITUTE(SUBSTITUTE(A1458,"(",""),")","")," ",""),CHAR(29),"")</f>
        <v/>
      </c>
    </row>
    <row r="1459">
      <c r="A1459" s="4" t="n"/>
      <c r="B1459" s="5">
        <f>IFERROR(MID(H1459,FIND("01",H1459)+2,14),"")</f>
        <v/>
      </c>
      <c r="C1459" s="4">
        <f>IF(A1459="","",IFERROR(VLOOKUP(B1459,TblArticles,2,FALSE),"GTIN inconnu"))</f>
        <v/>
      </c>
      <c r="D1459" s="5">
        <f>IF(A1459="","",IFERROR(VLOOKUP(B1459,TblArticles,3,FALSE),""))</f>
        <v/>
      </c>
      <c r="E1459" s="6">
        <f>IFERROR(DATE(2000+VALUE(MID(H1459,FIND("15",H1459,FIND("01",H1459)+16)+2,2)),VALUE(MID(H1459,FIND("15",H1459,FIND("01",H1459)+16)+4,2)),VALUE(MID(H1459,FIND("15",H1459,FIND("01",H1459)+16)+6,2))),"")</f>
        <v/>
      </c>
      <c r="F1459" s="5">
        <f>IFERROR(MID(H1459,FIND("10",H1459,FIND("15",H1459,FIND("01",H1459)+16)+8)+2,50),"")</f>
        <v/>
      </c>
      <c r="G1459" s="5" t="n"/>
      <c r="H1459" s="5">
        <f>SUBSTITUTE(SUBSTITUTE(SUBSTITUTE(SUBSTITUTE(A1459,"(",""),")","")," ",""),CHAR(29),"")</f>
        <v/>
      </c>
    </row>
    <row r="1460">
      <c r="A1460" s="7" t="n"/>
      <c r="B1460" s="8">
        <f>IFERROR(MID(H1460,FIND("01",H1460)+2,14),"")</f>
        <v/>
      </c>
      <c r="C1460" s="7">
        <f>IF(A1460="","",IFERROR(VLOOKUP(B1460,TblArticles,2,FALSE),"GTIN inconnu"))</f>
        <v/>
      </c>
      <c r="D1460" s="8">
        <f>IF(A1460="","",IFERROR(VLOOKUP(B1460,TblArticles,3,FALSE),""))</f>
        <v/>
      </c>
      <c r="E1460" s="9">
        <f>IFERROR(DATE(2000+VALUE(MID(H1460,FIND("15",H1460,FIND("01",H1460)+16)+2,2)),VALUE(MID(H1460,FIND("15",H1460,FIND("01",H1460)+16)+4,2)),VALUE(MID(H1460,FIND("15",H1460,FIND("01",H1460)+16)+6,2))),"")</f>
        <v/>
      </c>
      <c r="F1460" s="8">
        <f>IFERROR(MID(H1460,FIND("10",H1460,FIND("15",H1460,FIND("01",H1460)+16)+8)+2,50),"")</f>
        <v/>
      </c>
      <c r="G1460" s="8" t="n"/>
      <c r="H1460" s="8">
        <f>SUBSTITUTE(SUBSTITUTE(SUBSTITUTE(SUBSTITUTE(A1460,"(",""),")","")," ",""),CHAR(29),"")</f>
        <v/>
      </c>
    </row>
    <row r="1461">
      <c r="A1461" s="4" t="n"/>
      <c r="B1461" s="5">
        <f>IFERROR(MID(H1461,FIND("01",H1461)+2,14),"")</f>
        <v/>
      </c>
      <c r="C1461" s="4">
        <f>IF(A1461="","",IFERROR(VLOOKUP(B1461,TblArticles,2,FALSE),"GTIN inconnu"))</f>
        <v/>
      </c>
      <c r="D1461" s="5">
        <f>IF(A1461="","",IFERROR(VLOOKUP(B1461,TblArticles,3,FALSE),""))</f>
        <v/>
      </c>
      <c r="E1461" s="6">
        <f>IFERROR(DATE(2000+VALUE(MID(H1461,FIND("15",H1461,FIND("01",H1461)+16)+2,2)),VALUE(MID(H1461,FIND("15",H1461,FIND("01",H1461)+16)+4,2)),VALUE(MID(H1461,FIND("15",H1461,FIND("01",H1461)+16)+6,2))),"")</f>
        <v/>
      </c>
      <c r="F1461" s="5">
        <f>IFERROR(MID(H1461,FIND("10",H1461,FIND("15",H1461,FIND("01",H1461)+16)+8)+2,50),"")</f>
        <v/>
      </c>
      <c r="G1461" s="5" t="n"/>
      <c r="H1461" s="5">
        <f>SUBSTITUTE(SUBSTITUTE(SUBSTITUTE(SUBSTITUTE(A1461,"(",""),")","")," ",""),CHAR(29),"")</f>
        <v/>
      </c>
    </row>
    <row r="1462">
      <c r="A1462" s="7" t="n"/>
      <c r="B1462" s="8">
        <f>IFERROR(MID(H1462,FIND("01",H1462)+2,14),"")</f>
        <v/>
      </c>
      <c r="C1462" s="7">
        <f>IF(A1462="","",IFERROR(VLOOKUP(B1462,TblArticles,2,FALSE),"GTIN inconnu"))</f>
        <v/>
      </c>
      <c r="D1462" s="8">
        <f>IF(A1462="","",IFERROR(VLOOKUP(B1462,TblArticles,3,FALSE),""))</f>
        <v/>
      </c>
      <c r="E1462" s="9">
        <f>IFERROR(DATE(2000+VALUE(MID(H1462,FIND("15",H1462,FIND("01",H1462)+16)+2,2)),VALUE(MID(H1462,FIND("15",H1462,FIND("01",H1462)+16)+4,2)),VALUE(MID(H1462,FIND("15",H1462,FIND("01",H1462)+16)+6,2))),"")</f>
        <v/>
      </c>
      <c r="F1462" s="8">
        <f>IFERROR(MID(H1462,FIND("10",H1462,FIND("15",H1462,FIND("01",H1462)+16)+8)+2,50),"")</f>
        <v/>
      </c>
      <c r="G1462" s="8" t="n"/>
      <c r="H1462" s="8">
        <f>SUBSTITUTE(SUBSTITUTE(SUBSTITUTE(SUBSTITUTE(A1462,"(",""),")","")," ",""),CHAR(29),"")</f>
        <v/>
      </c>
    </row>
    <row r="1463">
      <c r="A1463" s="4" t="n"/>
      <c r="B1463" s="5">
        <f>IFERROR(MID(H1463,FIND("01",H1463)+2,14),"")</f>
        <v/>
      </c>
      <c r="C1463" s="4">
        <f>IF(A1463="","",IFERROR(VLOOKUP(B1463,TblArticles,2,FALSE),"GTIN inconnu"))</f>
        <v/>
      </c>
      <c r="D1463" s="5">
        <f>IF(A1463="","",IFERROR(VLOOKUP(B1463,TblArticles,3,FALSE),""))</f>
        <v/>
      </c>
      <c r="E1463" s="6">
        <f>IFERROR(DATE(2000+VALUE(MID(H1463,FIND("15",H1463,FIND("01",H1463)+16)+2,2)),VALUE(MID(H1463,FIND("15",H1463,FIND("01",H1463)+16)+4,2)),VALUE(MID(H1463,FIND("15",H1463,FIND("01",H1463)+16)+6,2))),"")</f>
        <v/>
      </c>
      <c r="F1463" s="5">
        <f>IFERROR(MID(H1463,FIND("10",H1463,FIND("15",H1463,FIND("01",H1463)+16)+8)+2,50),"")</f>
        <v/>
      </c>
      <c r="G1463" s="5" t="n"/>
      <c r="H1463" s="5">
        <f>SUBSTITUTE(SUBSTITUTE(SUBSTITUTE(SUBSTITUTE(A1463,"(",""),")","")," ",""),CHAR(29),"")</f>
        <v/>
      </c>
    </row>
    <row r="1464">
      <c r="A1464" s="7" t="n"/>
      <c r="B1464" s="8">
        <f>IFERROR(MID(H1464,FIND("01",H1464)+2,14),"")</f>
        <v/>
      </c>
      <c r="C1464" s="7">
        <f>IF(A1464="","",IFERROR(VLOOKUP(B1464,TblArticles,2,FALSE),"GTIN inconnu"))</f>
        <v/>
      </c>
      <c r="D1464" s="8">
        <f>IF(A1464="","",IFERROR(VLOOKUP(B1464,TblArticles,3,FALSE),""))</f>
        <v/>
      </c>
      <c r="E1464" s="9">
        <f>IFERROR(DATE(2000+VALUE(MID(H1464,FIND("15",H1464,FIND("01",H1464)+16)+2,2)),VALUE(MID(H1464,FIND("15",H1464,FIND("01",H1464)+16)+4,2)),VALUE(MID(H1464,FIND("15",H1464,FIND("01",H1464)+16)+6,2))),"")</f>
        <v/>
      </c>
      <c r="F1464" s="8">
        <f>IFERROR(MID(H1464,FIND("10",H1464,FIND("15",H1464,FIND("01",H1464)+16)+8)+2,50),"")</f>
        <v/>
      </c>
      <c r="G1464" s="8" t="n"/>
      <c r="H1464" s="8">
        <f>SUBSTITUTE(SUBSTITUTE(SUBSTITUTE(SUBSTITUTE(A1464,"(",""),")","")," ",""),CHAR(29),"")</f>
        <v/>
      </c>
    </row>
    <row r="1465">
      <c r="A1465" s="4" t="n"/>
      <c r="B1465" s="5">
        <f>IFERROR(MID(H1465,FIND("01",H1465)+2,14),"")</f>
        <v/>
      </c>
      <c r="C1465" s="4">
        <f>IF(A1465="","",IFERROR(VLOOKUP(B1465,TblArticles,2,FALSE),"GTIN inconnu"))</f>
        <v/>
      </c>
      <c r="D1465" s="5">
        <f>IF(A1465="","",IFERROR(VLOOKUP(B1465,TblArticles,3,FALSE),""))</f>
        <v/>
      </c>
      <c r="E1465" s="6">
        <f>IFERROR(DATE(2000+VALUE(MID(H1465,FIND("15",H1465,FIND("01",H1465)+16)+2,2)),VALUE(MID(H1465,FIND("15",H1465,FIND("01",H1465)+16)+4,2)),VALUE(MID(H1465,FIND("15",H1465,FIND("01",H1465)+16)+6,2))),"")</f>
        <v/>
      </c>
      <c r="F1465" s="5">
        <f>IFERROR(MID(H1465,FIND("10",H1465,FIND("15",H1465,FIND("01",H1465)+16)+8)+2,50),"")</f>
        <v/>
      </c>
      <c r="G1465" s="5" t="n"/>
      <c r="H1465" s="5">
        <f>SUBSTITUTE(SUBSTITUTE(SUBSTITUTE(SUBSTITUTE(A1465,"(",""),")","")," ",""),CHAR(29),"")</f>
        <v/>
      </c>
    </row>
    <row r="1466">
      <c r="A1466" s="7" t="n"/>
      <c r="B1466" s="8">
        <f>IFERROR(MID(H1466,FIND("01",H1466)+2,14),"")</f>
        <v/>
      </c>
      <c r="C1466" s="7">
        <f>IF(A1466="","",IFERROR(VLOOKUP(B1466,TblArticles,2,FALSE),"GTIN inconnu"))</f>
        <v/>
      </c>
      <c r="D1466" s="8">
        <f>IF(A1466="","",IFERROR(VLOOKUP(B1466,TblArticles,3,FALSE),""))</f>
        <v/>
      </c>
      <c r="E1466" s="9">
        <f>IFERROR(DATE(2000+VALUE(MID(H1466,FIND("15",H1466,FIND("01",H1466)+16)+2,2)),VALUE(MID(H1466,FIND("15",H1466,FIND("01",H1466)+16)+4,2)),VALUE(MID(H1466,FIND("15",H1466,FIND("01",H1466)+16)+6,2))),"")</f>
        <v/>
      </c>
      <c r="F1466" s="8">
        <f>IFERROR(MID(H1466,FIND("10",H1466,FIND("15",H1466,FIND("01",H1466)+16)+8)+2,50),"")</f>
        <v/>
      </c>
      <c r="G1466" s="8" t="n"/>
      <c r="H1466" s="8">
        <f>SUBSTITUTE(SUBSTITUTE(SUBSTITUTE(SUBSTITUTE(A1466,"(",""),")","")," ",""),CHAR(29),"")</f>
        <v/>
      </c>
    </row>
    <row r="1467">
      <c r="A1467" s="4" t="n"/>
      <c r="B1467" s="5">
        <f>IFERROR(MID(H1467,FIND("01",H1467)+2,14),"")</f>
        <v/>
      </c>
      <c r="C1467" s="4">
        <f>IF(A1467="","",IFERROR(VLOOKUP(B1467,TblArticles,2,FALSE),"GTIN inconnu"))</f>
        <v/>
      </c>
      <c r="D1467" s="5">
        <f>IF(A1467="","",IFERROR(VLOOKUP(B1467,TblArticles,3,FALSE),""))</f>
        <v/>
      </c>
      <c r="E1467" s="6">
        <f>IFERROR(DATE(2000+VALUE(MID(H1467,FIND("15",H1467,FIND("01",H1467)+16)+2,2)),VALUE(MID(H1467,FIND("15",H1467,FIND("01",H1467)+16)+4,2)),VALUE(MID(H1467,FIND("15",H1467,FIND("01",H1467)+16)+6,2))),"")</f>
        <v/>
      </c>
      <c r="F1467" s="5">
        <f>IFERROR(MID(H1467,FIND("10",H1467,FIND("15",H1467,FIND("01",H1467)+16)+8)+2,50),"")</f>
        <v/>
      </c>
      <c r="G1467" s="5" t="n"/>
      <c r="H1467" s="5">
        <f>SUBSTITUTE(SUBSTITUTE(SUBSTITUTE(SUBSTITUTE(A1467,"(",""),")","")," ",""),CHAR(29),"")</f>
        <v/>
      </c>
    </row>
    <row r="1468">
      <c r="A1468" s="7" t="n"/>
      <c r="B1468" s="8">
        <f>IFERROR(MID(H1468,FIND("01",H1468)+2,14),"")</f>
        <v/>
      </c>
      <c r="C1468" s="7">
        <f>IF(A1468="","",IFERROR(VLOOKUP(B1468,TblArticles,2,FALSE),"GTIN inconnu"))</f>
        <v/>
      </c>
      <c r="D1468" s="8">
        <f>IF(A1468="","",IFERROR(VLOOKUP(B1468,TblArticles,3,FALSE),""))</f>
        <v/>
      </c>
      <c r="E1468" s="9">
        <f>IFERROR(DATE(2000+VALUE(MID(H1468,FIND("15",H1468,FIND("01",H1468)+16)+2,2)),VALUE(MID(H1468,FIND("15",H1468,FIND("01",H1468)+16)+4,2)),VALUE(MID(H1468,FIND("15",H1468,FIND("01",H1468)+16)+6,2))),"")</f>
        <v/>
      </c>
      <c r="F1468" s="8">
        <f>IFERROR(MID(H1468,FIND("10",H1468,FIND("15",H1468,FIND("01",H1468)+16)+8)+2,50),"")</f>
        <v/>
      </c>
      <c r="G1468" s="8" t="n"/>
      <c r="H1468" s="8">
        <f>SUBSTITUTE(SUBSTITUTE(SUBSTITUTE(SUBSTITUTE(A1468,"(",""),")","")," ",""),CHAR(29),"")</f>
        <v/>
      </c>
    </row>
    <row r="1469">
      <c r="A1469" s="4" t="n"/>
      <c r="B1469" s="5">
        <f>IFERROR(MID(H1469,FIND("01",H1469)+2,14),"")</f>
        <v/>
      </c>
      <c r="C1469" s="4">
        <f>IF(A1469="","",IFERROR(VLOOKUP(B1469,TblArticles,2,FALSE),"GTIN inconnu"))</f>
        <v/>
      </c>
      <c r="D1469" s="5">
        <f>IF(A1469="","",IFERROR(VLOOKUP(B1469,TblArticles,3,FALSE),""))</f>
        <v/>
      </c>
      <c r="E1469" s="6">
        <f>IFERROR(DATE(2000+VALUE(MID(H1469,FIND("15",H1469,FIND("01",H1469)+16)+2,2)),VALUE(MID(H1469,FIND("15",H1469,FIND("01",H1469)+16)+4,2)),VALUE(MID(H1469,FIND("15",H1469,FIND("01",H1469)+16)+6,2))),"")</f>
        <v/>
      </c>
      <c r="F1469" s="5">
        <f>IFERROR(MID(H1469,FIND("10",H1469,FIND("15",H1469,FIND("01",H1469)+16)+8)+2,50),"")</f>
        <v/>
      </c>
      <c r="G1469" s="5" t="n"/>
      <c r="H1469" s="5">
        <f>SUBSTITUTE(SUBSTITUTE(SUBSTITUTE(SUBSTITUTE(A1469,"(",""),")","")," ",""),CHAR(29),"")</f>
        <v/>
      </c>
    </row>
    <row r="1470">
      <c r="A1470" s="7" t="n"/>
      <c r="B1470" s="8">
        <f>IFERROR(MID(H1470,FIND("01",H1470)+2,14),"")</f>
        <v/>
      </c>
      <c r="C1470" s="7">
        <f>IF(A1470="","",IFERROR(VLOOKUP(B1470,TblArticles,2,FALSE),"GTIN inconnu"))</f>
        <v/>
      </c>
      <c r="D1470" s="8">
        <f>IF(A1470="","",IFERROR(VLOOKUP(B1470,TblArticles,3,FALSE),""))</f>
        <v/>
      </c>
      <c r="E1470" s="9">
        <f>IFERROR(DATE(2000+VALUE(MID(H1470,FIND("15",H1470,FIND("01",H1470)+16)+2,2)),VALUE(MID(H1470,FIND("15",H1470,FIND("01",H1470)+16)+4,2)),VALUE(MID(H1470,FIND("15",H1470,FIND("01",H1470)+16)+6,2))),"")</f>
        <v/>
      </c>
      <c r="F1470" s="8">
        <f>IFERROR(MID(H1470,FIND("10",H1470,FIND("15",H1470,FIND("01",H1470)+16)+8)+2,50),"")</f>
        <v/>
      </c>
      <c r="G1470" s="8" t="n"/>
      <c r="H1470" s="8">
        <f>SUBSTITUTE(SUBSTITUTE(SUBSTITUTE(SUBSTITUTE(A1470,"(",""),")","")," ",""),CHAR(29),"")</f>
        <v/>
      </c>
    </row>
    <row r="1471">
      <c r="A1471" s="4" t="n"/>
      <c r="B1471" s="5">
        <f>IFERROR(MID(H1471,FIND("01",H1471)+2,14),"")</f>
        <v/>
      </c>
      <c r="C1471" s="4">
        <f>IF(A1471="","",IFERROR(VLOOKUP(B1471,TblArticles,2,FALSE),"GTIN inconnu"))</f>
        <v/>
      </c>
      <c r="D1471" s="5">
        <f>IF(A1471="","",IFERROR(VLOOKUP(B1471,TblArticles,3,FALSE),""))</f>
        <v/>
      </c>
      <c r="E1471" s="6">
        <f>IFERROR(DATE(2000+VALUE(MID(H1471,FIND("15",H1471,FIND("01",H1471)+16)+2,2)),VALUE(MID(H1471,FIND("15",H1471,FIND("01",H1471)+16)+4,2)),VALUE(MID(H1471,FIND("15",H1471,FIND("01",H1471)+16)+6,2))),"")</f>
        <v/>
      </c>
      <c r="F1471" s="5">
        <f>IFERROR(MID(H1471,FIND("10",H1471,FIND("15",H1471,FIND("01",H1471)+16)+8)+2,50),"")</f>
        <v/>
      </c>
      <c r="G1471" s="5" t="n"/>
      <c r="H1471" s="5">
        <f>SUBSTITUTE(SUBSTITUTE(SUBSTITUTE(SUBSTITUTE(A1471,"(",""),")","")," ",""),CHAR(29),"")</f>
        <v/>
      </c>
    </row>
    <row r="1472">
      <c r="A1472" s="7" t="n"/>
      <c r="B1472" s="8">
        <f>IFERROR(MID(H1472,FIND("01",H1472)+2,14),"")</f>
        <v/>
      </c>
      <c r="C1472" s="7">
        <f>IF(A1472="","",IFERROR(VLOOKUP(B1472,TblArticles,2,FALSE),"GTIN inconnu"))</f>
        <v/>
      </c>
      <c r="D1472" s="8">
        <f>IF(A1472="","",IFERROR(VLOOKUP(B1472,TblArticles,3,FALSE),""))</f>
        <v/>
      </c>
      <c r="E1472" s="9">
        <f>IFERROR(DATE(2000+VALUE(MID(H1472,FIND("15",H1472,FIND("01",H1472)+16)+2,2)),VALUE(MID(H1472,FIND("15",H1472,FIND("01",H1472)+16)+4,2)),VALUE(MID(H1472,FIND("15",H1472,FIND("01",H1472)+16)+6,2))),"")</f>
        <v/>
      </c>
      <c r="F1472" s="8">
        <f>IFERROR(MID(H1472,FIND("10",H1472,FIND("15",H1472,FIND("01",H1472)+16)+8)+2,50),"")</f>
        <v/>
      </c>
      <c r="G1472" s="8" t="n"/>
      <c r="H1472" s="8">
        <f>SUBSTITUTE(SUBSTITUTE(SUBSTITUTE(SUBSTITUTE(A1472,"(",""),")","")," ",""),CHAR(29),"")</f>
        <v/>
      </c>
    </row>
    <row r="1473">
      <c r="A1473" s="4" t="n"/>
      <c r="B1473" s="5">
        <f>IFERROR(MID(H1473,FIND("01",H1473)+2,14),"")</f>
        <v/>
      </c>
      <c r="C1473" s="4">
        <f>IF(A1473="","",IFERROR(VLOOKUP(B1473,TblArticles,2,FALSE),"GTIN inconnu"))</f>
        <v/>
      </c>
      <c r="D1473" s="5">
        <f>IF(A1473="","",IFERROR(VLOOKUP(B1473,TblArticles,3,FALSE),""))</f>
        <v/>
      </c>
      <c r="E1473" s="6">
        <f>IFERROR(DATE(2000+VALUE(MID(H1473,FIND("15",H1473,FIND("01",H1473)+16)+2,2)),VALUE(MID(H1473,FIND("15",H1473,FIND("01",H1473)+16)+4,2)),VALUE(MID(H1473,FIND("15",H1473,FIND("01",H1473)+16)+6,2))),"")</f>
        <v/>
      </c>
      <c r="F1473" s="5">
        <f>IFERROR(MID(H1473,FIND("10",H1473,FIND("15",H1473,FIND("01",H1473)+16)+8)+2,50),"")</f>
        <v/>
      </c>
      <c r="G1473" s="5" t="n"/>
      <c r="H1473" s="5">
        <f>SUBSTITUTE(SUBSTITUTE(SUBSTITUTE(SUBSTITUTE(A1473,"(",""),")","")," ",""),CHAR(29),"")</f>
        <v/>
      </c>
    </row>
    <row r="1474">
      <c r="A1474" s="7" t="n"/>
      <c r="B1474" s="8">
        <f>IFERROR(MID(H1474,FIND("01",H1474)+2,14),"")</f>
        <v/>
      </c>
      <c r="C1474" s="7">
        <f>IF(A1474="","",IFERROR(VLOOKUP(B1474,TblArticles,2,FALSE),"GTIN inconnu"))</f>
        <v/>
      </c>
      <c r="D1474" s="8">
        <f>IF(A1474="","",IFERROR(VLOOKUP(B1474,TblArticles,3,FALSE),""))</f>
        <v/>
      </c>
      <c r="E1474" s="9">
        <f>IFERROR(DATE(2000+VALUE(MID(H1474,FIND("15",H1474,FIND("01",H1474)+16)+2,2)),VALUE(MID(H1474,FIND("15",H1474,FIND("01",H1474)+16)+4,2)),VALUE(MID(H1474,FIND("15",H1474,FIND("01",H1474)+16)+6,2))),"")</f>
        <v/>
      </c>
      <c r="F1474" s="8">
        <f>IFERROR(MID(H1474,FIND("10",H1474,FIND("15",H1474,FIND("01",H1474)+16)+8)+2,50),"")</f>
        <v/>
      </c>
      <c r="G1474" s="8" t="n"/>
      <c r="H1474" s="8">
        <f>SUBSTITUTE(SUBSTITUTE(SUBSTITUTE(SUBSTITUTE(A1474,"(",""),")","")," ",""),CHAR(29),"")</f>
        <v/>
      </c>
    </row>
    <row r="1475">
      <c r="A1475" s="4" t="n"/>
      <c r="B1475" s="5">
        <f>IFERROR(MID(H1475,FIND("01",H1475)+2,14),"")</f>
        <v/>
      </c>
      <c r="C1475" s="4">
        <f>IF(A1475="","",IFERROR(VLOOKUP(B1475,TblArticles,2,FALSE),"GTIN inconnu"))</f>
        <v/>
      </c>
      <c r="D1475" s="5">
        <f>IF(A1475="","",IFERROR(VLOOKUP(B1475,TblArticles,3,FALSE),""))</f>
        <v/>
      </c>
      <c r="E1475" s="6">
        <f>IFERROR(DATE(2000+VALUE(MID(H1475,FIND("15",H1475,FIND("01",H1475)+16)+2,2)),VALUE(MID(H1475,FIND("15",H1475,FIND("01",H1475)+16)+4,2)),VALUE(MID(H1475,FIND("15",H1475,FIND("01",H1475)+16)+6,2))),"")</f>
        <v/>
      </c>
      <c r="F1475" s="5">
        <f>IFERROR(MID(H1475,FIND("10",H1475,FIND("15",H1475,FIND("01",H1475)+16)+8)+2,50),"")</f>
        <v/>
      </c>
      <c r="G1475" s="5" t="n"/>
      <c r="H1475" s="5">
        <f>SUBSTITUTE(SUBSTITUTE(SUBSTITUTE(SUBSTITUTE(A1475,"(",""),")","")," ",""),CHAR(29),"")</f>
        <v/>
      </c>
    </row>
    <row r="1476">
      <c r="A1476" s="7" t="n"/>
      <c r="B1476" s="8">
        <f>IFERROR(MID(H1476,FIND("01",H1476)+2,14),"")</f>
        <v/>
      </c>
      <c r="C1476" s="7">
        <f>IF(A1476="","",IFERROR(VLOOKUP(B1476,TblArticles,2,FALSE),"GTIN inconnu"))</f>
        <v/>
      </c>
      <c r="D1476" s="8">
        <f>IF(A1476="","",IFERROR(VLOOKUP(B1476,TblArticles,3,FALSE),""))</f>
        <v/>
      </c>
      <c r="E1476" s="9">
        <f>IFERROR(DATE(2000+VALUE(MID(H1476,FIND("15",H1476,FIND("01",H1476)+16)+2,2)),VALUE(MID(H1476,FIND("15",H1476,FIND("01",H1476)+16)+4,2)),VALUE(MID(H1476,FIND("15",H1476,FIND("01",H1476)+16)+6,2))),"")</f>
        <v/>
      </c>
      <c r="F1476" s="8">
        <f>IFERROR(MID(H1476,FIND("10",H1476,FIND("15",H1476,FIND("01",H1476)+16)+8)+2,50),"")</f>
        <v/>
      </c>
      <c r="G1476" s="8" t="n"/>
      <c r="H1476" s="8">
        <f>SUBSTITUTE(SUBSTITUTE(SUBSTITUTE(SUBSTITUTE(A1476,"(",""),")","")," ",""),CHAR(29),"")</f>
        <v/>
      </c>
    </row>
    <row r="1477">
      <c r="A1477" s="4" t="n"/>
      <c r="B1477" s="5">
        <f>IFERROR(MID(H1477,FIND("01",H1477)+2,14),"")</f>
        <v/>
      </c>
      <c r="C1477" s="4">
        <f>IF(A1477="","",IFERROR(VLOOKUP(B1477,TblArticles,2,FALSE),"GTIN inconnu"))</f>
        <v/>
      </c>
      <c r="D1477" s="5">
        <f>IF(A1477="","",IFERROR(VLOOKUP(B1477,TblArticles,3,FALSE),""))</f>
        <v/>
      </c>
      <c r="E1477" s="6">
        <f>IFERROR(DATE(2000+VALUE(MID(H1477,FIND("15",H1477,FIND("01",H1477)+16)+2,2)),VALUE(MID(H1477,FIND("15",H1477,FIND("01",H1477)+16)+4,2)),VALUE(MID(H1477,FIND("15",H1477,FIND("01",H1477)+16)+6,2))),"")</f>
        <v/>
      </c>
      <c r="F1477" s="5">
        <f>IFERROR(MID(H1477,FIND("10",H1477,FIND("15",H1477,FIND("01",H1477)+16)+8)+2,50),"")</f>
        <v/>
      </c>
      <c r="G1477" s="5" t="n"/>
      <c r="H1477" s="5">
        <f>SUBSTITUTE(SUBSTITUTE(SUBSTITUTE(SUBSTITUTE(A1477,"(",""),")","")," ",""),CHAR(29),"")</f>
        <v/>
      </c>
    </row>
    <row r="1478">
      <c r="A1478" s="7" t="n"/>
      <c r="B1478" s="8">
        <f>IFERROR(MID(H1478,FIND("01",H1478)+2,14),"")</f>
        <v/>
      </c>
      <c r="C1478" s="7">
        <f>IF(A1478="","",IFERROR(VLOOKUP(B1478,TblArticles,2,FALSE),"GTIN inconnu"))</f>
        <v/>
      </c>
      <c r="D1478" s="8">
        <f>IF(A1478="","",IFERROR(VLOOKUP(B1478,TblArticles,3,FALSE),""))</f>
        <v/>
      </c>
      <c r="E1478" s="9">
        <f>IFERROR(DATE(2000+VALUE(MID(H1478,FIND("15",H1478,FIND("01",H1478)+16)+2,2)),VALUE(MID(H1478,FIND("15",H1478,FIND("01",H1478)+16)+4,2)),VALUE(MID(H1478,FIND("15",H1478,FIND("01",H1478)+16)+6,2))),"")</f>
        <v/>
      </c>
      <c r="F1478" s="8">
        <f>IFERROR(MID(H1478,FIND("10",H1478,FIND("15",H1478,FIND("01",H1478)+16)+8)+2,50),"")</f>
        <v/>
      </c>
      <c r="G1478" s="8" t="n"/>
      <c r="H1478" s="8">
        <f>SUBSTITUTE(SUBSTITUTE(SUBSTITUTE(SUBSTITUTE(A1478,"(",""),")","")," ",""),CHAR(29),"")</f>
        <v/>
      </c>
    </row>
    <row r="1479">
      <c r="A1479" s="4" t="n"/>
      <c r="B1479" s="5">
        <f>IFERROR(MID(H1479,FIND("01",H1479)+2,14),"")</f>
        <v/>
      </c>
      <c r="C1479" s="4">
        <f>IF(A1479="","",IFERROR(VLOOKUP(B1479,TblArticles,2,FALSE),"GTIN inconnu"))</f>
        <v/>
      </c>
      <c r="D1479" s="5">
        <f>IF(A1479="","",IFERROR(VLOOKUP(B1479,TblArticles,3,FALSE),""))</f>
        <v/>
      </c>
      <c r="E1479" s="6">
        <f>IFERROR(DATE(2000+VALUE(MID(H1479,FIND("15",H1479,FIND("01",H1479)+16)+2,2)),VALUE(MID(H1479,FIND("15",H1479,FIND("01",H1479)+16)+4,2)),VALUE(MID(H1479,FIND("15",H1479,FIND("01",H1479)+16)+6,2))),"")</f>
        <v/>
      </c>
      <c r="F1479" s="5">
        <f>IFERROR(MID(H1479,FIND("10",H1479,FIND("15",H1479,FIND("01",H1479)+16)+8)+2,50),"")</f>
        <v/>
      </c>
      <c r="G1479" s="5" t="n"/>
      <c r="H1479" s="5">
        <f>SUBSTITUTE(SUBSTITUTE(SUBSTITUTE(SUBSTITUTE(A1479,"(",""),")","")," ",""),CHAR(29),"")</f>
        <v/>
      </c>
    </row>
    <row r="1480">
      <c r="A1480" s="7" t="n"/>
      <c r="B1480" s="8">
        <f>IFERROR(MID(H1480,FIND("01",H1480)+2,14),"")</f>
        <v/>
      </c>
      <c r="C1480" s="7">
        <f>IF(A1480="","",IFERROR(VLOOKUP(B1480,TblArticles,2,FALSE),"GTIN inconnu"))</f>
        <v/>
      </c>
      <c r="D1480" s="8">
        <f>IF(A1480="","",IFERROR(VLOOKUP(B1480,TblArticles,3,FALSE),""))</f>
        <v/>
      </c>
      <c r="E1480" s="9">
        <f>IFERROR(DATE(2000+VALUE(MID(H1480,FIND("15",H1480,FIND("01",H1480)+16)+2,2)),VALUE(MID(H1480,FIND("15",H1480,FIND("01",H1480)+16)+4,2)),VALUE(MID(H1480,FIND("15",H1480,FIND("01",H1480)+16)+6,2))),"")</f>
        <v/>
      </c>
      <c r="F1480" s="8">
        <f>IFERROR(MID(H1480,FIND("10",H1480,FIND("15",H1480,FIND("01",H1480)+16)+8)+2,50),"")</f>
        <v/>
      </c>
      <c r="G1480" s="8" t="n"/>
      <c r="H1480" s="8">
        <f>SUBSTITUTE(SUBSTITUTE(SUBSTITUTE(SUBSTITUTE(A1480,"(",""),")","")," ",""),CHAR(29),"")</f>
        <v/>
      </c>
    </row>
    <row r="1481">
      <c r="A1481" s="4" t="n"/>
      <c r="B1481" s="5">
        <f>IFERROR(MID(H1481,FIND("01",H1481)+2,14),"")</f>
        <v/>
      </c>
      <c r="C1481" s="4">
        <f>IF(A1481="","",IFERROR(VLOOKUP(B1481,TblArticles,2,FALSE),"GTIN inconnu"))</f>
        <v/>
      </c>
      <c r="D1481" s="5">
        <f>IF(A1481="","",IFERROR(VLOOKUP(B1481,TblArticles,3,FALSE),""))</f>
        <v/>
      </c>
      <c r="E1481" s="6">
        <f>IFERROR(DATE(2000+VALUE(MID(H1481,FIND("15",H1481,FIND("01",H1481)+16)+2,2)),VALUE(MID(H1481,FIND("15",H1481,FIND("01",H1481)+16)+4,2)),VALUE(MID(H1481,FIND("15",H1481,FIND("01",H1481)+16)+6,2))),"")</f>
        <v/>
      </c>
      <c r="F1481" s="5">
        <f>IFERROR(MID(H1481,FIND("10",H1481,FIND("15",H1481,FIND("01",H1481)+16)+8)+2,50),"")</f>
        <v/>
      </c>
      <c r="G1481" s="5" t="n"/>
      <c r="H1481" s="5">
        <f>SUBSTITUTE(SUBSTITUTE(SUBSTITUTE(SUBSTITUTE(A1481,"(",""),")","")," ",""),CHAR(29),"")</f>
        <v/>
      </c>
    </row>
    <row r="1482">
      <c r="A1482" s="7" t="n"/>
      <c r="B1482" s="8">
        <f>IFERROR(MID(H1482,FIND("01",H1482)+2,14),"")</f>
        <v/>
      </c>
      <c r="C1482" s="7">
        <f>IF(A1482="","",IFERROR(VLOOKUP(B1482,TblArticles,2,FALSE),"GTIN inconnu"))</f>
        <v/>
      </c>
      <c r="D1482" s="8">
        <f>IF(A1482="","",IFERROR(VLOOKUP(B1482,TblArticles,3,FALSE),""))</f>
        <v/>
      </c>
      <c r="E1482" s="9">
        <f>IFERROR(DATE(2000+VALUE(MID(H1482,FIND("15",H1482,FIND("01",H1482)+16)+2,2)),VALUE(MID(H1482,FIND("15",H1482,FIND("01",H1482)+16)+4,2)),VALUE(MID(H1482,FIND("15",H1482,FIND("01",H1482)+16)+6,2))),"")</f>
        <v/>
      </c>
      <c r="F1482" s="8">
        <f>IFERROR(MID(H1482,FIND("10",H1482,FIND("15",H1482,FIND("01",H1482)+16)+8)+2,50),"")</f>
        <v/>
      </c>
      <c r="G1482" s="8" t="n"/>
      <c r="H1482" s="8">
        <f>SUBSTITUTE(SUBSTITUTE(SUBSTITUTE(SUBSTITUTE(A1482,"(",""),")","")," ",""),CHAR(29),"")</f>
        <v/>
      </c>
    </row>
    <row r="1483">
      <c r="A1483" s="4" t="n"/>
      <c r="B1483" s="5">
        <f>IFERROR(MID(H1483,FIND("01",H1483)+2,14),"")</f>
        <v/>
      </c>
      <c r="C1483" s="4">
        <f>IF(A1483="","",IFERROR(VLOOKUP(B1483,TblArticles,2,FALSE),"GTIN inconnu"))</f>
        <v/>
      </c>
      <c r="D1483" s="5">
        <f>IF(A1483="","",IFERROR(VLOOKUP(B1483,TblArticles,3,FALSE),""))</f>
        <v/>
      </c>
      <c r="E1483" s="6">
        <f>IFERROR(DATE(2000+VALUE(MID(H1483,FIND("15",H1483,FIND("01",H1483)+16)+2,2)),VALUE(MID(H1483,FIND("15",H1483,FIND("01",H1483)+16)+4,2)),VALUE(MID(H1483,FIND("15",H1483,FIND("01",H1483)+16)+6,2))),"")</f>
        <v/>
      </c>
      <c r="F1483" s="5">
        <f>IFERROR(MID(H1483,FIND("10",H1483,FIND("15",H1483,FIND("01",H1483)+16)+8)+2,50),"")</f>
        <v/>
      </c>
      <c r="G1483" s="5" t="n"/>
      <c r="H1483" s="5">
        <f>SUBSTITUTE(SUBSTITUTE(SUBSTITUTE(SUBSTITUTE(A1483,"(",""),")","")," ",""),CHAR(29),"")</f>
        <v/>
      </c>
    </row>
    <row r="1484">
      <c r="A1484" s="7" t="n"/>
      <c r="B1484" s="8">
        <f>IFERROR(MID(H1484,FIND("01",H1484)+2,14),"")</f>
        <v/>
      </c>
      <c r="C1484" s="7">
        <f>IF(A1484="","",IFERROR(VLOOKUP(B1484,TblArticles,2,FALSE),"GTIN inconnu"))</f>
        <v/>
      </c>
      <c r="D1484" s="8">
        <f>IF(A1484="","",IFERROR(VLOOKUP(B1484,TblArticles,3,FALSE),""))</f>
        <v/>
      </c>
      <c r="E1484" s="9">
        <f>IFERROR(DATE(2000+VALUE(MID(H1484,FIND("15",H1484,FIND("01",H1484)+16)+2,2)),VALUE(MID(H1484,FIND("15",H1484,FIND("01",H1484)+16)+4,2)),VALUE(MID(H1484,FIND("15",H1484,FIND("01",H1484)+16)+6,2))),"")</f>
        <v/>
      </c>
      <c r="F1484" s="8">
        <f>IFERROR(MID(H1484,FIND("10",H1484,FIND("15",H1484,FIND("01",H1484)+16)+8)+2,50),"")</f>
        <v/>
      </c>
      <c r="G1484" s="8" t="n"/>
      <c r="H1484" s="8">
        <f>SUBSTITUTE(SUBSTITUTE(SUBSTITUTE(SUBSTITUTE(A1484,"(",""),")","")," ",""),CHAR(29),"")</f>
        <v/>
      </c>
    </row>
    <row r="1485">
      <c r="A1485" s="4" t="n"/>
      <c r="B1485" s="5">
        <f>IFERROR(MID(H1485,FIND("01",H1485)+2,14),"")</f>
        <v/>
      </c>
      <c r="C1485" s="4">
        <f>IF(A1485="","",IFERROR(VLOOKUP(B1485,TblArticles,2,FALSE),"GTIN inconnu"))</f>
        <v/>
      </c>
      <c r="D1485" s="5">
        <f>IF(A1485="","",IFERROR(VLOOKUP(B1485,TblArticles,3,FALSE),""))</f>
        <v/>
      </c>
      <c r="E1485" s="6">
        <f>IFERROR(DATE(2000+VALUE(MID(H1485,FIND("15",H1485,FIND("01",H1485)+16)+2,2)),VALUE(MID(H1485,FIND("15",H1485,FIND("01",H1485)+16)+4,2)),VALUE(MID(H1485,FIND("15",H1485,FIND("01",H1485)+16)+6,2))),"")</f>
        <v/>
      </c>
      <c r="F1485" s="5">
        <f>IFERROR(MID(H1485,FIND("10",H1485,FIND("15",H1485,FIND("01",H1485)+16)+8)+2,50),"")</f>
        <v/>
      </c>
      <c r="G1485" s="5" t="n"/>
      <c r="H1485" s="5">
        <f>SUBSTITUTE(SUBSTITUTE(SUBSTITUTE(SUBSTITUTE(A1485,"(",""),")","")," ",""),CHAR(29),"")</f>
        <v/>
      </c>
    </row>
    <row r="1486">
      <c r="A1486" s="7" t="n"/>
      <c r="B1486" s="8">
        <f>IFERROR(MID(H1486,FIND("01",H1486)+2,14),"")</f>
        <v/>
      </c>
      <c r="C1486" s="7">
        <f>IF(A1486="","",IFERROR(VLOOKUP(B1486,TblArticles,2,FALSE),"GTIN inconnu"))</f>
        <v/>
      </c>
      <c r="D1486" s="8">
        <f>IF(A1486="","",IFERROR(VLOOKUP(B1486,TblArticles,3,FALSE),""))</f>
        <v/>
      </c>
      <c r="E1486" s="9">
        <f>IFERROR(DATE(2000+VALUE(MID(H1486,FIND("15",H1486,FIND("01",H1486)+16)+2,2)),VALUE(MID(H1486,FIND("15",H1486,FIND("01",H1486)+16)+4,2)),VALUE(MID(H1486,FIND("15",H1486,FIND("01",H1486)+16)+6,2))),"")</f>
        <v/>
      </c>
      <c r="F1486" s="8">
        <f>IFERROR(MID(H1486,FIND("10",H1486,FIND("15",H1486,FIND("01",H1486)+16)+8)+2,50),"")</f>
        <v/>
      </c>
      <c r="G1486" s="8" t="n"/>
      <c r="H1486" s="8">
        <f>SUBSTITUTE(SUBSTITUTE(SUBSTITUTE(SUBSTITUTE(A1486,"(",""),")","")," ",""),CHAR(29),"")</f>
        <v/>
      </c>
    </row>
    <row r="1487">
      <c r="A1487" s="4" t="n"/>
      <c r="B1487" s="5">
        <f>IFERROR(MID(H1487,FIND("01",H1487)+2,14),"")</f>
        <v/>
      </c>
      <c r="C1487" s="4">
        <f>IF(A1487="","",IFERROR(VLOOKUP(B1487,TblArticles,2,FALSE),"GTIN inconnu"))</f>
        <v/>
      </c>
      <c r="D1487" s="5">
        <f>IF(A1487="","",IFERROR(VLOOKUP(B1487,TblArticles,3,FALSE),""))</f>
        <v/>
      </c>
      <c r="E1487" s="6">
        <f>IFERROR(DATE(2000+VALUE(MID(H1487,FIND("15",H1487,FIND("01",H1487)+16)+2,2)),VALUE(MID(H1487,FIND("15",H1487,FIND("01",H1487)+16)+4,2)),VALUE(MID(H1487,FIND("15",H1487,FIND("01",H1487)+16)+6,2))),"")</f>
        <v/>
      </c>
      <c r="F1487" s="5">
        <f>IFERROR(MID(H1487,FIND("10",H1487,FIND("15",H1487,FIND("01",H1487)+16)+8)+2,50),"")</f>
        <v/>
      </c>
      <c r="G1487" s="5" t="n"/>
      <c r="H1487" s="5">
        <f>SUBSTITUTE(SUBSTITUTE(SUBSTITUTE(SUBSTITUTE(A1487,"(",""),")","")," ",""),CHAR(29),"")</f>
        <v/>
      </c>
    </row>
    <row r="1488">
      <c r="A1488" s="7" t="n"/>
      <c r="B1488" s="8">
        <f>IFERROR(MID(H1488,FIND("01",H1488)+2,14),"")</f>
        <v/>
      </c>
      <c r="C1488" s="7">
        <f>IF(A1488="","",IFERROR(VLOOKUP(B1488,TblArticles,2,FALSE),"GTIN inconnu"))</f>
        <v/>
      </c>
      <c r="D1488" s="8">
        <f>IF(A1488="","",IFERROR(VLOOKUP(B1488,TblArticles,3,FALSE),""))</f>
        <v/>
      </c>
      <c r="E1488" s="9">
        <f>IFERROR(DATE(2000+VALUE(MID(H1488,FIND("15",H1488,FIND("01",H1488)+16)+2,2)),VALUE(MID(H1488,FIND("15",H1488,FIND("01",H1488)+16)+4,2)),VALUE(MID(H1488,FIND("15",H1488,FIND("01",H1488)+16)+6,2))),"")</f>
        <v/>
      </c>
      <c r="F1488" s="8">
        <f>IFERROR(MID(H1488,FIND("10",H1488,FIND("15",H1488,FIND("01",H1488)+16)+8)+2,50),"")</f>
        <v/>
      </c>
      <c r="G1488" s="8" t="n"/>
      <c r="H1488" s="8">
        <f>SUBSTITUTE(SUBSTITUTE(SUBSTITUTE(SUBSTITUTE(A1488,"(",""),")","")," ",""),CHAR(29),"")</f>
        <v/>
      </c>
    </row>
    <row r="1489">
      <c r="A1489" s="4" t="n"/>
      <c r="B1489" s="5">
        <f>IFERROR(MID(H1489,FIND("01",H1489)+2,14),"")</f>
        <v/>
      </c>
      <c r="C1489" s="4">
        <f>IF(A1489="","",IFERROR(VLOOKUP(B1489,TblArticles,2,FALSE),"GTIN inconnu"))</f>
        <v/>
      </c>
      <c r="D1489" s="5">
        <f>IF(A1489="","",IFERROR(VLOOKUP(B1489,TblArticles,3,FALSE),""))</f>
        <v/>
      </c>
      <c r="E1489" s="6">
        <f>IFERROR(DATE(2000+VALUE(MID(H1489,FIND("15",H1489,FIND("01",H1489)+16)+2,2)),VALUE(MID(H1489,FIND("15",H1489,FIND("01",H1489)+16)+4,2)),VALUE(MID(H1489,FIND("15",H1489,FIND("01",H1489)+16)+6,2))),"")</f>
        <v/>
      </c>
      <c r="F1489" s="5">
        <f>IFERROR(MID(H1489,FIND("10",H1489,FIND("15",H1489,FIND("01",H1489)+16)+8)+2,50),"")</f>
        <v/>
      </c>
      <c r="G1489" s="5" t="n"/>
      <c r="H1489" s="5">
        <f>SUBSTITUTE(SUBSTITUTE(SUBSTITUTE(SUBSTITUTE(A1489,"(",""),")","")," ",""),CHAR(29),"")</f>
        <v/>
      </c>
    </row>
    <row r="1490">
      <c r="A1490" s="7" t="n"/>
      <c r="B1490" s="8">
        <f>IFERROR(MID(H1490,FIND("01",H1490)+2,14),"")</f>
        <v/>
      </c>
      <c r="C1490" s="7">
        <f>IF(A1490="","",IFERROR(VLOOKUP(B1490,TblArticles,2,FALSE),"GTIN inconnu"))</f>
        <v/>
      </c>
      <c r="D1490" s="8">
        <f>IF(A1490="","",IFERROR(VLOOKUP(B1490,TblArticles,3,FALSE),""))</f>
        <v/>
      </c>
      <c r="E1490" s="9">
        <f>IFERROR(DATE(2000+VALUE(MID(H1490,FIND("15",H1490,FIND("01",H1490)+16)+2,2)),VALUE(MID(H1490,FIND("15",H1490,FIND("01",H1490)+16)+4,2)),VALUE(MID(H1490,FIND("15",H1490,FIND("01",H1490)+16)+6,2))),"")</f>
        <v/>
      </c>
      <c r="F1490" s="8">
        <f>IFERROR(MID(H1490,FIND("10",H1490,FIND("15",H1490,FIND("01",H1490)+16)+8)+2,50),"")</f>
        <v/>
      </c>
      <c r="G1490" s="8" t="n"/>
      <c r="H1490" s="8">
        <f>SUBSTITUTE(SUBSTITUTE(SUBSTITUTE(SUBSTITUTE(A1490,"(",""),")","")," ",""),CHAR(29),"")</f>
        <v/>
      </c>
    </row>
    <row r="1491">
      <c r="A1491" s="4" t="n"/>
      <c r="B1491" s="5">
        <f>IFERROR(MID(H1491,FIND("01",H1491)+2,14),"")</f>
        <v/>
      </c>
      <c r="C1491" s="4">
        <f>IF(A1491="","",IFERROR(VLOOKUP(B1491,TblArticles,2,FALSE),"GTIN inconnu"))</f>
        <v/>
      </c>
      <c r="D1491" s="5">
        <f>IF(A1491="","",IFERROR(VLOOKUP(B1491,TblArticles,3,FALSE),""))</f>
        <v/>
      </c>
      <c r="E1491" s="6">
        <f>IFERROR(DATE(2000+VALUE(MID(H1491,FIND("15",H1491,FIND("01",H1491)+16)+2,2)),VALUE(MID(H1491,FIND("15",H1491,FIND("01",H1491)+16)+4,2)),VALUE(MID(H1491,FIND("15",H1491,FIND("01",H1491)+16)+6,2))),"")</f>
        <v/>
      </c>
      <c r="F1491" s="5">
        <f>IFERROR(MID(H1491,FIND("10",H1491,FIND("15",H1491,FIND("01",H1491)+16)+8)+2,50),"")</f>
        <v/>
      </c>
      <c r="G1491" s="5" t="n"/>
      <c r="H1491" s="5">
        <f>SUBSTITUTE(SUBSTITUTE(SUBSTITUTE(SUBSTITUTE(A1491,"(",""),")","")," ",""),CHAR(29),"")</f>
        <v/>
      </c>
    </row>
    <row r="1492">
      <c r="A1492" s="7" t="n"/>
      <c r="B1492" s="8">
        <f>IFERROR(MID(H1492,FIND("01",H1492)+2,14),"")</f>
        <v/>
      </c>
      <c r="C1492" s="7">
        <f>IF(A1492="","",IFERROR(VLOOKUP(B1492,TblArticles,2,FALSE),"GTIN inconnu"))</f>
        <v/>
      </c>
      <c r="D1492" s="8">
        <f>IF(A1492="","",IFERROR(VLOOKUP(B1492,TblArticles,3,FALSE),""))</f>
        <v/>
      </c>
      <c r="E1492" s="9">
        <f>IFERROR(DATE(2000+VALUE(MID(H1492,FIND("15",H1492,FIND("01",H1492)+16)+2,2)),VALUE(MID(H1492,FIND("15",H1492,FIND("01",H1492)+16)+4,2)),VALUE(MID(H1492,FIND("15",H1492,FIND("01",H1492)+16)+6,2))),"")</f>
        <v/>
      </c>
      <c r="F1492" s="8">
        <f>IFERROR(MID(H1492,FIND("10",H1492,FIND("15",H1492,FIND("01",H1492)+16)+8)+2,50),"")</f>
        <v/>
      </c>
      <c r="G1492" s="8" t="n"/>
      <c r="H1492" s="8">
        <f>SUBSTITUTE(SUBSTITUTE(SUBSTITUTE(SUBSTITUTE(A1492,"(",""),")","")," ",""),CHAR(29),"")</f>
        <v/>
      </c>
    </row>
    <row r="1493">
      <c r="A1493" s="4" t="n"/>
      <c r="B1493" s="5">
        <f>IFERROR(MID(H1493,FIND("01",H1493)+2,14),"")</f>
        <v/>
      </c>
      <c r="C1493" s="4">
        <f>IF(A1493="","",IFERROR(VLOOKUP(B1493,TblArticles,2,FALSE),"GTIN inconnu"))</f>
        <v/>
      </c>
      <c r="D1493" s="5">
        <f>IF(A1493="","",IFERROR(VLOOKUP(B1493,TblArticles,3,FALSE),""))</f>
        <v/>
      </c>
      <c r="E1493" s="6">
        <f>IFERROR(DATE(2000+VALUE(MID(H1493,FIND("15",H1493,FIND("01",H1493)+16)+2,2)),VALUE(MID(H1493,FIND("15",H1493,FIND("01",H1493)+16)+4,2)),VALUE(MID(H1493,FIND("15",H1493,FIND("01",H1493)+16)+6,2))),"")</f>
        <v/>
      </c>
      <c r="F1493" s="5">
        <f>IFERROR(MID(H1493,FIND("10",H1493,FIND("15",H1493,FIND("01",H1493)+16)+8)+2,50),"")</f>
        <v/>
      </c>
      <c r="G1493" s="5" t="n"/>
      <c r="H1493" s="5">
        <f>SUBSTITUTE(SUBSTITUTE(SUBSTITUTE(SUBSTITUTE(A1493,"(",""),")","")," ",""),CHAR(29),"")</f>
        <v/>
      </c>
    </row>
    <row r="1494">
      <c r="A1494" s="7" t="n"/>
      <c r="B1494" s="8">
        <f>IFERROR(MID(H1494,FIND("01",H1494)+2,14),"")</f>
        <v/>
      </c>
      <c r="C1494" s="7">
        <f>IF(A1494="","",IFERROR(VLOOKUP(B1494,TblArticles,2,FALSE),"GTIN inconnu"))</f>
        <v/>
      </c>
      <c r="D1494" s="8">
        <f>IF(A1494="","",IFERROR(VLOOKUP(B1494,TblArticles,3,FALSE),""))</f>
        <v/>
      </c>
      <c r="E1494" s="9">
        <f>IFERROR(DATE(2000+VALUE(MID(H1494,FIND("15",H1494,FIND("01",H1494)+16)+2,2)),VALUE(MID(H1494,FIND("15",H1494,FIND("01",H1494)+16)+4,2)),VALUE(MID(H1494,FIND("15",H1494,FIND("01",H1494)+16)+6,2))),"")</f>
        <v/>
      </c>
      <c r="F1494" s="8">
        <f>IFERROR(MID(H1494,FIND("10",H1494,FIND("15",H1494,FIND("01",H1494)+16)+8)+2,50),"")</f>
        <v/>
      </c>
      <c r="G1494" s="8" t="n"/>
      <c r="H1494" s="8">
        <f>SUBSTITUTE(SUBSTITUTE(SUBSTITUTE(SUBSTITUTE(A1494,"(",""),")","")," ",""),CHAR(29),"")</f>
        <v/>
      </c>
    </row>
    <row r="1495">
      <c r="A1495" s="4" t="n"/>
      <c r="B1495" s="5">
        <f>IFERROR(MID(H1495,FIND("01",H1495)+2,14),"")</f>
        <v/>
      </c>
      <c r="C1495" s="4">
        <f>IF(A1495="","",IFERROR(VLOOKUP(B1495,TblArticles,2,FALSE),"GTIN inconnu"))</f>
        <v/>
      </c>
      <c r="D1495" s="5">
        <f>IF(A1495="","",IFERROR(VLOOKUP(B1495,TblArticles,3,FALSE),""))</f>
        <v/>
      </c>
      <c r="E1495" s="6">
        <f>IFERROR(DATE(2000+VALUE(MID(H1495,FIND("15",H1495,FIND("01",H1495)+16)+2,2)),VALUE(MID(H1495,FIND("15",H1495,FIND("01",H1495)+16)+4,2)),VALUE(MID(H1495,FIND("15",H1495,FIND("01",H1495)+16)+6,2))),"")</f>
        <v/>
      </c>
      <c r="F1495" s="5">
        <f>IFERROR(MID(H1495,FIND("10",H1495,FIND("15",H1495,FIND("01",H1495)+16)+8)+2,50),"")</f>
        <v/>
      </c>
      <c r="G1495" s="5" t="n"/>
      <c r="H1495" s="5">
        <f>SUBSTITUTE(SUBSTITUTE(SUBSTITUTE(SUBSTITUTE(A1495,"(",""),")","")," ",""),CHAR(29),"")</f>
        <v/>
      </c>
    </row>
    <row r="1496">
      <c r="A1496" s="7" t="n"/>
      <c r="B1496" s="8">
        <f>IFERROR(MID(H1496,FIND("01",H1496)+2,14),"")</f>
        <v/>
      </c>
      <c r="C1496" s="7">
        <f>IF(A1496="","",IFERROR(VLOOKUP(B1496,TblArticles,2,FALSE),"GTIN inconnu"))</f>
        <v/>
      </c>
      <c r="D1496" s="8">
        <f>IF(A1496="","",IFERROR(VLOOKUP(B1496,TblArticles,3,FALSE),""))</f>
        <v/>
      </c>
      <c r="E1496" s="9">
        <f>IFERROR(DATE(2000+VALUE(MID(H1496,FIND("15",H1496,FIND("01",H1496)+16)+2,2)),VALUE(MID(H1496,FIND("15",H1496,FIND("01",H1496)+16)+4,2)),VALUE(MID(H1496,FIND("15",H1496,FIND("01",H1496)+16)+6,2))),"")</f>
        <v/>
      </c>
      <c r="F1496" s="8">
        <f>IFERROR(MID(H1496,FIND("10",H1496,FIND("15",H1496,FIND("01",H1496)+16)+8)+2,50),"")</f>
        <v/>
      </c>
      <c r="G1496" s="8" t="n"/>
      <c r="H1496" s="8">
        <f>SUBSTITUTE(SUBSTITUTE(SUBSTITUTE(SUBSTITUTE(A1496,"(",""),")","")," ",""),CHAR(29),"")</f>
        <v/>
      </c>
    </row>
    <row r="1497">
      <c r="A1497" s="4" t="n"/>
      <c r="B1497" s="5">
        <f>IFERROR(MID(H1497,FIND("01",H1497)+2,14),"")</f>
        <v/>
      </c>
      <c r="C1497" s="4">
        <f>IF(A1497="","",IFERROR(VLOOKUP(B1497,TblArticles,2,FALSE),"GTIN inconnu"))</f>
        <v/>
      </c>
      <c r="D1497" s="5">
        <f>IF(A1497="","",IFERROR(VLOOKUP(B1497,TblArticles,3,FALSE),""))</f>
        <v/>
      </c>
      <c r="E1497" s="6">
        <f>IFERROR(DATE(2000+VALUE(MID(H1497,FIND("15",H1497,FIND("01",H1497)+16)+2,2)),VALUE(MID(H1497,FIND("15",H1497,FIND("01",H1497)+16)+4,2)),VALUE(MID(H1497,FIND("15",H1497,FIND("01",H1497)+16)+6,2))),"")</f>
        <v/>
      </c>
      <c r="F1497" s="5">
        <f>IFERROR(MID(H1497,FIND("10",H1497,FIND("15",H1497,FIND("01",H1497)+16)+8)+2,50),"")</f>
        <v/>
      </c>
      <c r="G1497" s="5" t="n"/>
      <c r="H1497" s="5">
        <f>SUBSTITUTE(SUBSTITUTE(SUBSTITUTE(SUBSTITUTE(A1497,"(",""),")","")," ",""),CHAR(29),"")</f>
        <v/>
      </c>
    </row>
    <row r="1498">
      <c r="A1498" s="7" t="n"/>
      <c r="B1498" s="8">
        <f>IFERROR(MID(H1498,FIND("01",H1498)+2,14),"")</f>
        <v/>
      </c>
      <c r="C1498" s="7">
        <f>IF(A1498="","",IFERROR(VLOOKUP(B1498,TblArticles,2,FALSE),"GTIN inconnu"))</f>
        <v/>
      </c>
      <c r="D1498" s="8">
        <f>IF(A1498="","",IFERROR(VLOOKUP(B1498,TblArticles,3,FALSE),""))</f>
        <v/>
      </c>
      <c r="E1498" s="9">
        <f>IFERROR(DATE(2000+VALUE(MID(H1498,FIND("15",H1498,FIND("01",H1498)+16)+2,2)),VALUE(MID(H1498,FIND("15",H1498,FIND("01",H1498)+16)+4,2)),VALUE(MID(H1498,FIND("15",H1498,FIND("01",H1498)+16)+6,2))),"")</f>
        <v/>
      </c>
      <c r="F1498" s="8">
        <f>IFERROR(MID(H1498,FIND("10",H1498,FIND("15",H1498,FIND("01",H1498)+16)+8)+2,50),"")</f>
        <v/>
      </c>
      <c r="G1498" s="8" t="n"/>
      <c r="H1498" s="8">
        <f>SUBSTITUTE(SUBSTITUTE(SUBSTITUTE(SUBSTITUTE(A1498,"(",""),")","")," ",""),CHAR(29),"")</f>
        <v/>
      </c>
    </row>
    <row r="1499">
      <c r="A1499" s="4" t="n"/>
      <c r="B1499" s="5">
        <f>IFERROR(MID(H1499,FIND("01",H1499)+2,14),"")</f>
        <v/>
      </c>
      <c r="C1499" s="4">
        <f>IF(A1499="","",IFERROR(VLOOKUP(B1499,TblArticles,2,FALSE),"GTIN inconnu"))</f>
        <v/>
      </c>
      <c r="D1499" s="5">
        <f>IF(A1499="","",IFERROR(VLOOKUP(B1499,TblArticles,3,FALSE),""))</f>
        <v/>
      </c>
      <c r="E1499" s="6">
        <f>IFERROR(DATE(2000+VALUE(MID(H1499,FIND("15",H1499,FIND("01",H1499)+16)+2,2)),VALUE(MID(H1499,FIND("15",H1499,FIND("01",H1499)+16)+4,2)),VALUE(MID(H1499,FIND("15",H1499,FIND("01",H1499)+16)+6,2))),"")</f>
        <v/>
      </c>
      <c r="F1499" s="5">
        <f>IFERROR(MID(H1499,FIND("10",H1499,FIND("15",H1499,FIND("01",H1499)+16)+8)+2,50),"")</f>
        <v/>
      </c>
      <c r="G1499" s="5" t="n"/>
      <c r="H1499" s="5">
        <f>SUBSTITUTE(SUBSTITUTE(SUBSTITUTE(SUBSTITUTE(A1499,"(",""),")","")," ",""),CHAR(29),"")</f>
        <v/>
      </c>
    </row>
    <row r="1500">
      <c r="A1500" s="7" t="n"/>
      <c r="B1500" s="8">
        <f>IFERROR(MID(H1500,FIND("01",H1500)+2,14),"")</f>
        <v/>
      </c>
      <c r="C1500" s="7">
        <f>IF(A1500="","",IFERROR(VLOOKUP(B1500,TblArticles,2,FALSE),"GTIN inconnu"))</f>
        <v/>
      </c>
      <c r="D1500" s="8">
        <f>IF(A1500="","",IFERROR(VLOOKUP(B1500,TblArticles,3,FALSE),""))</f>
        <v/>
      </c>
      <c r="E1500" s="9">
        <f>IFERROR(DATE(2000+VALUE(MID(H1500,FIND("15",H1500,FIND("01",H1500)+16)+2,2)),VALUE(MID(H1500,FIND("15",H1500,FIND("01",H1500)+16)+4,2)),VALUE(MID(H1500,FIND("15",H1500,FIND("01",H1500)+16)+6,2))),"")</f>
        <v/>
      </c>
      <c r="F1500" s="8">
        <f>IFERROR(MID(H1500,FIND("10",H1500,FIND("15",H1500,FIND("01",H1500)+16)+8)+2,50),"")</f>
        <v/>
      </c>
      <c r="G1500" s="8" t="n"/>
      <c r="H1500" s="8">
        <f>SUBSTITUTE(SUBSTITUTE(SUBSTITUTE(SUBSTITUTE(A1500,"(",""),")","")," ",""),CHAR(29),"")</f>
        <v/>
      </c>
    </row>
    <row r="1501">
      <c r="A1501" s="4" t="n"/>
      <c r="B1501" s="5">
        <f>IFERROR(MID(H1501,FIND("01",H1501)+2,14),"")</f>
        <v/>
      </c>
      <c r="C1501" s="4">
        <f>IF(A1501="","",IFERROR(VLOOKUP(B1501,TblArticles,2,FALSE),"GTIN inconnu"))</f>
        <v/>
      </c>
      <c r="D1501" s="5">
        <f>IF(A1501="","",IFERROR(VLOOKUP(B1501,TblArticles,3,FALSE),""))</f>
        <v/>
      </c>
      <c r="E1501" s="6">
        <f>IFERROR(DATE(2000+VALUE(MID(H1501,FIND("15",H1501,FIND("01",H1501)+16)+2,2)),VALUE(MID(H1501,FIND("15",H1501,FIND("01",H1501)+16)+4,2)),VALUE(MID(H1501,FIND("15",H1501,FIND("01",H1501)+16)+6,2))),"")</f>
        <v/>
      </c>
      <c r="F1501" s="5">
        <f>IFERROR(MID(H1501,FIND("10",H1501,FIND("15",H1501,FIND("01",H1501)+16)+8)+2,50),"")</f>
        <v/>
      </c>
      <c r="G1501" s="5" t="n"/>
      <c r="H1501" s="5">
        <f>SUBSTITUTE(SUBSTITUTE(SUBSTITUTE(SUBSTITUTE(A1501,"(",""),")","")," ",""),CHAR(29),"")</f>
        <v/>
      </c>
    </row>
    <row r="1502">
      <c r="A1502" s="7" t="n"/>
      <c r="B1502" s="8">
        <f>IFERROR(MID(H1502,FIND("01",H1502)+2,14),"")</f>
        <v/>
      </c>
      <c r="C1502" s="7">
        <f>IF(A1502="","",IFERROR(VLOOKUP(B1502,TblArticles,2,FALSE),"GTIN inconnu"))</f>
        <v/>
      </c>
      <c r="D1502" s="8">
        <f>IF(A1502="","",IFERROR(VLOOKUP(B1502,TblArticles,3,FALSE),""))</f>
        <v/>
      </c>
      <c r="E1502" s="9">
        <f>IFERROR(DATE(2000+VALUE(MID(H1502,FIND("15",H1502,FIND("01",H1502)+16)+2,2)),VALUE(MID(H1502,FIND("15",H1502,FIND("01",H1502)+16)+4,2)),VALUE(MID(H1502,FIND("15",H1502,FIND("01",H1502)+16)+6,2))),"")</f>
        <v/>
      </c>
      <c r="F1502" s="8">
        <f>IFERROR(MID(H1502,FIND("10",H1502,FIND("15",H1502,FIND("01",H1502)+16)+8)+2,50),"")</f>
        <v/>
      </c>
      <c r="G1502" s="8" t="n"/>
      <c r="H1502" s="8">
        <f>SUBSTITUTE(SUBSTITUTE(SUBSTITUTE(SUBSTITUTE(A1502,"(",""),")","")," ",""),CHAR(29),"")</f>
        <v/>
      </c>
    </row>
    <row r="1503">
      <c r="A1503" s="4" t="n"/>
      <c r="B1503" s="5">
        <f>IFERROR(MID(H1503,FIND("01",H1503)+2,14),"")</f>
        <v/>
      </c>
      <c r="C1503" s="4">
        <f>IF(A1503="","",IFERROR(VLOOKUP(B1503,TblArticles,2,FALSE),"GTIN inconnu"))</f>
        <v/>
      </c>
      <c r="D1503" s="5">
        <f>IF(A1503="","",IFERROR(VLOOKUP(B1503,TblArticles,3,FALSE),""))</f>
        <v/>
      </c>
      <c r="E1503" s="6">
        <f>IFERROR(DATE(2000+VALUE(MID(H1503,FIND("15",H1503,FIND("01",H1503)+16)+2,2)),VALUE(MID(H1503,FIND("15",H1503,FIND("01",H1503)+16)+4,2)),VALUE(MID(H1503,FIND("15",H1503,FIND("01",H1503)+16)+6,2))),"")</f>
        <v/>
      </c>
      <c r="F1503" s="5">
        <f>IFERROR(MID(H1503,FIND("10",H1503,FIND("15",H1503,FIND("01",H1503)+16)+8)+2,50),"")</f>
        <v/>
      </c>
      <c r="G1503" s="5" t="n"/>
      <c r="H1503" s="5">
        <f>SUBSTITUTE(SUBSTITUTE(SUBSTITUTE(SUBSTITUTE(A1503,"(",""),")","")," ",""),CHAR(29),"")</f>
        <v/>
      </c>
    </row>
    <row r="1504">
      <c r="A1504" s="7" t="n"/>
      <c r="B1504" s="8">
        <f>IFERROR(MID(H1504,FIND("01",H1504)+2,14),"")</f>
        <v/>
      </c>
      <c r="C1504" s="7">
        <f>IF(A1504="","",IFERROR(VLOOKUP(B1504,TblArticles,2,FALSE),"GTIN inconnu"))</f>
        <v/>
      </c>
      <c r="D1504" s="8">
        <f>IF(A1504="","",IFERROR(VLOOKUP(B1504,TblArticles,3,FALSE),""))</f>
        <v/>
      </c>
      <c r="E1504" s="9">
        <f>IFERROR(DATE(2000+VALUE(MID(H1504,FIND("15",H1504,FIND("01",H1504)+16)+2,2)),VALUE(MID(H1504,FIND("15",H1504,FIND("01",H1504)+16)+4,2)),VALUE(MID(H1504,FIND("15",H1504,FIND("01",H1504)+16)+6,2))),"")</f>
        <v/>
      </c>
      <c r="F1504" s="8">
        <f>IFERROR(MID(H1504,FIND("10",H1504,FIND("15",H1504,FIND("01",H1504)+16)+8)+2,50),"")</f>
        <v/>
      </c>
      <c r="G1504" s="8" t="n"/>
      <c r="H1504" s="8">
        <f>SUBSTITUTE(SUBSTITUTE(SUBSTITUTE(SUBSTITUTE(A1504,"(",""),")","")," ",""),CHAR(29),"")</f>
        <v/>
      </c>
    </row>
    <row r="1505">
      <c r="A1505" s="4" t="n"/>
      <c r="B1505" s="5">
        <f>IFERROR(MID(H1505,FIND("01",H1505)+2,14),"")</f>
        <v/>
      </c>
      <c r="C1505" s="4">
        <f>IF(A1505="","",IFERROR(VLOOKUP(B1505,TblArticles,2,FALSE),"GTIN inconnu"))</f>
        <v/>
      </c>
      <c r="D1505" s="5">
        <f>IF(A1505="","",IFERROR(VLOOKUP(B1505,TblArticles,3,FALSE),""))</f>
        <v/>
      </c>
      <c r="E1505" s="6">
        <f>IFERROR(DATE(2000+VALUE(MID(H1505,FIND("15",H1505,FIND("01",H1505)+16)+2,2)),VALUE(MID(H1505,FIND("15",H1505,FIND("01",H1505)+16)+4,2)),VALUE(MID(H1505,FIND("15",H1505,FIND("01",H1505)+16)+6,2))),"")</f>
        <v/>
      </c>
      <c r="F1505" s="5">
        <f>IFERROR(MID(H1505,FIND("10",H1505,FIND("15",H1505,FIND("01",H1505)+16)+8)+2,50),"")</f>
        <v/>
      </c>
      <c r="G1505" s="5" t="n"/>
      <c r="H1505" s="5">
        <f>SUBSTITUTE(SUBSTITUTE(SUBSTITUTE(SUBSTITUTE(A1505,"(",""),")","")," ",""),CHAR(29),"")</f>
        <v/>
      </c>
    </row>
    <row r="1506">
      <c r="A1506" s="7" t="n"/>
      <c r="B1506" s="8">
        <f>IFERROR(MID(H1506,FIND("01",H1506)+2,14),"")</f>
        <v/>
      </c>
      <c r="C1506" s="7">
        <f>IF(A1506="","",IFERROR(VLOOKUP(B1506,TblArticles,2,FALSE),"GTIN inconnu"))</f>
        <v/>
      </c>
      <c r="D1506" s="8">
        <f>IF(A1506="","",IFERROR(VLOOKUP(B1506,TblArticles,3,FALSE),""))</f>
        <v/>
      </c>
      <c r="E1506" s="9">
        <f>IFERROR(DATE(2000+VALUE(MID(H1506,FIND("15",H1506,FIND("01",H1506)+16)+2,2)),VALUE(MID(H1506,FIND("15",H1506,FIND("01",H1506)+16)+4,2)),VALUE(MID(H1506,FIND("15",H1506,FIND("01",H1506)+16)+6,2))),"")</f>
        <v/>
      </c>
      <c r="F1506" s="8">
        <f>IFERROR(MID(H1506,FIND("10",H1506,FIND("15",H1506,FIND("01",H1506)+16)+8)+2,50),"")</f>
        <v/>
      </c>
      <c r="G1506" s="8" t="n"/>
      <c r="H1506" s="8">
        <f>SUBSTITUTE(SUBSTITUTE(SUBSTITUTE(SUBSTITUTE(A1506,"(",""),")","")," ",""),CHAR(29),"")</f>
        <v/>
      </c>
    </row>
    <row r="1507">
      <c r="A1507" s="4" t="n"/>
      <c r="B1507" s="5">
        <f>IFERROR(MID(H1507,FIND("01",H1507)+2,14),"")</f>
        <v/>
      </c>
      <c r="C1507" s="4">
        <f>IF(A1507="","",IFERROR(VLOOKUP(B1507,TblArticles,2,FALSE),"GTIN inconnu"))</f>
        <v/>
      </c>
      <c r="D1507" s="5">
        <f>IF(A1507="","",IFERROR(VLOOKUP(B1507,TblArticles,3,FALSE),""))</f>
        <v/>
      </c>
      <c r="E1507" s="6">
        <f>IFERROR(DATE(2000+VALUE(MID(H1507,FIND("15",H1507,FIND("01",H1507)+16)+2,2)),VALUE(MID(H1507,FIND("15",H1507,FIND("01",H1507)+16)+4,2)),VALUE(MID(H1507,FIND("15",H1507,FIND("01",H1507)+16)+6,2))),"")</f>
        <v/>
      </c>
      <c r="F1507" s="5">
        <f>IFERROR(MID(H1507,FIND("10",H1507,FIND("15",H1507,FIND("01",H1507)+16)+8)+2,50),"")</f>
        <v/>
      </c>
      <c r="G1507" s="5" t="n"/>
      <c r="H1507" s="5">
        <f>SUBSTITUTE(SUBSTITUTE(SUBSTITUTE(SUBSTITUTE(A1507,"(",""),")","")," ",""),CHAR(29),"")</f>
        <v/>
      </c>
    </row>
    <row r="1508">
      <c r="A1508" s="7" t="n"/>
      <c r="B1508" s="8">
        <f>IFERROR(MID(H1508,FIND("01",H1508)+2,14),"")</f>
        <v/>
      </c>
      <c r="C1508" s="7">
        <f>IF(A1508="","",IFERROR(VLOOKUP(B1508,TblArticles,2,FALSE),"GTIN inconnu"))</f>
        <v/>
      </c>
      <c r="D1508" s="8">
        <f>IF(A1508="","",IFERROR(VLOOKUP(B1508,TblArticles,3,FALSE),""))</f>
        <v/>
      </c>
      <c r="E1508" s="9">
        <f>IFERROR(DATE(2000+VALUE(MID(H1508,FIND("15",H1508,FIND("01",H1508)+16)+2,2)),VALUE(MID(H1508,FIND("15",H1508,FIND("01",H1508)+16)+4,2)),VALUE(MID(H1508,FIND("15",H1508,FIND("01",H1508)+16)+6,2))),"")</f>
        <v/>
      </c>
      <c r="F1508" s="8">
        <f>IFERROR(MID(H1508,FIND("10",H1508,FIND("15",H1508,FIND("01",H1508)+16)+8)+2,50),"")</f>
        <v/>
      </c>
      <c r="G1508" s="8" t="n"/>
      <c r="H1508" s="8">
        <f>SUBSTITUTE(SUBSTITUTE(SUBSTITUTE(SUBSTITUTE(A1508,"(",""),")","")," ",""),CHAR(29),"")</f>
        <v/>
      </c>
    </row>
    <row r="1509">
      <c r="A1509" s="4" t="n"/>
      <c r="B1509" s="5">
        <f>IFERROR(MID(H1509,FIND("01",H1509)+2,14),"")</f>
        <v/>
      </c>
      <c r="C1509" s="4">
        <f>IF(A1509="","",IFERROR(VLOOKUP(B1509,TblArticles,2,FALSE),"GTIN inconnu"))</f>
        <v/>
      </c>
      <c r="D1509" s="5">
        <f>IF(A1509="","",IFERROR(VLOOKUP(B1509,TblArticles,3,FALSE),""))</f>
        <v/>
      </c>
      <c r="E1509" s="6">
        <f>IFERROR(DATE(2000+VALUE(MID(H1509,FIND("15",H1509,FIND("01",H1509)+16)+2,2)),VALUE(MID(H1509,FIND("15",H1509,FIND("01",H1509)+16)+4,2)),VALUE(MID(H1509,FIND("15",H1509,FIND("01",H1509)+16)+6,2))),"")</f>
        <v/>
      </c>
      <c r="F1509" s="5">
        <f>IFERROR(MID(H1509,FIND("10",H1509,FIND("15",H1509,FIND("01",H1509)+16)+8)+2,50),"")</f>
        <v/>
      </c>
      <c r="G1509" s="5" t="n"/>
      <c r="H1509" s="5">
        <f>SUBSTITUTE(SUBSTITUTE(SUBSTITUTE(SUBSTITUTE(A1509,"(",""),")","")," ",""),CHAR(29),"")</f>
        <v/>
      </c>
    </row>
    <row r="1510">
      <c r="A1510" s="7" t="n"/>
      <c r="B1510" s="8">
        <f>IFERROR(MID(H1510,FIND("01",H1510)+2,14),"")</f>
        <v/>
      </c>
      <c r="C1510" s="7">
        <f>IF(A1510="","",IFERROR(VLOOKUP(B1510,TblArticles,2,FALSE),"GTIN inconnu"))</f>
        <v/>
      </c>
      <c r="D1510" s="8">
        <f>IF(A1510="","",IFERROR(VLOOKUP(B1510,TblArticles,3,FALSE),""))</f>
        <v/>
      </c>
      <c r="E1510" s="9">
        <f>IFERROR(DATE(2000+VALUE(MID(H1510,FIND("15",H1510,FIND("01",H1510)+16)+2,2)),VALUE(MID(H1510,FIND("15",H1510,FIND("01",H1510)+16)+4,2)),VALUE(MID(H1510,FIND("15",H1510,FIND("01",H1510)+16)+6,2))),"")</f>
        <v/>
      </c>
      <c r="F1510" s="8">
        <f>IFERROR(MID(H1510,FIND("10",H1510,FIND("15",H1510,FIND("01",H1510)+16)+8)+2,50),"")</f>
        <v/>
      </c>
      <c r="G1510" s="8" t="n"/>
      <c r="H1510" s="8">
        <f>SUBSTITUTE(SUBSTITUTE(SUBSTITUTE(SUBSTITUTE(A1510,"(",""),")","")," ",""),CHAR(29),"")</f>
        <v/>
      </c>
    </row>
    <row r="1511">
      <c r="A1511" s="4" t="n"/>
      <c r="B1511" s="5">
        <f>IFERROR(MID(H1511,FIND("01",H1511)+2,14),"")</f>
        <v/>
      </c>
      <c r="C1511" s="4">
        <f>IF(A1511="","",IFERROR(VLOOKUP(B1511,TblArticles,2,FALSE),"GTIN inconnu"))</f>
        <v/>
      </c>
      <c r="D1511" s="5">
        <f>IF(A1511="","",IFERROR(VLOOKUP(B1511,TblArticles,3,FALSE),""))</f>
        <v/>
      </c>
      <c r="E1511" s="6">
        <f>IFERROR(DATE(2000+VALUE(MID(H1511,FIND("15",H1511,FIND("01",H1511)+16)+2,2)),VALUE(MID(H1511,FIND("15",H1511,FIND("01",H1511)+16)+4,2)),VALUE(MID(H1511,FIND("15",H1511,FIND("01",H1511)+16)+6,2))),"")</f>
        <v/>
      </c>
      <c r="F1511" s="5">
        <f>IFERROR(MID(H1511,FIND("10",H1511,FIND("15",H1511,FIND("01",H1511)+16)+8)+2,50),"")</f>
        <v/>
      </c>
      <c r="G1511" s="5" t="n"/>
      <c r="H1511" s="5">
        <f>SUBSTITUTE(SUBSTITUTE(SUBSTITUTE(SUBSTITUTE(A1511,"(",""),")","")," ",""),CHAR(29),"")</f>
        <v/>
      </c>
    </row>
    <row r="1512">
      <c r="A1512" s="7" t="n"/>
      <c r="B1512" s="8">
        <f>IFERROR(MID(H1512,FIND("01",H1512)+2,14),"")</f>
        <v/>
      </c>
      <c r="C1512" s="7">
        <f>IF(A1512="","",IFERROR(VLOOKUP(B1512,TblArticles,2,FALSE),"GTIN inconnu"))</f>
        <v/>
      </c>
      <c r="D1512" s="8">
        <f>IF(A1512="","",IFERROR(VLOOKUP(B1512,TblArticles,3,FALSE),""))</f>
        <v/>
      </c>
      <c r="E1512" s="9">
        <f>IFERROR(DATE(2000+VALUE(MID(H1512,FIND("15",H1512,FIND("01",H1512)+16)+2,2)),VALUE(MID(H1512,FIND("15",H1512,FIND("01",H1512)+16)+4,2)),VALUE(MID(H1512,FIND("15",H1512,FIND("01",H1512)+16)+6,2))),"")</f>
        <v/>
      </c>
      <c r="F1512" s="8">
        <f>IFERROR(MID(H1512,FIND("10",H1512,FIND("15",H1512,FIND("01",H1512)+16)+8)+2,50),"")</f>
        <v/>
      </c>
      <c r="G1512" s="8" t="n"/>
      <c r="H1512" s="8">
        <f>SUBSTITUTE(SUBSTITUTE(SUBSTITUTE(SUBSTITUTE(A1512,"(",""),")","")," ",""),CHAR(29),"")</f>
        <v/>
      </c>
    </row>
    <row r="1513">
      <c r="A1513" s="4" t="n"/>
      <c r="B1513" s="5">
        <f>IFERROR(MID(H1513,FIND("01",H1513)+2,14),"")</f>
        <v/>
      </c>
      <c r="C1513" s="4">
        <f>IF(A1513="","",IFERROR(VLOOKUP(B1513,TblArticles,2,FALSE),"GTIN inconnu"))</f>
        <v/>
      </c>
      <c r="D1513" s="5">
        <f>IF(A1513="","",IFERROR(VLOOKUP(B1513,TblArticles,3,FALSE),""))</f>
        <v/>
      </c>
      <c r="E1513" s="6">
        <f>IFERROR(DATE(2000+VALUE(MID(H1513,FIND("15",H1513,FIND("01",H1513)+16)+2,2)),VALUE(MID(H1513,FIND("15",H1513,FIND("01",H1513)+16)+4,2)),VALUE(MID(H1513,FIND("15",H1513,FIND("01",H1513)+16)+6,2))),"")</f>
        <v/>
      </c>
      <c r="F1513" s="5">
        <f>IFERROR(MID(H1513,FIND("10",H1513,FIND("15",H1513,FIND("01",H1513)+16)+8)+2,50),"")</f>
        <v/>
      </c>
      <c r="G1513" s="5" t="n"/>
      <c r="H1513" s="5">
        <f>SUBSTITUTE(SUBSTITUTE(SUBSTITUTE(SUBSTITUTE(A1513,"(",""),")","")," ",""),CHAR(29),"")</f>
        <v/>
      </c>
    </row>
    <row r="1514">
      <c r="A1514" s="7" t="n"/>
      <c r="B1514" s="8">
        <f>IFERROR(MID(H1514,FIND("01",H1514)+2,14),"")</f>
        <v/>
      </c>
      <c r="C1514" s="7">
        <f>IF(A1514="","",IFERROR(VLOOKUP(B1514,TblArticles,2,FALSE),"GTIN inconnu"))</f>
        <v/>
      </c>
      <c r="D1514" s="8">
        <f>IF(A1514="","",IFERROR(VLOOKUP(B1514,TblArticles,3,FALSE),""))</f>
        <v/>
      </c>
      <c r="E1514" s="9">
        <f>IFERROR(DATE(2000+VALUE(MID(H1514,FIND("15",H1514,FIND("01",H1514)+16)+2,2)),VALUE(MID(H1514,FIND("15",H1514,FIND("01",H1514)+16)+4,2)),VALUE(MID(H1514,FIND("15",H1514,FIND("01",H1514)+16)+6,2))),"")</f>
        <v/>
      </c>
      <c r="F1514" s="8">
        <f>IFERROR(MID(H1514,FIND("10",H1514,FIND("15",H1514,FIND("01",H1514)+16)+8)+2,50),"")</f>
        <v/>
      </c>
      <c r="G1514" s="8" t="n"/>
      <c r="H1514" s="8">
        <f>SUBSTITUTE(SUBSTITUTE(SUBSTITUTE(SUBSTITUTE(A1514,"(",""),")","")," ",""),CHAR(29),"")</f>
        <v/>
      </c>
    </row>
    <row r="1515">
      <c r="A1515" s="4" t="n"/>
      <c r="B1515" s="5">
        <f>IFERROR(MID(H1515,FIND("01",H1515)+2,14),"")</f>
        <v/>
      </c>
      <c r="C1515" s="4">
        <f>IF(A1515="","",IFERROR(VLOOKUP(B1515,TblArticles,2,FALSE),"GTIN inconnu"))</f>
        <v/>
      </c>
      <c r="D1515" s="5">
        <f>IF(A1515="","",IFERROR(VLOOKUP(B1515,TblArticles,3,FALSE),""))</f>
        <v/>
      </c>
      <c r="E1515" s="6">
        <f>IFERROR(DATE(2000+VALUE(MID(H1515,FIND("15",H1515,FIND("01",H1515)+16)+2,2)),VALUE(MID(H1515,FIND("15",H1515,FIND("01",H1515)+16)+4,2)),VALUE(MID(H1515,FIND("15",H1515,FIND("01",H1515)+16)+6,2))),"")</f>
        <v/>
      </c>
      <c r="F1515" s="5">
        <f>IFERROR(MID(H1515,FIND("10",H1515,FIND("15",H1515,FIND("01",H1515)+16)+8)+2,50),"")</f>
        <v/>
      </c>
      <c r="G1515" s="5" t="n"/>
      <c r="H1515" s="5">
        <f>SUBSTITUTE(SUBSTITUTE(SUBSTITUTE(SUBSTITUTE(A1515,"(",""),")","")," ",""),CHAR(29),"")</f>
        <v/>
      </c>
    </row>
    <row r="1516">
      <c r="A1516" s="7" t="n"/>
      <c r="B1516" s="8">
        <f>IFERROR(MID(H1516,FIND("01",H1516)+2,14),"")</f>
        <v/>
      </c>
      <c r="C1516" s="7">
        <f>IF(A1516="","",IFERROR(VLOOKUP(B1516,TblArticles,2,FALSE),"GTIN inconnu"))</f>
        <v/>
      </c>
      <c r="D1516" s="8">
        <f>IF(A1516="","",IFERROR(VLOOKUP(B1516,TblArticles,3,FALSE),""))</f>
        <v/>
      </c>
      <c r="E1516" s="9">
        <f>IFERROR(DATE(2000+VALUE(MID(H1516,FIND("15",H1516,FIND("01",H1516)+16)+2,2)),VALUE(MID(H1516,FIND("15",H1516,FIND("01",H1516)+16)+4,2)),VALUE(MID(H1516,FIND("15",H1516,FIND("01",H1516)+16)+6,2))),"")</f>
        <v/>
      </c>
      <c r="F1516" s="8">
        <f>IFERROR(MID(H1516,FIND("10",H1516,FIND("15",H1516,FIND("01",H1516)+16)+8)+2,50),"")</f>
        <v/>
      </c>
      <c r="G1516" s="8" t="n"/>
      <c r="H1516" s="8">
        <f>SUBSTITUTE(SUBSTITUTE(SUBSTITUTE(SUBSTITUTE(A1516,"(",""),")","")," ",""),CHAR(29),"")</f>
        <v/>
      </c>
    </row>
    <row r="1517">
      <c r="A1517" s="4" t="n"/>
      <c r="B1517" s="5">
        <f>IFERROR(MID(H1517,FIND("01",H1517)+2,14),"")</f>
        <v/>
      </c>
      <c r="C1517" s="4">
        <f>IF(A1517="","",IFERROR(VLOOKUP(B1517,TblArticles,2,FALSE),"GTIN inconnu"))</f>
        <v/>
      </c>
      <c r="D1517" s="5">
        <f>IF(A1517="","",IFERROR(VLOOKUP(B1517,TblArticles,3,FALSE),""))</f>
        <v/>
      </c>
      <c r="E1517" s="6">
        <f>IFERROR(DATE(2000+VALUE(MID(H1517,FIND("15",H1517,FIND("01",H1517)+16)+2,2)),VALUE(MID(H1517,FIND("15",H1517,FIND("01",H1517)+16)+4,2)),VALUE(MID(H1517,FIND("15",H1517,FIND("01",H1517)+16)+6,2))),"")</f>
        <v/>
      </c>
      <c r="F1517" s="5">
        <f>IFERROR(MID(H1517,FIND("10",H1517,FIND("15",H1517,FIND("01",H1517)+16)+8)+2,50),"")</f>
        <v/>
      </c>
      <c r="G1517" s="5" t="n"/>
      <c r="H1517" s="5">
        <f>SUBSTITUTE(SUBSTITUTE(SUBSTITUTE(SUBSTITUTE(A1517,"(",""),")","")," ",""),CHAR(29),"")</f>
        <v/>
      </c>
    </row>
    <row r="1518">
      <c r="A1518" s="7" t="n"/>
      <c r="B1518" s="8">
        <f>IFERROR(MID(H1518,FIND("01",H1518)+2,14),"")</f>
        <v/>
      </c>
      <c r="C1518" s="7">
        <f>IF(A1518="","",IFERROR(VLOOKUP(B1518,TblArticles,2,FALSE),"GTIN inconnu"))</f>
        <v/>
      </c>
      <c r="D1518" s="8">
        <f>IF(A1518="","",IFERROR(VLOOKUP(B1518,TblArticles,3,FALSE),""))</f>
        <v/>
      </c>
      <c r="E1518" s="9">
        <f>IFERROR(DATE(2000+VALUE(MID(H1518,FIND("15",H1518,FIND("01",H1518)+16)+2,2)),VALUE(MID(H1518,FIND("15",H1518,FIND("01",H1518)+16)+4,2)),VALUE(MID(H1518,FIND("15",H1518,FIND("01",H1518)+16)+6,2))),"")</f>
        <v/>
      </c>
      <c r="F1518" s="8">
        <f>IFERROR(MID(H1518,FIND("10",H1518,FIND("15",H1518,FIND("01",H1518)+16)+8)+2,50),"")</f>
        <v/>
      </c>
      <c r="G1518" s="8" t="n"/>
      <c r="H1518" s="8">
        <f>SUBSTITUTE(SUBSTITUTE(SUBSTITUTE(SUBSTITUTE(A1518,"(",""),")","")," ",""),CHAR(29),"")</f>
        <v/>
      </c>
    </row>
    <row r="1519">
      <c r="A1519" s="4" t="n"/>
      <c r="B1519" s="5">
        <f>IFERROR(MID(H1519,FIND("01",H1519)+2,14),"")</f>
        <v/>
      </c>
      <c r="C1519" s="4">
        <f>IF(A1519="","",IFERROR(VLOOKUP(B1519,TblArticles,2,FALSE),"GTIN inconnu"))</f>
        <v/>
      </c>
      <c r="D1519" s="5">
        <f>IF(A1519="","",IFERROR(VLOOKUP(B1519,TblArticles,3,FALSE),""))</f>
        <v/>
      </c>
      <c r="E1519" s="6">
        <f>IFERROR(DATE(2000+VALUE(MID(H1519,FIND("15",H1519,FIND("01",H1519)+16)+2,2)),VALUE(MID(H1519,FIND("15",H1519,FIND("01",H1519)+16)+4,2)),VALUE(MID(H1519,FIND("15",H1519,FIND("01",H1519)+16)+6,2))),"")</f>
        <v/>
      </c>
      <c r="F1519" s="5">
        <f>IFERROR(MID(H1519,FIND("10",H1519,FIND("15",H1519,FIND("01",H1519)+16)+8)+2,50),"")</f>
        <v/>
      </c>
      <c r="G1519" s="5" t="n"/>
      <c r="H1519" s="5">
        <f>SUBSTITUTE(SUBSTITUTE(SUBSTITUTE(SUBSTITUTE(A1519,"(",""),")","")," ",""),CHAR(29),"")</f>
        <v/>
      </c>
    </row>
    <row r="1520">
      <c r="A1520" s="7" t="n"/>
      <c r="B1520" s="8">
        <f>IFERROR(MID(H1520,FIND("01",H1520)+2,14),"")</f>
        <v/>
      </c>
      <c r="C1520" s="7">
        <f>IF(A1520="","",IFERROR(VLOOKUP(B1520,TblArticles,2,FALSE),"GTIN inconnu"))</f>
        <v/>
      </c>
      <c r="D1520" s="8">
        <f>IF(A1520="","",IFERROR(VLOOKUP(B1520,TblArticles,3,FALSE),""))</f>
        <v/>
      </c>
      <c r="E1520" s="9">
        <f>IFERROR(DATE(2000+VALUE(MID(H1520,FIND("15",H1520,FIND("01",H1520)+16)+2,2)),VALUE(MID(H1520,FIND("15",H1520,FIND("01",H1520)+16)+4,2)),VALUE(MID(H1520,FIND("15",H1520,FIND("01",H1520)+16)+6,2))),"")</f>
        <v/>
      </c>
      <c r="F1520" s="8">
        <f>IFERROR(MID(H1520,FIND("10",H1520,FIND("15",H1520,FIND("01",H1520)+16)+8)+2,50),"")</f>
        <v/>
      </c>
      <c r="G1520" s="8" t="n"/>
      <c r="H1520" s="8">
        <f>SUBSTITUTE(SUBSTITUTE(SUBSTITUTE(SUBSTITUTE(A1520,"(",""),")","")," ",""),CHAR(29),"")</f>
        <v/>
      </c>
    </row>
    <row r="1521">
      <c r="A1521" s="4" t="n"/>
      <c r="B1521" s="5">
        <f>IFERROR(MID(H1521,FIND("01",H1521)+2,14),"")</f>
        <v/>
      </c>
      <c r="C1521" s="4">
        <f>IF(A1521="","",IFERROR(VLOOKUP(B1521,TblArticles,2,FALSE),"GTIN inconnu"))</f>
        <v/>
      </c>
      <c r="D1521" s="5">
        <f>IF(A1521="","",IFERROR(VLOOKUP(B1521,TblArticles,3,FALSE),""))</f>
        <v/>
      </c>
      <c r="E1521" s="6">
        <f>IFERROR(DATE(2000+VALUE(MID(H1521,FIND("15",H1521,FIND("01",H1521)+16)+2,2)),VALUE(MID(H1521,FIND("15",H1521,FIND("01",H1521)+16)+4,2)),VALUE(MID(H1521,FIND("15",H1521,FIND("01",H1521)+16)+6,2))),"")</f>
        <v/>
      </c>
      <c r="F1521" s="5">
        <f>IFERROR(MID(H1521,FIND("10",H1521,FIND("15",H1521,FIND("01",H1521)+16)+8)+2,50),"")</f>
        <v/>
      </c>
      <c r="G1521" s="5" t="n"/>
      <c r="H1521" s="5">
        <f>SUBSTITUTE(SUBSTITUTE(SUBSTITUTE(SUBSTITUTE(A1521,"(",""),")","")," ",""),CHAR(29),"")</f>
        <v/>
      </c>
    </row>
    <row r="1522">
      <c r="A1522" s="7" t="n"/>
      <c r="B1522" s="8">
        <f>IFERROR(MID(H1522,FIND("01",H1522)+2,14),"")</f>
        <v/>
      </c>
      <c r="C1522" s="7">
        <f>IF(A1522="","",IFERROR(VLOOKUP(B1522,TblArticles,2,FALSE),"GTIN inconnu"))</f>
        <v/>
      </c>
      <c r="D1522" s="8">
        <f>IF(A1522="","",IFERROR(VLOOKUP(B1522,TblArticles,3,FALSE),""))</f>
        <v/>
      </c>
      <c r="E1522" s="9">
        <f>IFERROR(DATE(2000+VALUE(MID(H1522,FIND("15",H1522,FIND("01",H1522)+16)+2,2)),VALUE(MID(H1522,FIND("15",H1522,FIND("01",H1522)+16)+4,2)),VALUE(MID(H1522,FIND("15",H1522,FIND("01",H1522)+16)+6,2))),"")</f>
        <v/>
      </c>
      <c r="F1522" s="8">
        <f>IFERROR(MID(H1522,FIND("10",H1522,FIND("15",H1522,FIND("01",H1522)+16)+8)+2,50),"")</f>
        <v/>
      </c>
      <c r="G1522" s="8" t="n"/>
      <c r="H1522" s="8">
        <f>SUBSTITUTE(SUBSTITUTE(SUBSTITUTE(SUBSTITUTE(A1522,"(",""),")","")," ",""),CHAR(29),"")</f>
        <v/>
      </c>
    </row>
    <row r="1523">
      <c r="A1523" s="4" t="n"/>
      <c r="B1523" s="5">
        <f>IFERROR(MID(H1523,FIND("01",H1523)+2,14),"")</f>
        <v/>
      </c>
      <c r="C1523" s="4">
        <f>IF(A1523="","",IFERROR(VLOOKUP(B1523,TblArticles,2,FALSE),"GTIN inconnu"))</f>
        <v/>
      </c>
      <c r="D1523" s="5">
        <f>IF(A1523="","",IFERROR(VLOOKUP(B1523,TblArticles,3,FALSE),""))</f>
        <v/>
      </c>
      <c r="E1523" s="6">
        <f>IFERROR(DATE(2000+VALUE(MID(H1523,FIND("15",H1523,FIND("01",H1523)+16)+2,2)),VALUE(MID(H1523,FIND("15",H1523,FIND("01",H1523)+16)+4,2)),VALUE(MID(H1523,FIND("15",H1523,FIND("01",H1523)+16)+6,2))),"")</f>
        <v/>
      </c>
      <c r="F1523" s="5">
        <f>IFERROR(MID(H1523,FIND("10",H1523,FIND("15",H1523,FIND("01",H1523)+16)+8)+2,50),"")</f>
        <v/>
      </c>
      <c r="G1523" s="5" t="n"/>
      <c r="H1523" s="5">
        <f>SUBSTITUTE(SUBSTITUTE(SUBSTITUTE(SUBSTITUTE(A1523,"(",""),")","")," ",""),CHAR(29),"")</f>
        <v/>
      </c>
    </row>
    <row r="1524">
      <c r="A1524" s="7" t="n"/>
      <c r="B1524" s="8">
        <f>IFERROR(MID(H1524,FIND("01",H1524)+2,14),"")</f>
        <v/>
      </c>
      <c r="C1524" s="7">
        <f>IF(A1524="","",IFERROR(VLOOKUP(B1524,TblArticles,2,FALSE),"GTIN inconnu"))</f>
        <v/>
      </c>
      <c r="D1524" s="8">
        <f>IF(A1524="","",IFERROR(VLOOKUP(B1524,TblArticles,3,FALSE),""))</f>
        <v/>
      </c>
      <c r="E1524" s="9">
        <f>IFERROR(DATE(2000+VALUE(MID(H1524,FIND("15",H1524,FIND("01",H1524)+16)+2,2)),VALUE(MID(H1524,FIND("15",H1524,FIND("01",H1524)+16)+4,2)),VALUE(MID(H1524,FIND("15",H1524,FIND("01",H1524)+16)+6,2))),"")</f>
        <v/>
      </c>
      <c r="F1524" s="8">
        <f>IFERROR(MID(H1524,FIND("10",H1524,FIND("15",H1524,FIND("01",H1524)+16)+8)+2,50),"")</f>
        <v/>
      </c>
      <c r="G1524" s="8" t="n"/>
      <c r="H1524" s="8">
        <f>SUBSTITUTE(SUBSTITUTE(SUBSTITUTE(SUBSTITUTE(A1524,"(",""),")","")," ",""),CHAR(29),"")</f>
        <v/>
      </c>
    </row>
    <row r="1525">
      <c r="A1525" s="4" t="n"/>
      <c r="B1525" s="5">
        <f>IFERROR(MID(H1525,FIND("01",H1525)+2,14),"")</f>
        <v/>
      </c>
      <c r="C1525" s="4">
        <f>IF(A1525="","",IFERROR(VLOOKUP(B1525,TblArticles,2,FALSE),"GTIN inconnu"))</f>
        <v/>
      </c>
      <c r="D1525" s="5">
        <f>IF(A1525="","",IFERROR(VLOOKUP(B1525,TblArticles,3,FALSE),""))</f>
        <v/>
      </c>
      <c r="E1525" s="6">
        <f>IFERROR(DATE(2000+VALUE(MID(H1525,FIND("15",H1525,FIND("01",H1525)+16)+2,2)),VALUE(MID(H1525,FIND("15",H1525,FIND("01",H1525)+16)+4,2)),VALUE(MID(H1525,FIND("15",H1525,FIND("01",H1525)+16)+6,2))),"")</f>
        <v/>
      </c>
      <c r="F1525" s="5">
        <f>IFERROR(MID(H1525,FIND("10",H1525,FIND("15",H1525,FIND("01",H1525)+16)+8)+2,50),"")</f>
        <v/>
      </c>
      <c r="G1525" s="5" t="n"/>
      <c r="H1525" s="5">
        <f>SUBSTITUTE(SUBSTITUTE(SUBSTITUTE(SUBSTITUTE(A1525,"(",""),")","")," ",""),CHAR(29),"")</f>
        <v/>
      </c>
    </row>
    <row r="1526">
      <c r="A1526" s="7" t="n"/>
      <c r="B1526" s="8">
        <f>IFERROR(MID(H1526,FIND("01",H1526)+2,14),"")</f>
        <v/>
      </c>
      <c r="C1526" s="7">
        <f>IF(A1526="","",IFERROR(VLOOKUP(B1526,TblArticles,2,FALSE),"GTIN inconnu"))</f>
        <v/>
      </c>
      <c r="D1526" s="8">
        <f>IF(A1526="","",IFERROR(VLOOKUP(B1526,TblArticles,3,FALSE),""))</f>
        <v/>
      </c>
      <c r="E1526" s="9">
        <f>IFERROR(DATE(2000+VALUE(MID(H1526,FIND("15",H1526,FIND("01",H1526)+16)+2,2)),VALUE(MID(H1526,FIND("15",H1526,FIND("01",H1526)+16)+4,2)),VALUE(MID(H1526,FIND("15",H1526,FIND("01",H1526)+16)+6,2))),"")</f>
        <v/>
      </c>
      <c r="F1526" s="8">
        <f>IFERROR(MID(H1526,FIND("10",H1526,FIND("15",H1526,FIND("01",H1526)+16)+8)+2,50),"")</f>
        <v/>
      </c>
      <c r="G1526" s="8" t="n"/>
      <c r="H1526" s="8">
        <f>SUBSTITUTE(SUBSTITUTE(SUBSTITUTE(SUBSTITUTE(A1526,"(",""),")","")," ",""),CHAR(29),"")</f>
        <v/>
      </c>
    </row>
    <row r="1527">
      <c r="A1527" s="4" t="n"/>
      <c r="B1527" s="5">
        <f>IFERROR(MID(H1527,FIND("01",H1527)+2,14),"")</f>
        <v/>
      </c>
      <c r="C1527" s="4">
        <f>IF(A1527="","",IFERROR(VLOOKUP(B1527,TblArticles,2,FALSE),"GTIN inconnu"))</f>
        <v/>
      </c>
      <c r="D1527" s="5">
        <f>IF(A1527="","",IFERROR(VLOOKUP(B1527,TblArticles,3,FALSE),""))</f>
        <v/>
      </c>
      <c r="E1527" s="6">
        <f>IFERROR(DATE(2000+VALUE(MID(H1527,FIND("15",H1527,FIND("01",H1527)+16)+2,2)),VALUE(MID(H1527,FIND("15",H1527,FIND("01",H1527)+16)+4,2)),VALUE(MID(H1527,FIND("15",H1527,FIND("01",H1527)+16)+6,2))),"")</f>
        <v/>
      </c>
      <c r="F1527" s="5">
        <f>IFERROR(MID(H1527,FIND("10",H1527,FIND("15",H1527,FIND("01",H1527)+16)+8)+2,50),"")</f>
        <v/>
      </c>
      <c r="G1527" s="5" t="n"/>
      <c r="H1527" s="5">
        <f>SUBSTITUTE(SUBSTITUTE(SUBSTITUTE(SUBSTITUTE(A1527,"(",""),")","")," ",""),CHAR(29),"")</f>
        <v/>
      </c>
    </row>
    <row r="1528">
      <c r="A1528" s="7" t="n"/>
      <c r="B1528" s="8">
        <f>IFERROR(MID(H1528,FIND("01",H1528)+2,14),"")</f>
        <v/>
      </c>
      <c r="C1528" s="7">
        <f>IF(A1528="","",IFERROR(VLOOKUP(B1528,TblArticles,2,FALSE),"GTIN inconnu"))</f>
        <v/>
      </c>
      <c r="D1528" s="8">
        <f>IF(A1528="","",IFERROR(VLOOKUP(B1528,TblArticles,3,FALSE),""))</f>
        <v/>
      </c>
      <c r="E1528" s="9">
        <f>IFERROR(DATE(2000+VALUE(MID(H1528,FIND("15",H1528,FIND("01",H1528)+16)+2,2)),VALUE(MID(H1528,FIND("15",H1528,FIND("01",H1528)+16)+4,2)),VALUE(MID(H1528,FIND("15",H1528,FIND("01",H1528)+16)+6,2))),"")</f>
        <v/>
      </c>
      <c r="F1528" s="8">
        <f>IFERROR(MID(H1528,FIND("10",H1528,FIND("15",H1528,FIND("01",H1528)+16)+8)+2,50),"")</f>
        <v/>
      </c>
      <c r="G1528" s="8" t="n"/>
      <c r="H1528" s="8">
        <f>SUBSTITUTE(SUBSTITUTE(SUBSTITUTE(SUBSTITUTE(A1528,"(",""),")","")," ",""),CHAR(29),"")</f>
        <v/>
      </c>
    </row>
    <row r="1529">
      <c r="A1529" s="4" t="n"/>
      <c r="B1529" s="5">
        <f>IFERROR(MID(H1529,FIND("01",H1529)+2,14),"")</f>
        <v/>
      </c>
      <c r="C1529" s="4">
        <f>IF(A1529="","",IFERROR(VLOOKUP(B1529,TblArticles,2,FALSE),"GTIN inconnu"))</f>
        <v/>
      </c>
      <c r="D1529" s="5">
        <f>IF(A1529="","",IFERROR(VLOOKUP(B1529,TblArticles,3,FALSE),""))</f>
        <v/>
      </c>
      <c r="E1529" s="6">
        <f>IFERROR(DATE(2000+VALUE(MID(H1529,FIND("15",H1529,FIND("01",H1529)+16)+2,2)),VALUE(MID(H1529,FIND("15",H1529,FIND("01",H1529)+16)+4,2)),VALUE(MID(H1529,FIND("15",H1529,FIND("01",H1529)+16)+6,2))),"")</f>
        <v/>
      </c>
      <c r="F1529" s="5">
        <f>IFERROR(MID(H1529,FIND("10",H1529,FIND("15",H1529,FIND("01",H1529)+16)+8)+2,50),"")</f>
        <v/>
      </c>
      <c r="G1529" s="5" t="n"/>
      <c r="H1529" s="5">
        <f>SUBSTITUTE(SUBSTITUTE(SUBSTITUTE(SUBSTITUTE(A1529,"(",""),")","")," ",""),CHAR(29),"")</f>
        <v/>
      </c>
    </row>
    <row r="1530">
      <c r="A1530" s="7" t="n"/>
      <c r="B1530" s="8">
        <f>IFERROR(MID(H1530,FIND("01",H1530)+2,14),"")</f>
        <v/>
      </c>
      <c r="C1530" s="7">
        <f>IF(A1530="","",IFERROR(VLOOKUP(B1530,TblArticles,2,FALSE),"GTIN inconnu"))</f>
        <v/>
      </c>
      <c r="D1530" s="8">
        <f>IF(A1530="","",IFERROR(VLOOKUP(B1530,TblArticles,3,FALSE),""))</f>
        <v/>
      </c>
      <c r="E1530" s="9">
        <f>IFERROR(DATE(2000+VALUE(MID(H1530,FIND("15",H1530,FIND("01",H1530)+16)+2,2)),VALUE(MID(H1530,FIND("15",H1530,FIND("01",H1530)+16)+4,2)),VALUE(MID(H1530,FIND("15",H1530,FIND("01",H1530)+16)+6,2))),"")</f>
        <v/>
      </c>
      <c r="F1530" s="8">
        <f>IFERROR(MID(H1530,FIND("10",H1530,FIND("15",H1530,FIND("01",H1530)+16)+8)+2,50),"")</f>
        <v/>
      </c>
      <c r="G1530" s="8" t="n"/>
      <c r="H1530" s="8">
        <f>SUBSTITUTE(SUBSTITUTE(SUBSTITUTE(SUBSTITUTE(A1530,"(",""),")","")," ",""),CHAR(29),"")</f>
        <v/>
      </c>
    </row>
    <row r="1531">
      <c r="A1531" s="4" t="n"/>
      <c r="B1531" s="5">
        <f>IFERROR(MID(H1531,FIND("01",H1531)+2,14),"")</f>
        <v/>
      </c>
      <c r="C1531" s="4">
        <f>IF(A1531="","",IFERROR(VLOOKUP(B1531,TblArticles,2,FALSE),"GTIN inconnu"))</f>
        <v/>
      </c>
      <c r="D1531" s="5">
        <f>IF(A1531="","",IFERROR(VLOOKUP(B1531,TblArticles,3,FALSE),""))</f>
        <v/>
      </c>
      <c r="E1531" s="6">
        <f>IFERROR(DATE(2000+VALUE(MID(H1531,FIND("15",H1531,FIND("01",H1531)+16)+2,2)),VALUE(MID(H1531,FIND("15",H1531,FIND("01",H1531)+16)+4,2)),VALUE(MID(H1531,FIND("15",H1531,FIND("01",H1531)+16)+6,2))),"")</f>
        <v/>
      </c>
      <c r="F1531" s="5">
        <f>IFERROR(MID(H1531,FIND("10",H1531,FIND("15",H1531,FIND("01",H1531)+16)+8)+2,50),"")</f>
        <v/>
      </c>
      <c r="G1531" s="5" t="n"/>
      <c r="H1531" s="5">
        <f>SUBSTITUTE(SUBSTITUTE(SUBSTITUTE(SUBSTITUTE(A1531,"(",""),")","")," ",""),CHAR(29),"")</f>
        <v/>
      </c>
    </row>
    <row r="1532">
      <c r="A1532" s="7" t="n"/>
      <c r="B1532" s="8">
        <f>IFERROR(MID(H1532,FIND("01",H1532)+2,14),"")</f>
        <v/>
      </c>
      <c r="C1532" s="7">
        <f>IF(A1532="","",IFERROR(VLOOKUP(B1532,TblArticles,2,FALSE),"GTIN inconnu"))</f>
        <v/>
      </c>
      <c r="D1532" s="8">
        <f>IF(A1532="","",IFERROR(VLOOKUP(B1532,TblArticles,3,FALSE),""))</f>
        <v/>
      </c>
      <c r="E1532" s="9">
        <f>IFERROR(DATE(2000+VALUE(MID(H1532,FIND("15",H1532,FIND("01",H1532)+16)+2,2)),VALUE(MID(H1532,FIND("15",H1532,FIND("01",H1532)+16)+4,2)),VALUE(MID(H1532,FIND("15",H1532,FIND("01",H1532)+16)+6,2))),"")</f>
        <v/>
      </c>
      <c r="F1532" s="8">
        <f>IFERROR(MID(H1532,FIND("10",H1532,FIND("15",H1532,FIND("01",H1532)+16)+8)+2,50),"")</f>
        <v/>
      </c>
      <c r="G1532" s="8" t="n"/>
      <c r="H1532" s="8">
        <f>SUBSTITUTE(SUBSTITUTE(SUBSTITUTE(SUBSTITUTE(A1532,"(",""),")","")," ",""),CHAR(29),"")</f>
        <v/>
      </c>
    </row>
    <row r="1533">
      <c r="A1533" s="4" t="n"/>
      <c r="B1533" s="5">
        <f>IFERROR(MID(H1533,FIND("01",H1533)+2,14),"")</f>
        <v/>
      </c>
      <c r="C1533" s="4">
        <f>IF(A1533="","",IFERROR(VLOOKUP(B1533,TblArticles,2,FALSE),"GTIN inconnu"))</f>
        <v/>
      </c>
      <c r="D1533" s="5">
        <f>IF(A1533="","",IFERROR(VLOOKUP(B1533,TblArticles,3,FALSE),""))</f>
        <v/>
      </c>
      <c r="E1533" s="6">
        <f>IFERROR(DATE(2000+VALUE(MID(H1533,FIND("15",H1533,FIND("01",H1533)+16)+2,2)),VALUE(MID(H1533,FIND("15",H1533,FIND("01",H1533)+16)+4,2)),VALUE(MID(H1533,FIND("15",H1533,FIND("01",H1533)+16)+6,2))),"")</f>
        <v/>
      </c>
      <c r="F1533" s="5">
        <f>IFERROR(MID(H1533,FIND("10",H1533,FIND("15",H1533,FIND("01",H1533)+16)+8)+2,50),"")</f>
        <v/>
      </c>
      <c r="G1533" s="5" t="n"/>
      <c r="H1533" s="5">
        <f>SUBSTITUTE(SUBSTITUTE(SUBSTITUTE(SUBSTITUTE(A1533,"(",""),")","")," ",""),CHAR(29),"")</f>
        <v/>
      </c>
    </row>
    <row r="1534">
      <c r="A1534" s="7" t="n"/>
      <c r="B1534" s="8">
        <f>IFERROR(MID(H1534,FIND("01",H1534)+2,14),"")</f>
        <v/>
      </c>
      <c r="C1534" s="7">
        <f>IF(A1534="","",IFERROR(VLOOKUP(B1534,TblArticles,2,FALSE),"GTIN inconnu"))</f>
        <v/>
      </c>
      <c r="D1534" s="8">
        <f>IF(A1534="","",IFERROR(VLOOKUP(B1534,TblArticles,3,FALSE),""))</f>
        <v/>
      </c>
      <c r="E1534" s="9">
        <f>IFERROR(DATE(2000+VALUE(MID(H1534,FIND("15",H1534,FIND("01",H1534)+16)+2,2)),VALUE(MID(H1534,FIND("15",H1534,FIND("01",H1534)+16)+4,2)),VALUE(MID(H1534,FIND("15",H1534,FIND("01",H1534)+16)+6,2))),"")</f>
        <v/>
      </c>
      <c r="F1534" s="8">
        <f>IFERROR(MID(H1534,FIND("10",H1534,FIND("15",H1534,FIND("01",H1534)+16)+8)+2,50),"")</f>
        <v/>
      </c>
      <c r="G1534" s="8" t="n"/>
      <c r="H1534" s="8">
        <f>SUBSTITUTE(SUBSTITUTE(SUBSTITUTE(SUBSTITUTE(A1534,"(",""),")","")," ",""),CHAR(29),"")</f>
        <v/>
      </c>
    </row>
    <row r="1535">
      <c r="A1535" s="4" t="n"/>
      <c r="B1535" s="5">
        <f>IFERROR(MID(H1535,FIND("01",H1535)+2,14),"")</f>
        <v/>
      </c>
      <c r="C1535" s="4">
        <f>IF(A1535="","",IFERROR(VLOOKUP(B1535,TblArticles,2,FALSE),"GTIN inconnu"))</f>
        <v/>
      </c>
      <c r="D1535" s="5">
        <f>IF(A1535="","",IFERROR(VLOOKUP(B1535,TblArticles,3,FALSE),""))</f>
        <v/>
      </c>
      <c r="E1535" s="6">
        <f>IFERROR(DATE(2000+VALUE(MID(H1535,FIND("15",H1535,FIND("01",H1535)+16)+2,2)),VALUE(MID(H1535,FIND("15",H1535,FIND("01",H1535)+16)+4,2)),VALUE(MID(H1535,FIND("15",H1535,FIND("01",H1535)+16)+6,2))),"")</f>
        <v/>
      </c>
      <c r="F1535" s="5">
        <f>IFERROR(MID(H1535,FIND("10",H1535,FIND("15",H1535,FIND("01",H1535)+16)+8)+2,50),"")</f>
        <v/>
      </c>
      <c r="G1535" s="5" t="n"/>
      <c r="H1535" s="5">
        <f>SUBSTITUTE(SUBSTITUTE(SUBSTITUTE(SUBSTITUTE(A1535,"(",""),")","")," ",""),CHAR(29),"")</f>
        <v/>
      </c>
    </row>
    <row r="1536">
      <c r="A1536" s="7" t="n"/>
      <c r="B1536" s="8">
        <f>IFERROR(MID(H1536,FIND("01",H1536)+2,14),"")</f>
        <v/>
      </c>
      <c r="C1536" s="7">
        <f>IF(A1536="","",IFERROR(VLOOKUP(B1536,TblArticles,2,FALSE),"GTIN inconnu"))</f>
        <v/>
      </c>
      <c r="D1536" s="8">
        <f>IF(A1536="","",IFERROR(VLOOKUP(B1536,TblArticles,3,FALSE),""))</f>
        <v/>
      </c>
      <c r="E1536" s="9">
        <f>IFERROR(DATE(2000+VALUE(MID(H1536,FIND("15",H1536,FIND("01",H1536)+16)+2,2)),VALUE(MID(H1536,FIND("15",H1536,FIND("01",H1536)+16)+4,2)),VALUE(MID(H1536,FIND("15",H1536,FIND("01",H1536)+16)+6,2))),"")</f>
        <v/>
      </c>
      <c r="F1536" s="8">
        <f>IFERROR(MID(H1536,FIND("10",H1536,FIND("15",H1536,FIND("01",H1536)+16)+8)+2,50),"")</f>
        <v/>
      </c>
      <c r="G1536" s="8" t="n"/>
      <c r="H1536" s="8">
        <f>SUBSTITUTE(SUBSTITUTE(SUBSTITUTE(SUBSTITUTE(A1536,"(",""),")","")," ",""),CHAR(29),"")</f>
        <v/>
      </c>
    </row>
    <row r="1537">
      <c r="A1537" s="4" t="n"/>
      <c r="B1537" s="5">
        <f>IFERROR(MID(H1537,FIND("01",H1537)+2,14),"")</f>
        <v/>
      </c>
      <c r="C1537" s="4">
        <f>IF(A1537="","",IFERROR(VLOOKUP(B1537,TblArticles,2,FALSE),"GTIN inconnu"))</f>
        <v/>
      </c>
      <c r="D1537" s="5">
        <f>IF(A1537="","",IFERROR(VLOOKUP(B1537,TblArticles,3,FALSE),""))</f>
        <v/>
      </c>
      <c r="E1537" s="6">
        <f>IFERROR(DATE(2000+VALUE(MID(H1537,FIND("15",H1537,FIND("01",H1537)+16)+2,2)),VALUE(MID(H1537,FIND("15",H1537,FIND("01",H1537)+16)+4,2)),VALUE(MID(H1537,FIND("15",H1537,FIND("01",H1537)+16)+6,2))),"")</f>
        <v/>
      </c>
      <c r="F1537" s="5">
        <f>IFERROR(MID(H1537,FIND("10",H1537,FIND("15",H1537,FIND("01",H1537)+16)+8)+2,50),"")</f>
        <v/>
      </c>
      <c r="G1537" s="5" t="n"/>
      <c r="H1537" s="5">
        <f>SUBSTITUTE(SUBSTITUTE(SUBSTITUTE(SUBSTITUTE(A1537,"(",""),")","")," ",""),CHAR(29),"")</f>
        <v/>
      </c>
    </row>
    <row r="1538">
      <c r="A1538" s="7" t="n"/>
      <c r="B1538" s="8">
        <f>IFERROR(MID(H1538,FIND("01",H1538)+2,14),"")</f>
        <v/>
      </c>
      <c r="C1538" s="7">
        <f>IF(A1538="","",IFERROR(VLOOKUP(B1538,TblArticles,2,FALSE),"GTIN inconnu"))</f>
        <v/>
      </c>
      <c r="D1538" s="8">
        <f>IF(A1538="","",IFERROR(VLOOKUP(B1538,TblArticles,3,FALSE),""))</f>
        <v/>
      </c>
      <c r="E1538" s="9">
        <f>IFERROR(DATE(2000+VALUE(MID(H1538,FIND("15",H1538,FIND("01",H1538)+16)+2,2)),VALUE(MID(H1538,FIND("15",H1538,FIND("01",H1538)+16)+4,2)),VALUE(MID(H1538,FIND("15",H1538,FIND("01",H1538)+16)+6,2))),"")</f>
        <v/>
      </c>
      <c r="F1538" s="8">
        <f>IFERROR(MID(H1538,FIND("10",H1538,FIND("15",H1538,FIND("01",H1538)+16)+8)+2,50),"")</f>
        <v/>
      </c>
      <c r="G1538" s="8" t="n"/>
      <c r="H1538" s="8">
        <f>SUBSTITUTE(SUBSTITUTE(SUBSTITUTE(SUBSTITUTE(A1538,"(",""),")","")," ",""),CHAR(29),"")</f>
        <v/>
      </c>
    </row>
    <row r="1539">
      <c r="A1539" s="4" t="n"/>
      <c r="B1539" s="5">
        <f>IFERROR(MID(H1539,FIND("01",H1539)+2,14),"")</f>
        <v/>
      </c>
      <c r="C1539" s="4">
        <f>IF(A1539="","",IFERROR(VLOOKUP(B1539,TblArticles,2,FALSE),"GTIN inconnu"))</f>
        <v/>
      </c>
      <c r="D1539" s="5">
        <f>IF(A1539="","",IFERROR(VLOOKUP(B1539,TblArticles,3,FALSE),""))</f>
        <v/>
      </c>
      <c r="E1539" s="6">
        <f>IFERROR(DATE(2000+VALUE(MID(H1539,FIND("15",H1539,FIND("01",H1539)+16)+2,2)),VALUE(MID(H1539,FIND("15",H1539,FIND("01",H1539)+16)+4,2)),VALUE(MID(H1539,FIND("15",H1539,FIND("01",H1539)+16)+6,2))),"")</f>
        <v/>
      </c>
      <c r="F1539" s="5">
        <f>IFERROR(MID(H1539,FIND("10",H1539,FIND("15",H1539,FIND("01",H1539)+16)+8)+2,50),"")</f>
        <v/>
      </c>
      <c r="G1539" s="5" t="n"/>
      <c r="H1539" s="5">
        <f>SUBSTITUTE(SUBSTITUTE(SUBSTITUTE(SUBSTITUTE(A1539,"(",""),")","")," ",""),CHAR(29),"")</f>
        <v/>
      </c>
    </row>
    <row r="1540">
      <c r="A1540" s="7" t="n"/>
      <c r="B1540" s="8">
        <f>IFERROR(MID(H1540,FIND("01",H1540)+2,14),"")</f>
        <v/>
      </c>
      <c r="C1540" s="7">
        <f>IF(A1540="","",IFERROR(VLOOKUP(B1540,TblArticles,2,FALSE),"GTIN inconnu"))</f>
        <v/>
      </c>
      <c r="D1540" s="8">
        <f>IF(A1540="","",IFERROR(VLOOKUP(B1540,TblArticles,3,FALSE),""))</f>
        <v/>
      </c>
      <c r="E1540" s="9">
        <f>IFERROR(DATE(2000+VALUE(MID(H1540,FIND("15",H1540,FIND("01",H1540)+16)+2,2)),VALUE(MID(H1540,FIND("15",H1540,FIND("01",H1540)+16)+4,2)),VALUE(MID(H1540,FIND("15",H1540,FIND("01",H1540)+16)+6,2))),"")</f>
        <v/>
      </c>
      <c r="F1540" s="8">
        <f>IFERROR(MID(H1540,FIND("10",H1540,FIND("15",H1540,FIND("01",H1540)+16)+8)+2,50),"")</f>
        <v/>
      </c>
      <c r="G1540" s="8" t="n"/>
      <c r="H1540" s="8">
        <f>SUBSTITUTE(SUBSTITUTE(SUBSTITUTE(SUBSTITUTE(A1540,"(",""),")","")," ",""),CHAR(29),"")</f>
        <v/>
      </c>
    </row>
    <row r="1541">
      <c r="A1541" s="4" t="n"/>
      <c r="B1541" s="5">
        <f>IFERROR(MID(H1541,FIND("01",H1541)+2,14),"")</f>
        <v/>
      </c>
      <c r="C1541" s="4">
        <f>IF(A1541="","",IFERROR(VLOOKUP(B1541,TblArticles,2,FALSE),"GTIN inconnu"))</f>
        <v/>
      </c>
      <c r="D1541" s="5">
        <f>IF(A1541="","",IFERROR(VLOOKUP(B1541,TblArticles,3,FALSE),""))</f>
        <v/>
      </c>
      <c r="E1541" s="6">
        <f>IFERROR(DATE(2000+VALUE(MID(H1541,FIND("15",H1541,FIND("01",H1541)+16)+2,2)),VALUE(MID(H1541,FIND("15",H1541,FIND("01",H1541)+16)+4,2)),VALUE(MID(H1541,FIND("15",H1541,FIND("01",H1541)+16)+6,2))),"")</f>
        <v/>
      </c>
      <c r="F1541" s="5">
        <f>IFERROR(MID(H1541,FIND("10",H1541,FIND("15",H1541,FIND("01",H1541)+16)+8)+2,50),"")</f>
        <v/>
      </c>
      <c r="G1541" s="5" t="n"/>
      <c r="H1541" s="5">
        <f>SUBSTITUTE(SUBSTITUTE(SUBSTITUTE(SUBSTITUTE(A1541,"(",""),")","")," ",""),CHAR(29),"")</f>
        <v/>
      </c>
    </row>
    <row r="1542">
      <c r="A1542" s="7" t="n"/>
      <c r="B1542" s="8">
        <f>IFERROR(MID(H1542,FIND("01",H1542)+2,14),"")</f>
        <v/>
      </c>
      <c r="C1542" s="7">
        <f>IF(A1542="","",IFERROR(VLOOKUP(B1542,TblArticles,2,FALSE),"GTIN inconnu"))</f>
        <v/>
      </c>
      <c r="D1542" s="8">
        <f>IF(A1542="","",IFERROR(VLOOKUP(B1542,TblArticles,3,FALSE),""))</f>
        <v/>
      </c>
      <c r="E1542" s="9">
        <f>IFERROR(DATE(2000+VALUE(MID(H1542,FIND("15",H1542,FIND("01",H1542)+16)+2,2)),VALUE(MID(H1542,FIND("15",H1542,FIND("01",H1542)+16)+4,2)),VALUE(MID(H1542,FIND("15",H1542,FIND("01",H1542)+16)+6,2))),"")</f>
        <v/>
      </c>
      <c r="F1542" s="8">
        <f>IFERROR(MID(H1542,FIND("10",H1542,FIND("15",H1542,FIND("01",H1542)+16)+8)+2,50),"")</f>
        <v/>
      </c>
      <c r="G1542" s="8" t="n"/>
      <c r="H1542" s="8">
        <f>SUBSTITUTE(SUBSTITUTE(SUBSTITUTE(SUBSTITUTE(A1542,"(",""),")","")," ",""),CHAR(29),"")</f>
        <v/>
      </c>
    </row>
    <row r="1543">
      <c r="A1543" s="4" t="n"/>
      <c r="B1543" s="5">
        <f>IFERROR(MID(H1543,FIND("01",H1543)+2,14),"")</f>
        <v/>
      </c>
      <c r="C1543" s="4">
        <f>IF(A1543="","",IFERROR(VLOOKUP(B1543,TblArticles,2,FALSE),"GTIN inconnu"))</f>
        <v/>
      </c>
      <c r="D1543" s="5">
        <f>IF(A1543="","",IFERROR(VLOOKUP(B1543,TblArticles,3,FALSE),""))</f>
        <v/>
      </c>
      <c r="E1543" s="6">
        <f>IFERROR(DATE(2000+VALUE(MID(H1543,FIND("15",H1543,FIND("01",H1543)+16)+2,2)),VALUE(MID(H1543,FIND("15",H1543,FIND("01",H1543)+16)+4,2)),VALUE(MID(H1543,FIND("15",H1543,FIND("01",H1543)+16)+6,2))),"")</f>
        <v/>
      </c>
      <c r="F1543" s="5">
        <f>IFERROR(MID(H1543,FIND("10",H1543,FIND("15",H1543,FIND("01",H1543)+16)+8)+2,50),"")</f>
        <v/>
      </c>
      <c r="G1543" s="5" t="n"/>
      <c r="H1543" s="5">
        <f>SUBSTITUTE(SUBSTITUTE(SUBSTITUTE(SUBSTITUTE(A1543,"(",""),")","")," ",""),CHAR(29),"")</f>
        <v/>
      </c>
    </row>
    <row r="1544">
      <c r="A1544" s="7" t="n"/>
      <c r="B1544" s="8">
        <f>IFERROR(MID(H1544,FIND("01",H1544)+2,14),"")</f>
        <v/>
      </c>
      <c r="C1544" s="7">
        <f>IF(A1544="","",IFERROR(VLOOKUP(B1544,TblArticles,2,FALSE),"GTIN inconnu"))</f>
        <v/>
      </c>
      <c r="D1544" s="8">
        <f>IF(A1544="","",IFERROR(VLOOKUP(B1544,TblArticles,3,FALSE),""))</f>
        <v/>
      </c>
      <c r="E1544" s="9">
        <f>IFERROR(DATE(2000+VALUE(MID(H1544,FIND("15",H1544,FIND("01",H1544)+16)+2,2)),VALUE(MID(H1544,FIND("15",H1544,FIND("01",H1544)+16)+4,2)),VALUE(MID(H1544,FIND("15",H1544,FIND("01",H1544)+16)+6,2))),"")</f>
        <v/>
      </c>
      <c r="F1544" s="8">
        <f>IFERROR(MID(H1544,FIND("10",H1544,FIND("15",H1544,FIND("01",H1544)+16)+8)+2,50),"")</f>
        <v/>
      </c>
      <c r="G1544" s="8" t="n"/>
      <c r="H1544" s="8">
        <f>SUBSTITUTE(SUBSTITUTE(SUBSTITUTE(SUBSTITUTE(A1544,"(",""),")","")," ",""),CHAR(29),"")</f>
        <v/>
      </c>
    </row>
    <row r="1545">
      <c r="A1545" s="4" t="n"/>
      <c r="B1545" s="5">
        <f>IFERROR(MID(H1545,FIND("01",H1545)+2,14),"")</f>
        <v/>
      </c>
      <c r="C1545" s="4">
        <f>IF(A1545="","",IFERROR(VLOOKUP(B1545,TblArticles,2,FALSE),"GTIN inconnu"))</f>
        <v/>
      </c>
      <c r="D1545" s="5">
        <f>IF(A1545="","",IFERROR(VLOOKUP(B1545,TblArticles,3,FALSE),""))</f>
        <v/>
      </c>
      <c r="E1545" s="6">
        <f>IFERROR(DATE(2000+VALUE(MID(H1545,FIND("15",H1545,FIND("01",H1545)+16)+2,2)),VALUE(MID(H1545,FIND("15",H1545,FIND("01",H1545)+16)+4,2)),VALUE(MID(H1545,FIND("15",H1545,FIND("01",H1545)+16)+6,2))),"")</f>
        <v/>
      </c>
      <c r="F1545" s="5">
        <f>IFERROR(MID(H1545,FIND("10",H1545,FIND("15",H1545,FIND("01",H1545)+16)+8)+2,50),"")</f>
        <v/>
      </c>
      <c r="G1545" s="5" t="n"/>
      <c r="H1545" s="5">
        <f>SUBSTITUTE(SUBSTITUTE(SUBSTITUTE(SUBSTITUTE(A1545,"(",""),")","")," ",""),CHAR(29),"")</f>
        <v/>
      </c>
    </row>
    <row r="1546">
      <c r="A1546" s="7" t="n"/>
      <c r="B1546" s="8">
        <f>IFERROR(MID(H1546,FIND("01",H1546)+2,14),"")</f>
        <v/>
      </c>
      <c r="C1546" s="7">
        <f>IF(A1546="","",IFERROR(VLOOKUP(B1546,TblArticles,2,FALSE),"GTIN inconnu"))</f>
        <v/>
      </c>
      <c r="D1546" s="8">
        <f>IF(A1546="","",IFERROR(VLOOKUP(B1546,TblArticles,3,FALSE),""))</f>
        <v/>
      </c>
      <c r="E1546" s="9">
        <f>IFERROR(DATE(2000+VALUE(MID(H1546,FIND("15",H1546,FIND("01",H1546)+16)+2,2)),VALUE(MID(H1546,FIND("15",H1546,FIND("01",H1546)+16)+4,2)),VALUE(MID(H1546,FIND("15",H1546,FIND("01",H1546)+16)+6,2))),"")</f>
        <v/>
      </c>
      <c r="F1546" s="8">
        <f>IFERROR(MID(H1546,FIND("10",H1546,FIND("15",H1546,FIND("01",H1546)+16)+8)+2,50),"")</f>
        <v/>
      </c>
      <c r="G1546" s="8" t="n"/>
      <c r="H1546" s="8">
        <f>SUBSTITUTE(SUBSTITUTE(SUBSTITUTE(SUBSTITUTE(A1546,"(",""),")","")," ",""),CHAR(29),"")</f>
        <v/>
      </c>
    </row>
    <row r="1547">
      <c r="A1547" s="4" t="n"/>
      <c r="B1547" s="5">
        <f>IFERROR(MID(H1547,FIND("01",H1547)+2,14),"")</f>
        <v/>
      </c>
      <c r="C1547" s="4">
        <f>IF(A1547="","",IFERROR(VLOOKUP(B1547,TblArticles,2,FALSE),"GTIN inconnu"))</f>
        <v/>
      </c>
      <c r="D1547" s="5">
        <f>IF(A1547="","",IFERROR(VLOOKUP(B1547,TblArticles,3,FALSE),""))</f>
        <v/>
      </c>
      <c r="E1547" s="6">
        <f>IFERROR(DATE(2000+VALUE(MID(H1547,FIND("15",H1547,FIND("01",H1547)+16)+2,2)),VALUE(MID(H1547,FIND("15",H1547,FIND("01",H1547)+16)+4,2)),VALUE(MID(H1547,FIND("15",H1547,FIND("01",H1547)+16)+6,2))),"")</f>
        <v/>
      </c>
      <c r="F1547" s="5">
        <f>IFERROR(MID(H1547,FIND("10",H1547,FIND("15",H1547,FIND("01",H1547)+16)+8)+2,50),"")</f>
        <v/>
      </c>
      <c r="G1547" s="5" t="n"/>
      <c r="H1547" s="5">
        <f>SUBSTITUTE(SUBSTITUTE(SUBSTITUTE(SUBSTITUTE(A1547,"(",""),")","")," ",""),CHAR(29),"")</f>
        <v/>
      </c>
    </row>
    <row r="1548">
      <c r="A1548" s="7" t="n"/>
      <c r="B1548" s="8">
        <f>IFERROR(MID(H1548,FIND("01",H1548)+2,14),"")</f>
        <v/>
      </c>
      <c r="C1548" s="7">
        <f>IF(A1548="","",IFERROR(VLOOKUP(B1548,TblArticles,2,FALSE),"GTIN inconnu"))</f>
        <v/>
      </c>
      <c r="D1548" s="8">
        <f>IF(A1548="","",IFERROR(VLOOKUP(B1548,TblArticles,3,FALSE),""))</f>
        <v/>
      </c>
      <c r="E1548" s="9">
        <f>IFERROR(DATE(2000+VALUE(MID(H1548,FIND("15",H1548,FIND("01",H1548)+16)+2,2)),VALUE(MID(H1548,FIND("15",H1548,FIND("01",H1548)+16)+4,2)),VALUE(MID(H1548,FIND("15",H1548,FIND("01",H1548)+16)+6,2))),"")</f>
        <v/>
      </c>
      <c r="F1548" s="8">
        <f>IFERROR(MID(H1548,FIND("10",H1548,FIND("15",H1548,FIND("01",H1548)+16)+8)+2,50),"")</f>
        <v/>
      </c>
      <c r="G1548" s="8" t="n"/>
      <c r="H1548" s="8">
        <f>SUBSTITUTE(SUBSTITUTE(SUBSTITUTE(SUBSTITUTE(A1548,"(",""),")","")," ",""),CHAR(29),"")</f>
        <v/>
      </c>
    </row>
    <row r="1549">
      <c r="A1549" s="4" t="n"/>
      <c r="B1549" s="5">
        <f>IFERROR(MID(H1549,FIND("01",H1549)+2,14),"")</f>
        <v/>
      </c>
      <c r="C1549" s="4">
        <f>IF(A1549="","",IFERROR(VLOOKUP(B1549,TblArticles,2,FALSE),"GTIN inconnu"))</f>
        <v/>
      </c>
      <c r="D1549" s="5">
        <f>IF(A1549="","",IFERROR(VLOOKUP(B1549,TblArticles,3,FALSE),""))</f>
        <v/>
      </c>
      <c r="E1549" s="6">
        <f>IFERROR(DATE(2000+VALUE(MID(H1549,FIND("15",H1549,FIND("01",H1549)+16)+2,2)),VALUE(MID(H1549,FIND("15",H1549,FIND("01",H1549)+16)+4,2)),VALUE(MID(H1549,FIND("15",H1549,FIND("01",H1549)+16)+6,2))),"")</f>
        <v/>
      </c>
      <c r="F1549" s="5">
        <f>IFERROR(MID(H1549,FIND("10",H1549,FIND("15",H1549,FIND("01",H1549)+16)+8)+2,50),"")</f>
        <v/>
      </c>
      <c r="G1549" s="5" t="n"/>
      <c r="H1549" s="5">
        <f>SUBSTITUTE(SUBSTITUTE(SUBSTITUTE(SUBSTITUTE(A1549,"(",""),")","")," ",""),CHAR(29),"")</f>
        <v/>
      </c>
    </row>
    <row r="1550">
      <c r="A1550" s="7" t="n"/>
      <c r="B1550" s="8">
        <f>IFERROR(MID(H1550,FIND("01",H1550)+2,14),"")</f>
        <v/>
      </c>
      <c r="C1550" s="7">
        <f>IF(A1550="","",IFERROR(VLOOKUP(B1550,TblArticles,2,FALSE),"GTIN inconnu"))</f>
        <v/>
      </c>
      <c r="D1550" s="8">
        <f>IF(A1550="","",IFERROR(VLOOKUP(B1550,TblArticles,3,FALSE),""))</f>
        <v/>
      </c>
      <c r="E1550" s="9">
        <f>IFERROR(DATE(2000+VALUE(MID(H1550,FIND("15",H1550,FIND("01",H1550)+16)+2,2)),VALUE(MID(H1550,FIND("15",H1550,FIND("01",H1550)+16)+4,2)),VALUE(MID(H1550,FIND("15",H1550,FIND("01",H1550)+16)+6,2))),"")</f>
        <v/>
      </c>
      <c r="F1550" s="8">
        <f>IFERROR(MID(H1550,FIND("10",H1550,FIND("15",H1550,FIND("01",H1550)+16)+8)+2,50),"")</f>
        <v/>
      </c>
      <c r="G1550" s="8" t="n"/>
      <c r="H1550" s="8">
        <f>SUBSTITUTE(SUBSTITUTE(SUBSTITUTE(SUBSTITUTE(A1550,"(",""),")","")," ",""),CHAR(29),"")</f>
        <v/>
      </c>
    </row>
    <row r="1551">
      <c r="A1551" s="4" t="n"/>
      <c r="B1551" s="5">
        <f>IFERROR(MID(H1551,FIND("01",H1551)+2,14),"")</f>
        <v/>
      </c>
      <c r="C1551" s="4">
        <f>IF(A1551="","",IFERROR(VLOOKUP(B1551,TblArticles,2,FALSE),"GTIN inconnu"))</f>
        <v/>
      </c>
      <c r="D1551" s="5">
        <f>IF(A1551="","",IFERROR(VLOOKUP(B1551,TblArticles,3,FALSE),""))</f>
        <v/>
      </c>
      <c r="E1551" s="6">
        <f>IFERROR(DATE(2000+VALUE(MID(H1551,FIND("15",H1551,FIND("01",H1551)+16)+2,2)),VALUE(MID(H1551,FIND("15",H1551,FIND("01",H1551)+16)+4,2)),VALUE(MID(H1551,FIND("15",H1551,FIND("01",H1551)+16)+6,2))),"")</f>
        <v/>
      </c>
      <c r="F1551" s="5">
        <f>IFERROR(MID(H1551,FIND("10",H1551,FIND("15",H1551,FIND("01",H1551)+16)+8)+2,50),"")</f>
        <v/>
      </c>
      <c r="G1551" s="5" t="n"/>
      <c r="H1551" s="5">
        <f>SUBSTITUTE(SUBSTITUTE(SUBSTITUTE(SUBSTITUTE(A1551,"(",""),")","")," ",""),CHAR(29),"")</f>
        <v/>
      </c>
    </row>
    <row r="1552">
      <c r="A1552" s="7" t="n"/>
      <c r="B1552" s="8">
        <f>IFERROR(MID(H1552,FIND("01",H1552)+2,14),"")</f>
        <v/>
      </c>
      <c r="C1552" s="7">
        <f>IF(A1552="","",IFERROR(VLOOKUP(B1552,TblArticles,2,FALSE),"GTIN inconnu"))</f>
        <v/>
      </c>
      <c r="D1552" s="8">
        <f>IF(A1552="","",IFERROR(VLOOKUP(B1552,TblArticles,3,FALSE),""))</f>
        <v/>
      </c>
      <c r="E1552" s="9">
        <f>IFERROR(DATE(2000+VALUE(MID(H1552,FIND("15",H1552,FIND("01",H1552)+16)+2,2)),VALUE(MID(H1552,FIND("15",H1552,FIND("01",H1552)+16)+4,2)),VALUE(MID(H1552,FIND("15",H1552,FIND("01",H1552)+16)+6,2))),"")</f>
        <v/>
      </c>
      <c r="F1552" s="8">
        <f>IFERROR(MID(H1552,FIND("10",H1552,FIND("15",H1552,FIND("01",H1552)+16)+8)+2,50),"")</f>
        <v/>
      </c>
      <c r="G1552" s="8" t="n"/>
      <c r="H1552" s="8">
        <f>SUBSTITUTE(SUBSTITUTE(SUBSTITUTE(SUBSTITUTE(A1552,"(",""),")","")," ",""),CHAR(29),"")</f>
        <v/>
      </c>
    </row>
    <row r="1553">
      <c r="A1553" s="4" t="n"/>
      <c r="B1553" s="5">
        <f>IFERROR(MID(H1553,FIND("01",H1553)+2,14),"")</f>
        <v/>
      </c>
      <c r="C1553" s="4">
        <f>IF(A1553="","",IFERROR(VLOOKUP(B1553,TblArticles,2,FALSE),"GTIN inconnu"))</f>
        <v/>
      </c>
      <c r="D1553" s="5">
        <f>IF(A1553="","",IFERROR(VLOOKUP(B1553,TblArticles,3,FALSE),""))</f>
        <v/>
      </c>
      <c r="E1553" s="6">
        <f>IFERROR(DATE(2000+VALUE(MID(H1553,FIND("15",H1553,FIND("01",H1553)+16)+2,2)),VALUE(MID(H1553,FIND("15",H1553,FIND("01",H1553)+16)+4,2)),VALUE(MID(H1553,FIND("15",H1553,FIND("01",H1553)+16)+6,2))),"")</f>
        <v/>
      </c>
      <c r="F1553" s="5">
        <f>IFERROR(MID(H1553,FIND("10",H1553,FIND("15",H1553,FIND("01",H1553)+16)+8)+2,50),"")</f>
        <v/>
      </c>
      <c r="G1553" s="5" t="n"/>
      <c r="H1553" s="5">
        <f>SUBSTITUTE(SUBSTITUTE(SUBSTITUTE(SUBSTITUTE(A1553,"(",""),")","")," ",""),CHAR(29),"")</f>
        <v/>
      </c>
    </row>
    <row r="1554">
      <c r="A1554" s="7" t="n"/>
      <c r="B1554" s="8">
        <f>IFERROR(MID(H1554,FIND("01",H1554)+2,14),"")</f>
        <v/>
      </c>
      <c r="C1554" s="7">
        <f>IF(A1554="","",IFERROR(VLOOKUP(B1554,TblArticles,2,FALSE),"GTIN inconnu"))</f>
        <v/>
      </c>
      <c r="D1554" s="8">
        <f>IF(A1554="","",IFERROR(VLOOKUP(B1554,TblArticles,3,FALSE),""))</f>
        <v/>
      </c>
      <c r="E1554" s="9">
        <f>IFERROR(DATE(2000+VALUE(MID(H1554,FIND("15",H1554,FIND("01",H1554)+16)+2,2)),VALUE(MID(H1554,FIND("15",H1554,FIND("01",H1554)+16)+4,2)),VALUE(MID(H1554,FIND("15",H1554,FIND("01",H1554)+16)+6,2))),"")</f>
        <v/>
      </c>
      <c r="F1554" s="8">
        <f>IFERROR(MID(H1554,FIND("10",H1554,FIND("15",H1554,FIND("01",H1554)+16)+8)+2,50),"")</f>
        <v/>
      </c>
      <c r="G1554" s="8" t="n"/>
      <c r="H1554" s="8">
        <f>SUBSTITUTE(SUBSTITUTE(SUBSTITUTE(SUBSTITUTE(A1554,"(",""),")","")," ",""),CHAR(29),"")</f>
        <v/>
      </c>
    </row>
    <row r="1555">
      <c r="A1555" s="4" t="n"/>
      <c r="B1555" s="5">
        <f>IFERROR(MID(H1555,FIND("01",H1555)+2,14),"")</f>
        <v/>
      </c>
      <c r="C1555" s="4">
        <f>IF(A1555="","",IFERROR(VLOOKUP(B1555,TblArticles,2,FALSE),"GTIN inconnu"))</f>
        <v/>
      </c>
      <c r="D1555" s="5">
        <f>IF(A1555="","",IFERROR(VLOOKUP(B1555,TblArticles,3,FALSE),""))</f>
        <v/>
      </c>
      <c r="E1555" s="6">
        <f>IFERROR(DATE(2000+VALUE(MID(H1555,FIND("15",H1555,FIND("01",H1555)+16)+2,2)),VALUE(MID(H1555,FIND("15",H1555,FIND("01",H1555)+16)+4,2)),VALUE(MID(H1555,FIND("15",H1555,FIND("01",H1555)+16)+6,2))),"")</f>
        <v/>
      </c>
      <c r="F1555" s="5">
        <f>IFERROR(MID(H1555,FIND("10",H1555,FIND("15",H1555,FIND("01",H1555)+16)+8)+2,50),"")</f>
        <v/>
      </c>
      <c r="G1555" s="5" t="n"/>
      <c r="H1555" s="5">
        <f>SUBSTITUTE(SUBSTITUTE(SUBSTITUTE(SUBSTITUTE(A1555,"(",""),")","")," ",""),CHAR(29),"")</f>
        <v/>
      </c>
    </row>
    <row r="1556">
      <c r="A1556" s="7" t="n"/>
      <c r="B1556" s="8">
        <f>IFERROR(MID(H1556,FIND("01",H1556)+2,14),"")</f>
        <v/>
      </c>
      <c r="C1556" s="7">
        <f>IF(A1556="","",IFERROR(VLOOKUP(B1556,TblArticles,2,FALSE),"GTIN inconnu"))</f>
        <v/>
      </c>
      <c r="D1556" s="8">
        <f>IF(A1556="","",IFERROR(VLOOKUP(B1556,TblArticles,3,FALSE),""))</f>
        <v/>
      </c>
      <c r="E1556" s="9">
        <f>IFERROR(DATE(2000+VALUE(MID(H1556,FIND("15",H1556,FIND("01",H1556)+16)+2,2)),VALUE(MID(H1556,FIND("15",H1556,FIND("01",H1556)+16)+4,2)),VALUE(MID(H1556,FIND("15",H1556,FIND("01",H1556)+16)+6,2))),"")</f>
        <v/>
      </c>
      <c r="F1556" s="8">
        <f>IFERROR(MID(H1556,FIND("10",H1556,FIND("15",H1556,FIND("01",H1556)+16)+8)+2,50),"")</f>
        <v/>
      </c>
      <c r="G1556" s="8" t="n"/>
      <c r="H1556" s="8">
        <f>SUBSTITUTE(SUBSTITUTE(SUBSTITUTE(SUBSTITUTE(A1556,"(",""),")","")," ",""),CHAR(29),"")</f>
        <v/>
      </c>
    </row>
    <row r="1557">
      <c r="A1557" s="4" t="n"/>
      <c r="B1557" s="5">
        <f>IFERROR(MID(H1557,FIND("01",H1557)+2,14),"")</f>
        <v/>
      </c>
      <c r="C1557" s="4">
        <f>IF(A1557="","",IFERROR(VLOOKUP(B1557,TblArticles,2,FALSE),"GTIN inconnu"))</f>
        <v/>
      </c>
      <c r="D1557" s="5">
        <f>IF(A1557="","",IFERROR(VLOOKUP(B1557,TblArticles,3,FALSE),""))</f>
        <v/>
      </c>
      <c r="E1557" s="6">
        <f>IFERROR(DATE(2000+VALUE(MID(H1557,FIND("15",H1557,FIND("01",H1557)+16)+2,2)),VALUE(MID(H1557,FIND("15",H1557,FIND("01",H1557)+16)+4,2)),VALUE(MID(H1557,FIND("15",H1557,FIND("01",H1557)+16)+6,2))),"")</f>
        <v/>
      </c>
      <c r="F1557" s="5">
        <f>IFERROR(MID(H1557,FIND("10",H1557,FIND("15",H1557,FIND("01",H1557)+16)+8)+2,50),"")</f>
        <v/>
      </c>
      <c r="G1557" s="5" t="n"/>
      <c r="H1557" s="5">
        <f>SUBSTITUTE(SUBSTITUTE(SUBSTITUTE(SUBSTITUTE(A1557,"(",""),")","")," ",""),CHAR(29),"")</f>
        <v/>
      </c>
    </row>
    <row r="1558">
      <c r="A1558" s="7" t="n"/>
      <c r="B1558" s="8">
        <f>IFERROR(MID(H1558,FIND("01",H1558)+2,14),"")</f>
        <v/>
      </c>
      <c r="C1558" s="7">
        <f>IF(A1558="","",IFERROR(VLOOKUP(B1558,TblArticles,2,FALSE),"GTIN inconnu"))</f>
        <v/>
      </c>
      <c r="D1558" s="8">
        <f>IF(A1558="","",IFERROR(VLOOKUP(B1558,TblArticles,3,FALSE),""))</f>
        <v/>
      </c>
      <c r="E1558" s="9">
        <f>IFERROR(DATE(2000+VALUE(MID(H1558,FIND("15",H1558,FIND("01",H1558)+16)+2,2)),VALUE(MID(H1558,FIND("15",H1558,FIND("01",H1558)+16)+4,2)),VALUE(MID(H1558,FIND("15",H1558,FIND("01",H1558)+16)+6,2))),"")</f>
        <v/>
      </c>
      <c r="F1558" s="8">
        <f>IFERROR(MID(H1558,FIND("10",H1558,FIND("15",H1558,FIND("01",H1558)+16)+8)+2,50),"")</f>
        <v/>
      </c>
      <c r="G1558" s="8" t="n"/>
      <c r="H1558" s="8">
        <f>SUBSTITUTE(SUBSTITUTE(SUBSTITUTE(SUBSTITUTE(A1558,"(",""),")","")," ",""),CHAR(29),"")</f>
        <v/>
      </c>
    </row>
    <row r="1559">
      <c r="A1559" s="4" t="n"/>
      <c r="B1559" s="5">
        <f>IFERROR(MID(H1559,FIND("01",H1559)+2,14),"")</f>
        <v/>
      </c>
      <c r="C1559" s="4">
        <f>IF(A1559="","",IFERROR(VLOOKUP(B1559,TblArticles,2,FALSE),"GTIN inconnu"))</f>
        <v/>
      </c>
      <c r="D1559" s="5">
        <f>IF(A1559="","",IFERROR(VLOOKUP(B1559,TblArticles,3,FALSE),""))</f>
        <v/>
      </c>
      <c r="E1559" s="6">
        <f>IFERROR(DATE(2000+VALUE(MID(H1559,FIND("15",H1559,FIND("01",H1559)+16)+2,2)),VALUE(MID(H1559,FIND("15",H1559,FIND("01",H1559)+16)+4,2)),VALUE(MID(H1559,FIND("15",H1559,FIND("01",H1559)+16)+6,2))),"")</f>
        <v/>
      </c>
      <c r="F1559" s="5">
        <f>IFERROR(MID(H1559,FIND("10",H1559,FIND("15",H1559,FIND("01",H1559)+16)+8)+2,50),"")</f>
        <v/>
      </c>
      <c r="G1559" s="5" t="n"/>
      <c r="H1559" s="5">
        <f>SUBSTITUTE(SUBSTITUTE(SUBSTITUTE(SUBSTITUTE(A1559,"(",""),")","")," ",""),CHAR(29),"")</f>
        <v/>
      </c>
    </row>
    <row r="1560">
      <c r="A1560" s="7" t="n"/>
      <c r="B1560" s="8">
        <f>IFERROR(MID(H1560,FIND("01",H1560)+2,14),"")</f>
        <v/>
      </c>
      <c r="C1560" s="7">
        <f>IF(A1560="","",IFERROR(VLOOKUP(B1560,TblArticles,2,FALSE),"GTIN inconnu"))</f>
        <v/>
      </c>
      <c r="D1560" s="8">
        <f>IF(A1560="","",IFERROR(VLOOKUP(B1560,TblArticles,3,FALSE),""))</f>
        <v/>
      </c>
      <c r="E1560" s="9">
        <f>IFERROR(DATE(2000+VALUE(MID(H1560,FIND("15",H1560,FIND("01",H1560)+16)+2,2)),VALUE(MID(H1560,FIND("15",H1560,FIND("01",H1560)+16)+4,2)),VALUE(MID(H1560,FIND("15",H1560,FIND("01",H1560)+16)+6,2))),"")</f>
        <v/>
      </c>
      <c r="F1560" s="8">
        <f>IFERROR(MID(H1560,FIND("10",H1560,FIND("15",H1560,FIND("01",H1560)+16)+8)+2,50),"")</f>
        <v/>
      </c>
      <c r="G1560" s="8" t="n"/>
      <c r="H1560" s="8">
        <f>SUBSTITUTE(SUBSTITUTE(SUBSTITUTE(SUBSTITUTE(A1560,"(",""),")","")," ",""),CHAR(29),"")</f>
        <v/>
      </c>
    </row>
    <row r="1561">
      <c r="A1561" s="4" t="n"/>
      <c r="B1561" s="5">
        <f>IFERROR(MID(H1561,FIND("01",H1561)+2,14),"")</f>
        <v/>
      </c>
      <c r="C1561" s="4">
        <f>IF(A1561="","",IFERROR(VLOOKUP(B1561,TblArticles,2,FALSE),"GTIN inconnu"))</f>
        <v/>
      </c>
      <c r="D1561" s="5">
        <f>IF(A1561="","",IFERROR(VLOOKUP(B1561,TblArticles,3,FALSE),""))</f>
        <v/>
      </c>
      <c r="E1561" s="6">
        <f>IFERROR(DATE(2000+VALUE(MID(H1561,FIND("15",H1561,FIND("01",H1561)+16)+2,2)),VALUE(MID(H1561,FIND("15",H1561,FIND("01",H1561)+16)+4,2)),VALUE(MID(H1561,FIND("15",H1561,FIND("01",H1561)+16)+6,2))),"")</f>
        <v/>
      </c>
      <c r="F1561" s="5">
        <f>IFERROR(MID(H1561,FIND("10",H1561,FIND("15",H1561,FIND("01",H1561)+16)+8)+2,50),"")</f>
        <v/>
      </c>
      <c r="G1561" s="5" t="n"/>
      <c r="H1561" s="5">
        <f>SUBSTITUTE(SUBSTITUTE(SUBSTITUTE(SUBSTITUTE(A1561,"(",""),")","")," ",""),CHAR(29),"")</f>
        <v/>
      </c>
    </row>
    <row r="1562">
      <c r="A1562" s="7" t="n"/>
      <c r="B1562" s="8">
        <f>IFERROR(MID(H1562,FIND("01",H1562)+2,14),"")</f>
        <v/>
      </c>
      <c r="C1562" s="7">
        <f>IF(A1562="","",IFERROR(VLOOKUP(B1562,TblArticles,2,FALSE),"GTIN inconnu"))</f>
        <v/>
      </c>
      <c r="D1562" s="8">
        <f>IF(A1562="","",IFERROR(VLOOKUP(B1562,TblArticles,3,FALSE),""))</f>
        <v/>
      </c>
      <c r="E1562" s="9">
        <f>IFERROR(DATE(2000+VALUE(MID(H1562,FIND("15",H1562,FIND("01",H1562)+16)+2,2)),VALUE(MID(H1562,FIND("15",H1562,FIND("01",H1562)+16)+4,2)),VALUE(MID(H1562,FIND("15",H1562,FIND("01",H1562)+16)+6,2))),"")</f>
        <v/>
      </c>
      <c r="F1562" s="8">
        <f>IFERROR(MID(H1562,FIND("10",H1562,FIND("15",H1562,FIND("01",H1562)+16)+8)+2,50),"")</f>
        <v/>
      </c>
      <c r="G1562" s="8" t="n"/>
      <c r="H1562" s="8">
        <f>SUBSTITUTE(SUBSTITUTE(SUBSTITUTE(SUBSTITUTE(A1562,"(",""),")","")," ",""),CHAR(29),"")</f>
        <v/>
      </c>
    </row>
    <row r="1563">
      <c r="A1563" s="4" t="n"/>
      <c r="B1563" s="5">
        <f>IFERROR(MID(H1563,FIND("01",H1563)+2,14),"")</f>
        <v/>
      </c>
      <c r="C1563" s="4">
        <f>IF(A1563="","",IFERROR(VLOOKUP(B1563,TblArticles,2,FALSE),"GTIN inconnu"))</f>
        <v/>
      </c>
      <c r="D1563" s="5">
        <f>IF(A1563="","",IFERROR(VLOOKUP(B1563,TblArticles,3,FALSE),""))</f>
        <v/>
      </c>
      <c r="E1563" s="6">
        <f>IFERROR(DATE(2000+VALUE(MID(H1563,FIND("15",H1563,FIND("01",H1563)+16)+2,2)),VALUE(MID(H1563,FIND("15",H1563,FIND("01",H1563)+16)+4,2)),VALUE(MID(H1563,FIND("15",H1563,FIND("01",H1563)+16)+6,2))),"")</f>
        <v/>
      </c>
      <c r="F1563" s="5">
        <f>IFERROR(MID(H1563,FIND("10",H1563,FIND("15",H1563,FIND("01",H1563)+16)+8)+2,50),"")</f>
        <v/>
      </c>
      <c r="G1563" s="5" t="n"/>
      <c r="H1563" s="5">
        <f>SUBSTITUTE(SUBSTITUTE(SUBSTITUTE(SUBSTITUTE(A1563,"(",""),")","")," ",""),CHAR(29),"")</f>
        <v/>
      </c>
    </row>
    <row r="1564">
      <c r="A1564" s="7" t="n"/>
      <c r="B1564" s="8">
        <f>IFERROR(MID(H1564,FIND("01",H1564)+2,14),"")</f>
        <v/>
      </c>
      <c r="C1564" s="7">
        <f>IF(A1564="","",IFERROR(VLOOKUP(B1564,TblArticles,2,FALSE),"GTIN inconnu"))</f>
        <v/>
      </c>
      <c r="D1564" s="8">
        <f>IF(A1564="","",IFERROR(VLOOKUP(B1564,TblArticles,3,FALSE),""))</f>
        <v/>
      </c>
      <c r="E1564" s="9">
        <f>IFERROR(DATE(2000+VALUE(MID(H1564,FIND("15",H1564,FIND("01",H1564)+16)+2,2)),VALUE(MID(H1564,FIND("15",H1564,FIND("01",H1564)+16)+4,2)),VALUE(MID(H1564,FIND("15",H1564,FIND("01",H1564)+16)+6,2))),"")</f>
        <v/>
      </c>
      <c r="F1564" s="8">
        <f>IFERROR(MID(H1564,FIND("10",H1564,FIND("15",H1564,FIND("01",H1564)+16)+8)+2,50),"")</f>
        <v/>
      </c>
      <c r="G1564" s="8" t="n"/>
      <c r="H1564" s="8">
        <f>SUBSTITUTE(SUBSTITUTE(SUBSTITUTE(SUBSTITUTE(A1564,"(",""),")","")," ",""),CHAR(29),"")</f>
        <v/>
      </c>
    </row>
    <row r="1565">
      <c r="A1565" s="4" t="n"/>
      <c r="B1565" s="5">
        <f>IFERROR(MID(H1565,FIND("01",H1565)+2,14),"")</f>
        <v/>
      </c>
      <c r="C1565" s="4">
        <f>IF(A1565="","",IFERROR(VLOOKUP(B1565,TblArticles,2,FALSE),"GTIN inconnu"))</f>
        <v/>
      </c>
      <c r="D1565" s="5">
        <f>IF(A1565="","",IFERROR(VLOOKUP(B1565,TblArticles,3,FALSE),""))</f>
        <v/>
      </c>
      <c r="E1565" s="6">
        <f>IFERROR(DATE(2000+VALUE(MID(H1565,FIND("15",H1565,FIND("01",H1565)+16)+2,2)),VALUE(MID(H1565,FIND("15",H1565,FIND("01",H1565)+16)+4,2)),VALUE(MID(H1565,FIND("15",H1565,FIND("01",H1565)+16)+6,2))),"")</f>
        <v/>
      </c>
      <c r="F1565" s="5">
        <f>IFERROR(MID(H1565,FIND("10",H1565,FIND("15",H1565,FIND("01",H1565)+16)+8)+2,50),"")</f>
        <v/>
      </c>
      <c r="G1565" s="5" t="n"/>
      <c r="H1565" s="5">
        <f>SUBSTITUTE(SUBSTITUTE(SUBSTITUTE(SUBSTITUTE(A1565,"(",""),")","")," ",""),CHAR(29),"")</f>
        <v/>
      </c>
    </row>
    <row r="1566">
      <c r="A1566" s="7" t="n"/>
      <c r="B1566" s="8">
        <f>IFERROR(MID(H1566,FIND("01",H1566)+2,14),"")</f>
        <v/>
      </c>
      <c r="C1566" s="7">
        <f>IF(A1566="","",IFERROR(VLOOKUP(B1566,TblArticles,2,FALSE),"GTIN inconnu"))</f>
        <v/>
      </c>
      <c r="D1566" s="8">
        <f>IF(A1566="","",IFERROR(VLOOKUP(B1566,TblArticles,3,FALSE),""))</f>
        <v/>
      </c>
      <c r="E1566" s="9">
        <f>IFERROR(DATE(2000+VALUE(MID(H1566,FIND("15",H1566,FIND("01",H1566)+16)+2,2)),VALUE(MID(H1566,FIND("15",H1566,FIND("01",H1566)+16)+4,2)),VALUE(MID(H1566,FIND("15",H1566,FIND("01",H1566)+16)+6,2))),"")</f>
        <v/>
      </c>
      <c r="F1566" s="8">
        <f>IFERROR(MID(H1566,FIND("10",H1566,FIND("15",H1566,FIND("01",H1566)+16)+8)+2,50),"")</f>
        <v/>
      </c>
      <c r="G1566" s="8" t="n"/>
      <c r="H1566" s="8">
        <f>SUBSTITUTE(SUBSTITUTE(SUBSTITUTE(SUBSTITUTE(A1566,"(",""),")","")," ",""),CHAR(29),"")</f>
        <v/>
      </c>
    </row>
    <row r="1567">
      <c r="A1567" s="4" t="n"/>
      <c r="B1567" s="5">
        <f>IFERROR(MID(H1567,FIND("01",H1567)+2,14),"")</f>
        <v/>
      </c>
      <c r="C1567" s="4">
        <f>IF(A1567="","",IFERROR(VLOOKUP(B1567,TblArticles,2,FALSE),"GTIN inconnu"))</f>
        <v/>
      </c>
      <c r="D1567" s="5">
        <f>IF(A1567="","",IFERROR(VLOOKUP(B1567,TblArticles,3,FALSE),""))</f>
        <v/>
      </c>
      <c r="E1567" s="6">
        <f>IFERROR(DATE(2000+VALUE(MID(H1567,FIND("15",H1567,FIND("01",H1567)+16)+2,2)),VALUE(MID(H1567,FIND("15",H1567,FIND("01",H1567)+16)+4,2)),VALUE(MID(H1567,FIND("15",H1567,FIND("01",H1567)+16)+6,2))),"")</f>
        <v/>
      </c>
      <c r="F1567" s="5">
        <f>IFERROR(MID(H1567,FIND("10",H1567,FIND("15",H1567,FIND("01",H1567)+16)+8)+2,50),"")</f>
        <v/>
      </c>
      <c r="G1567" s="5" t="n"/>
      <c r="H1567" s="5">
        <f>SUBSTITUTE(SUBSTITUTE(SUBSTITUTE(SUBSTITUTE(A1567,"(",""),")","")," ",""),CHAR(29),"")</f>
        <v/>
      </c>
    </row>
    <row r="1568">
      <c r="A1568" s="7" t="n"/>
      <c r="B1568" s="8">
        <f>IFERROR(MID(H1568,FIND("01",H1568)+2,14),"")</f>
        <v/>
      </c>
      <c r="C1568" s="7">
        <f>IF(A1568="","",IFERROR(VLOOKUP(B1568,TblArticles,2,FALSE),"GTIN inconnu"))</f>
        <v/>
      </c>
      <c r="D1568" s="8">
        <f>IF(A1568="","",IFERROR(VLOOKUP(B1568,TblArticles,3,FALSE),""))</f>
        <v/>
      </c>
      <c r="E1568" s="9">
        <f>IFERROR(DATE(2000+VALUE(MID(H1568,FIND("15",H1568,FIND("01",H1568)+16)+2,2)),VALUE(MID(H1568,FIND("15",H1568,FIND("01",H1568)+16)+4,2)),VALUE(MID(H1568,FIND("15",H1568,FIND("01",H1568)+16)+6,2))),"")</f>
        <v/>
      </c>
      <c r="F1568" s="8">
        <f>IFERROR(MID(H1568,FIND("10",H1568,FIND("15",H1568,FIND("01",H1568)+16)+8)+2,50),"")</f>
        <v/>
      </c>
      <c r="G1568" s="8" t="n"/>
      <c r="H1568" s="8">
        <f>SUBSTITUTE(SUBSTITUTE(SUBSTITUTE(SUBSTITUTE(A1568,"(",""),")","")," ",""),CHAR(29),"")</f>
        <v/>
      </c>
    </row>
    <row r="1569">
      <c r="A1569" s="4" t="n"/>
      <c r="B1569" s="5">
        <f>IFERROR(MID(H1569,FIND("01",H1569)+2,14),"")</f>
        <v/>
      </c>
      <c r="C1569" s="4">
        <f>IF(A1569="","",IFERROR(VLOOKUP(B1569,TblArticles,2,FALSE),"GTIN inconnu"))</f>
        <v/>
      </c>
      <c r="D1569" s="5">
        <f>IF(A1569="","",IFERROR(VLOOKUP(B1569,TblArticles,3,FALSE),""))</f>
        <v/>
      </c>
      <c r="E1569" s="6">
        <f>IFERROR(DATE(2000+VALUE(MID(H1569,FIND("15",H1569,FIND("01",H1569)+16)+2,2)),VALUE(MID(H1569,FIND("15",H1569,FIND("01",H1569)+16)+4,2)),VALUE(MID(H1569,FIND("15",H1569,FIND("01",H1569)+16)+6,2))),"")</f>
        <v/>
      </c>
      <c r="F1569" s="5">
        <f>IFERROR(MID(H1569,FIND("10",H1569,FIND("15",H1569,FIND("01",H1569)+16)+8)+2,50),"")</f>
        <v/>
      </c>
      <c r="G1569" s="5" t="n"/>
      <c r="H1569" s="5">
        <f>SUBSTITUTE(SUBSTITUTE(SUBSTITUTE(SUBSTITUTE(A1569,"(",""),")","")," ",""),CHAR(29),"")</f>
        <v/>
      </c>
    </row>
    <row r="1570">
      <c r="A1570" s="7" t="n"/>
      <c r="B1570" s="8">
        <f>IFERROR(MID(H1570,FIND("01",H1570)+2,14),"")</f>
        <v/>
      </c>
      <c r="C1570" s="7">
        <f>IF(A1570="","",IFERROR(VLOOKUP(B1570,TblArticles,2,FALSE),"GTIN inconnu"))</f>
        <v/>
      </c>
      <c r="D1570" s="8">
        <f>IF(A1570="","",IFERROR(VLOOKUP(B1570,TblArticles,3,FALSE),""))</f>
        <v/>
      </c>
      <c r="E1570" s="9">
        <f>IFERROR(DATE(2000+VALUE(MID(H1570,FIND("15",H1570,FIND("01",H1570)+16)+2,2)),VALUE(MID(H1570,FIND("15",H1570,FIND("01",H1570)+16)+4,2)),VALUE(MID(H1570,FIND("15",H1570,FIND("01",H1570)+16)+6,2))),"")</f>
        <v/>
      </c>
      <c r="F1570" s="8">
        <f>IFERROR(MID(H1570,FIND("10",H1570,FIND("15",H1570,FIND("01",H1570)+16)+8)+2,50),"")</f>
        <v/>
      </c>
      <c r="G1570" s="8" t="n"/>
      <c r="H1570" s="8">
        <f>SUBSTITUTE(SUBSTITUTE(SUBSTITUTE(SUBSTITUTE(A1570,"(",""),")","")," ",""),CHAR(29),"")</f>
        <v/>
      </c>
    </row>
    <row r="1571">
      <c r="A1571" s="4" t="n"/>
      <c r="B1571" s="5">
        <f>IFERROR(MID(H1571,FIND("01",H1571)+2,14),"")</f>
        <v/>
      </c>
      <c r="C1571" s="4">
        <f>IF(A1571="","",IFERROR(VLOOKUP(B1571,TblArticles,2,FALSE),"GTIN inconnu"))</f>
        <v/>
      </c>
      <c r="D1571" s="5">
        <f>IF(A1571="","",IFERROR(VLOOKUP(B1571,TblArticles,3,FALSE),""))</f>
        <v/>
      </c>
      <c r="E1571" s="6">
        <f>IFERROR(DATE(2000+VALUE(MID(H1571,FIND("15",H1571,FIND("01",H1571)+16)+2,2)),VALUE(MID(H1571,FIND("15",H1571,FIND("01",H1571)+16)+4,2)),VALUE(MID(H1571,FIND("15",H1571,FIND("01",H1571)+16)+6,2))),"")</f>
        <v/>
      </c>
      <c r="F1571" s="5">
        <f>IFERROR(MID(H1571,FIND("10",H1571,FIND("15",H1571,FIND("01",H1571)+16)+8)+2,50),"")</f>
        <v/>
      </c>
      <c r="G1571" s="5" t="n"/>
      <c r="H1571" s="5">
        <f>SUBSTITUTE(SUBSTITUTE(SUBSTITUTE(SUBSTITUTE(A1571,"(",""),")","")," ",""),CHAR(29),"")</f>
        <v/>
      </c>
    </row>
    <row r="1572">
      <c r="A1572" s="7" t="n"/>
      <c r="B1572" s="8">
        <f>IFERROR(MID(H1572,FIND("01",H1572)+2,14),"")</f>
        <v/>
      </c>
      <c r="C1572" s="7">
        <f>IF(A1572="","",IFERROR(VLOOKUP(B1572,TblArticles,2,FALSE),"GTIN inconnu"))</f>
        <v/>
      </c>
      <c r="D1572" s="8">
        <f>IF(A1572="","",IFERROR(VLOOKUP(B1572,TblArticles,3,FALSE),""))</f>
        <v/>
      </c>
      <c r="E1572" s="9">
        <f>IFERROR(DATE(2000+VALUE(MID(H1572,FIND("15",H1572,FIND("01",H1572)+16)+2,2)),VALUE(MID(H1572,FIND("15",H1572,FIND("01",H1572)+16)+4,2)),VALUE(MID(H1572,FIND("15",H1572,FIND("01",H1572)+16)+6,2))),"")</f>
        <v/>
      </c>
      <c r="F1572" s="8">
        <f>IFERROR(MID(H1572,FIND("10",H1572,FIND("15",H1572,FIND("01",H1572)+16)+8)+2,50),"")</f>
        <v/>
      </c>
      <c r="G1572" s="8" t="n"/>
      <c r="H1572" s="8">
        <f>SUBSTITUTE(SUBSTITUTE(SUBSTITUTE(SUBSTITUTE(A1572,"(",""),")","")," ",""),CHAR(29),"")</f>
        <v/>
      </c>
    </row>
    <row r="1573">
      <c r="A1573" s="4" t="n"/>
      <c r="B1573" s="5">
        <f>IFERROR(MID(H1573,FIND("01",H1573)+2,14),"")</f>
        <v/>
      </c>
      <c r="C1573" s="4">
        <f>IF(A1573="","",IFERROR(VLOOKUP(B1573,TblArticles,2,FALSE),"GTIN inconnu"))</f>
        <v/>
      </c>
      <c r="D1573" s="5">
        <f>IF(A1573="","",IFERROR(VLOOKUP(B1573,TblArticles,3,FALSE),""))</f>
        <v/>
      </c>
      <c r="E1573" s="6">
        <f>IFERROR(DATE(2000+VALUE(MID(H1573,FIND("15",H1573,FIND("01",H1573)+16)+2,2)),VALUE(MID(H1573,FIND("15",H1573,FIND("01",H1573)+16)+4,2)),VALUE(MID(H1573,FIND("15",H1573,FIND("01",H1573)+16)+6,2))),"")</f>
        <v/>
      </c>
      <c r="F1573" s="5">
        <f>IFERROR(MID(H1573,FIND("10",H1573,FIND("15",H1573,FIND("01",H1573)+16)+8)+2,50),"")</f>
        <v/>
      </c>
      <c r="G1573" s="5" t="n"/>
      <c r="H1573" s="5">
        <f>SUBSTITUTE(SUBSTITUTE(SUBSTITUTE(SUBSTITUTE(A1573,"(",""),")","")," ",""),CHAR(29),"")</f>
        <v/>
      </c>
    </row>
    <row r="1574">
      <c r="A1574" s="7" t="n"/>
      <c r="B1574" s="8">
        <f>IFERROR(MID(H1574,FIND("01",H1574)+2,14),"")</f>
        <v/>
      </c>
      <c r="C1574" s="7">
        <f>IF(A1574="","",IFERROR(VLOOKUP(B1574,TblArticles,2,FALSE),"GTIN inconnu"))</f>
        <v/>
      </c>
      <c r="D1574" s="8">
        <f>IF(A1574="","",IFERROR(VLOOKUP(B1574,TblArticles,3,FALSE),""))</f>
        <v/>
      </c>
      <c r="E1574" s="9">
        <f>IFERROR(DATE(2000+VALUE(MID(H1574,FIND("15",H1574,FIND("01",H1574)+16)+2,2)),VALUE(MID(H1574,FIND("15",H1574,FIND("01",H1574)+16)+4,2)),VALUE(MID(H1574,FIND("15",H1574,FIND("01",H1574)+16)+6,2))),"")</f>
        <v/>
      </c>
      <c r="F1574" s="8">
        <f>IFERROR(MID(H1574,FIND("10",H1574,FIND("15",H1574,FIND("01",H1574)+16)+8)+2,50),"")</f>
        <v/>
      </c>
      <c r="G1574" s="8" t="n"/>
      <c r="H1574" s="8">
        <f>SUBSTITUTE(SUBSTITUTE(SUBSTITUTE(SUBSTITUTE(A1574,"(",""),")","")," ",""),CHAR(29),"")</f>
        <v/>
      </c>
    </row>
    <row r="1575">
      <c r="A1575" s="4" t="n"/>
      <c r="B1575" s="5">
        <f>IFERROR(MID(H1575,FIND("01",H1575)+2,14),"")</f>
        <v/>
      </c>
      <c r="C1575" s="4">
        <f>IF(A1575="","",IFERROR(VLOOKUP(B1575,TblArticles,2,FALSE),"GTIN inconnu"))</f>
        <v/>
      </c>
      <c r="D1575" s="5">
        <f>IF(A1575="","",IFERROR(VLOOKUP(B1575,TblArticles,3,FALSE),""))</f>
        <v/>
      </c>
      <c r="E1575" s="6">
        <f>IFERROR(DATE(2000+VALUE(MID(H1575,FIND("15",H1575,FIND("01",H1575)+16)+2,2)),VALUE(MID(H1575,FIND("15",H1575,FIND("01",H1575)+16)+4,2)),VALUE(MID(H1575,FIND("15",H1575,FIND("01",H1575)+16)+6,2))),"")</f>
        <v/>
      </c>
      <c r="F1575" s="5">
        <f>IFERROR(MID(H1575,FIND("10",H1575,FIND("15",H1575,FIND("01",H1575)+16)+8)+2,50),"")</f>
        <v/>
      </c>
      <c r="G1575" s="5" t="n"/>
      <c r="H1575" s="5">
        <f>SUBSTITUTE(SUBSTITUTE(SUBSTITUTE(SUBSTITUTE(A1575,"(",""),")","")," ",""),CHAR(29),"")</f>
        <v/>
      </c>
    </row>
    <row r="1576">
      <c r="A1576" s="7" t="n"/>
      <c r="B1576" s="8">
        <f>IFERROR(MID(H1576,FIND("01",H1576)+2,14),"")</f>
        <v/>
      </c>
      <c r="C1576" s="7">
        <f>IF(A1576="","",IFERROR(VLOOKUP(B1576,TblArticles,2,FALSE),"GTIN inconnu"))</f>
        <v/>
      </c>
      <c r="D1576" s="8">
        <f>IF(A1576="","",IFERROR(VLOOKUP(B1576,TblArticles,3,FALSE),""))</f>
        <v/>
      </c>
      <c r="E1576" s="9">
        <f>IFERROR(DATE(2000+VALUE(MID(H1576,FIND("15",H1576,FIND("01",H1576)+16)+2,2)),VALUE(MID(H1576,FIND("15",H1576,FIND("01",H1576)+16)+4,2)),VALUE(MID(H1576,FIND("15",H1576,FIND("01",H1576)+16)+6,2))),"")</f>
        <v/>
      </c>
      <c r="F1576" s="8">
        <f>IFERROR(MID(H1576,FIND("10",H1576,FIND("15",H1576,FIND("01",H1576)+16)+8)+2,50),"")</f>
        <v/>
      </c>
      <c r="G1576" s="8" t="n"/>
      <c r="H1576" s="8">
        <f>SUBSTITUTE(SUBSTITUTE(SUBSTITUTE(SUBSTITUTE(A1576,"(",""),")","")," ",""),CHAR(29),"")</f>
        <v/>
      </c>
    </row>
    <row r="1577">
      <c r="A1577" s="4" t="n"/>
      <c r="B1577" s="5">
        <f>IFERROR(MID(H1577,FIND("01",H1577)+2,14),"")</f>
        <v/>
      </c>
      <c r="C1577" s="4">
        <f>IF(A1577="","",IFERROR(VLOOKUP(B1577,TblArticles,2,FALSE),"GTIN inconnu"))</f>
        <v/>
      </c>
      <c r="D1577" s="5">
        <f>IF(A1577="","",IFERROR(VLOOKUP(B1577,TblArticles,3,FALSE),""))</f>
        <v/>
      </c>
      <c r="E1577" s="6">
        <f>IFERROR(DATE(2000+VALUE(MID(H1577,FIND("15",H1577,FIND("01",H1577)+16)+2,2)),VALUE(MID(H1577,FIND("15",H1577,FIND("01",H1577)+16)+4,2)),VALUE(MID(H1577,FIND("15",H1577,FIND("01",H1577)+16)+6,2))),"")</f>
        <v/>
      </c>
      <c r="F1577" s="5">
        <f>IFERROR(MID(H1577,FIND("10",H1577,FIND("15",H1577,FIND("01",H1577)+16)+8)+2,50),"")</f>
        <v/>
      </c>
      <c r="G1577" s="5" t="n"/>
      <c r="H1577" s="5">
        <f>SUBSTITUTE(SUBSTITUTE(SUBSTITUTE(SUBSTITUTE(A1577,"(",""),")","")," ",""),CHAR(29),"")</f>
        <v/>
      </c>
    </row>
    <row r="1578">
      <c r="A1578" s="7" t="n"/>
      <c r="B1578" s="8">
        <f>IFERROR(MID(H1578,FIND("01",H1578)+2,14),"")</f>
        <v/>
      </c>
      <c r="C1578" s="7">
        <f>IF(A1578="","",IFERROR(VLOOKUP(B1578,TblArticles,2,FALSE),"GTIN inconnu"))</f>
        <v/>
      </c>
      <c r="D1578" s="8">
        <f>IF(A1578="","",IFERROR(VLOOKUP(B1578,TblArticles,3,FALSE),""))</f>
        <v/>
      </c>
      <c r="E1578" s="9">
        <f>IFERROR(DATE(2000+VALUE(MID(H1578,FIND("15",H1578,FIND("01",H1578)+16)+2,2)),VALUE(MID(H1578,FIND("15",H1578,FIND("01",H1578)+16)+4,2)),VALUE(MID(H1578,FIND("15",H1578,FIND("01",H1578)+16)+6,2))),"")</f>
        <v/>
      </c>
      <c r="F1578" s="8">
        <f>IFERROR(MID(H1578,FIND("10",H1578,FIND("15",H1578,FIND("01",H1578)+16)+8)+2,50),"")</f>
        <v/>
      </c>
      <c r="G1578" s="8" t="n"/>
      <c r="H1578" s="8">
        <f>SUBSTITUTE(SUBSTITUTE(SUBSTITUTE(SUBSTITUTE(A1578,"(",""),")","")," ",""),CHAR(29),"")</f>
        <v/>
      </c>
    </row>
    <row r="1579">
      <c r="A1579" s="4" t="n"/>
      <c r="B1579" s="5">
        <f>IFERROR(MID(H1579,FIND("01",H1579)+2,14),"")</f>
        <v/>
      </c>
      <c r="C1579" s="4">
        <f>IF(A1579="","",IFERROR(VLOOKUP(B1579,TblArticles,2,FALSE),"GTIN inconnu"))</f>
        <v/>
      </c>
      <c r="D1579" s="5">
        <f>IF(A1579="","",IFERROR(VLOOKUP(B1579,TblArticles,3,FALSE),""))</f>
        <v/>
      </c>
      <c r="E1579" s="6">
        <f>IFERROR(DATE(2000+VALUE(MID(H1579,FIND("15",H1579,FIND("01",H1579)+16)+2,2)),VALUE(MID(H1579,FIND("15",H1579,FIND("01",H1579)+16)+4,2)),VALUE(MID(H1579,FIND("15",H1579,FIND("01",H1579)+16)+6,2))),"")</f>
        <v/>
      </c>
      <c r="F1579" s="5">
        <f>IFERROR(MID(H1579,FIND("10",H1579,FIND("15",H1579,FIND("01",H1579)+16)+8)+2,50),"")</f>
        <v/>
      </c>
      <c r="G1579" s="5" t="n"/>
      <c r="H1579" s="5">
        <f>SUBSTITUTE(SUBSTITUTE(SUBSTITUTE(SUBSTITUTE(A1579,"(",""),")","")," ",""),CHAR(29),"")</f>
        <v/>
      </c>
    </row>
    <row r="1580">
      <c r="A1580" s="7" t="n"/>
      <c r="B1580" s="8">
        <f>IFERROR(MID(H1580,FIND("01",H1580)+2,14),"")</f>
        <v/>
      </c>
      <c r="C1580" s="7">
        <f>IF(A1580="","",IFERROR(VLOOKUP(B1580,TblArticles,2,FALSE),"GTIN inconnu"))</f>
        <v/>
      </c>
      <c r="D1580" s="8">
        <f>IF(A1580="","",IFERROR(VLOOKUP(B1580,TblArticles,3,FALSE),""))</f>
        <v/>
      </c>
      <c r="E1580" s="9">
        <f>IFERROR(DATE(2000+VALUE(MID(H1580,FIND("15",H1580,FIND("01",H1580)+16)+2,2)),VALUE(MID(H1580,FIND("15",H1580,FIND("01",H1580)+16)+4,2)),VALUE(MID(H1580,FIND("15",H1580,FIND("01",H1580)+16)+6,2))),"")</f>
        <v/>
      </c>
      <c r="F1580" s="8">
        <f>IFERROR(MID(H1580,FIND("10",H1580,FIND("15",H1580,FIND("01",H1580)+16)+8)+2,50),"")</f>
        <v/>
      </c>
      <c r="G1580" s="8" t="n"/>
      <c r="H1580" s="8">
        <f>SUBSTITUTE(SUBSTITUTE(SUBSTITUTE(SUBSTITUTE(A1580,"(",""),")","")," ",""),CHAR(29),"")</f>
        <v/>
      </c>
    </row>
    <row r="1581">
      <c r="A1581" s="4" t="n"/>
      <c r="B1581" s="5">
        <f>IFERROR(MID(H1581,FIND("01",H1581)+2,14),"")</f>
        <v/>
      </c>
      <c r="C1581" s="4">
        <f>IF(A1581="","",IFERROR(VLOOKUP(B1581,TblArticles,2,FALSE),"GTIN inconnu"))</f>
        <v/>
      </c>
      <c r="D1581" s="5">
        <f>IF(A1581="","",IFERROR(VLOOKUP(B1581,TblArticles,3,FALSE),""))</f>
        <v/>
      </c>
      <c r="E1581" s="6">
        <f>IFERROR(DATE(2000+VALUE(MID(H1581,FIND("15",H1581,FIND("01",H1581)+16)+2,2)),VALUE(MID(H1581,FIND("15",H1581,FIND("01",H1581)+16)+4,2)),VALUE(MID(H1581,FIND("15",H1581,FIND("01",H1581)+16)+6,2))),"")</f>
        <v/>
      </c>
      <c r="F1581" s="5">
        <f>IFERROR(MID(H1581,FIND("10",H1581,FIND("15",H1581,FIND("01",H1581)+16)+8)+2,50),"")</f>
        <v/>
      </c>
      <c r="G1581" s="5" t="n"/>
      <c r="H1581" s="5">
        <f>SUBSTITUTE(SUBSTITUTE(SUBSTITUTE(SUBSTITUTE(A1581,"(",""),")","")," ",""),CHAR(29),"")</f>
        <v/>
      </c>
    </row>
    <row r="1582">
      <c r="A1582" s="7" t="n"/>
      <c r="B1582" s="8">
        <f>IFERROR(MID(H1582,FIND("01",H1582)+2,14),"")</f>
        <v/>
      </c>
      <c r="C1582" s="7">
        <f>IF(A1582="","",IFERROR(VLOOKUP(B1582,TblArticles,2,FALSE),"GTIN inconnu"))</f>
        <v/>
      </c>
      <c r="D1582" s="8">
        <f>IF(A1582="","",IFERROR(VLOOKUP(B1582,TblArticles,3,FALSE),""))</f>
        <v/>
      </c>
      <c r="E1582" s="9">
        <f>IFERROR(DATE(2000+VALUE(MID(H1582,FIND("15",H1582,FIND("01",H1582)+16)+2,2)),VALUE(MID(H1582,FIND("15",H1582,FIND("01",H1582)+16)+4,2)),VALUE(MID(H1582,FIND("15",H1582,FIND("01",H1582)+16)+6,2))),"")</f>
        <v/>
      </c>
      <c r="F1582" s="8">
        <f>IFERROR(MID(H1582,FIND("10",H1582,FIND("15",H1582,FIND("01",H1582)+16)+8)+2,50),"")</f>
        <v/>
      </c>
      <c r="G1582" s="8" t="n"/>
      <c r="H1582" s="8">
        <f>SUBSTITUTE(SUBSTITUTE(SUBSTITUTE(SUBSTITUTE(A1582,"(",""),")","")," ",""),CHAR(29),"")</f>
        <v/>
      </c>
    </row>
    <row r="1583">
      <c r="A1583" s="4" t="n"/>
      <c r="B1583" s="5">
        <f>IFERROR(MID(H1583,FIND("01",H1583)+2,14),"")</f>
        <v/>
      </c>
      <c r="C1583" s="4">
        <f>IF(A1583="","",IFERROR(VLOOKUP(B1583,TblArticles,2,FALSE),"GTIN inconnu"))</f>
        <v/>
      </c>
      <c r="D1583" s="5">
        <f>IF(A1583="","",IFERROR(VLOOKUP(B1583,TblArticles,3,FALSE),""))</f>
        <v/>
      </c>
      <c r="E1583" s="6">
        <f>IFERROR(DATE(2000+VALUE(MID(H1583,FIND("15",H1583,FIND("01",H1583)+16)+2,2)),VALUE(MID(H1583,FIND("15",H1583,FIND("01",H1583)+16)+4,2)),VALUE(MID(H1583,FIND("15",H1583,FIND("01",H1583)+16)+6,2))),"")</f>
        <v/>
      </c>
      <c r="F1583" s="5">
        <f>IFERROR(MID(H1583,FIND("10",H1583,FIND("15",H1583,FIND("01",H1583)+16)+8)+2,50),"")</f>
        <v/>
      </c>
      <c r="G1583" s="5" t="n"/>
      <c r="H1583" s="5">
        <f>SUBSTITUTE(SUBSTITUTE(SUBSTITUTE(SUBSTITUTE(A1583,"(",""),")","")," ",""),CHAR(29),"")</f>
        <v/>
      </c>
    </row>
    <row r="1584">
      <c r="A1584" s="7" t="n"/>
      <c r="B1584" s="8">
        <f>IFERROR(MID(H1584,FIND("01",H1584)+2,14),"")</f>
        <v/>
      </c>
      <c r="C1584" s="7">
        <f>IF(A1584="","",IFERROR(VLOOKUP(B1584,TblArticles,2,FALSE),"GTIN inconnu"))</f>
        <v/>
      </c>
      <c r="D1584" s="8">
        <f>IF(A1584="","",IFERROR(VLOOKUP(B1584,TblArticles,3,FALSE),""))</f>
        <v/>
      </c>
      <c r="E1584" s="9">
        <f>IFERROR(DATE(2000+VALUE(MID(H1584,FIND("15",H1584,FIND("01",H1584)+16)+2,2)),VALUE(MID(H1584,FIND("15",H1584,FIND("01",H1584)+16)+4,2)),VALUE(MID(H1584,FIND("15",H1584,FIND("01",H1584)+16)+6,2))),"")</f>
        <v/>
      </c>
      <c r="F1584" s="8">
        <f>IFERROR(MID(H1584,FIND("10",H1584,FIND("15",H1584,FIND("01",H1584)+16)+8)+2,50),"")</f>
        <v/>
      </c>
      <c r="G1584" s="8" t="n"/>
      <c r="H1584" s="8">
        <f>SUBSTITUTE(SUBSTITUTE(SUBSTITUTE(SUBSTITUTE(A1584,"(",""),")","")," ",""),CHAR(29),"")</f>
        <v/>
      </c>
    </row>
    <row r="1585">
      <c r="A1585" s="4" t="n"/>
      <c r="B1585" s="5">
        <f>IFERROR(MID(H1585,FIND("01",H1585)+2,14),"")</f>
        <v/>
      </c>
      <c r="C1585" s="4">
        <f>IF(A1585="","",IFERROR(VLOOKUP(B1585,TblArticles,2,FALSE),"GTIN inconnu"))</f>
        <v/>
      </c>
      <c r="D1585" s="5">
        <f>IF(A1585="","",IFERROR(VLOOKUP(B1585,TblArticles,3,FALSE),""))</f>
        <v/>
      </c>
      <c r="E1585" s="6">
        <f>IFERROR(DATE(2000+VALUE(MID(H1585,FIND("15",H1585,FIND("01",H1585)+16)+2,2)),VALUE(MID(H1585,FIND("15",H1585,FIND("01",H1585)+16)+4,2)),VALUE(MID(H1585,FIND("15",H1585,FIND("01",H1585)+16)+6,2))),"")</f>
        <v/>
      </c>
      <c r="F1585" s="5">
        <f>IFERROR(MID(H1585,FIND("10",H1585,FIND("15",H1585,FIND("01",H1585)+16)+8)+2,50),"")</f>
        <v/>
      </c>
      <c r="G1585" s="5" t="n"/>
      <c r="H1585" s="5">
        <f>SUBSTITUTE(SUBSTITUTE(SUBSTITUTE(SUBSTITUTE(A1585,"(",""),")","")," ",""),CHAR(29),"")</f>
        <v/>
      </c>
    </row>
    <row r="1586">
      <c r="A1586" s="7" t="n"/>
      <c r="B1586" s="8">
        <f>IFERROR(MID(H1586,FIND("01",H1586)+2,14),"")</f>
        <v/>
      </c>
      <c r="C1586" s="7">
        <f>IF(A1586="","",IFERROR(VLOOKUP(B1586,TblArticles,2,FALSE),"GTIN inconnu"))</f>
        <v/>
      </c>
      <c r="D1586" s="8">
        <f>IF(A1586="","",IFERROR(VLOOKUP(B1586,TblArticles,3,FALSE),""))</f>
        <v/>
      </c>
      <c r="E1586" s="9">
        <f>IFERROR(DATE(2000+VALUE(MID(H1586,FIND("15",H1586,FIND("01",H1586)+16)+2,2)),VALUE(MID(H1586,FIND("15",H1586,FIND("01",H1586)+16)+4,2)),VALUE(MID(H1586,FIND("15",H1586,FIND("01",H1586)+16)+6,2))),"")</f>
        <v/>
      </c>
      <c r="F1586" s="8">
        <f>IFERROR(MID(H1586,FIND("10",H1586,FIND("15",H1586,FIND("01",H1586)+16)+8)+2,50),"")</f>
        <v/>
      </c>
      <c r="G1586" s="8" t="n"/>
      <c r="H1586" s="8">
        <f>SUBSTITUTE(SUBSTITUTE(SUBSTITUTE(SUBSTITUTE(A1586,"(",""),")","")," ",""),CHAR(29),"")</f>
        <v/>
      </c>
    </row>
    <row r="1587">
      <c r="A1587" s="4" t="n"/>
      <c r="B1587" s="5">
        <f>IFERROR(MID(H1587,FIND("01",H1587)+2,14),"")</f>
        <v/>
      </c>
      <c r="C1587" s="4">
        <f>IF(A1587="","",IFERROR(VLOOKUP(B1587,TblArticles,2,FALSE),"GTIN inconnu"))</f>
        <v/>
      </c>
      <c r="D1587" s="5">
        <f>IF(A1587="","",IFERROR(VLOOKUP(B1587,TblArticles,3,FALSE),""))</f>
        <v/>
      </c>
      <c r="E1587" s="6">
        <f>IFERROR(DATE(2000+VALUE(MID(H1587,FIND("15",H1587,FIND("01",H1587)+16)+2,2)),VALUE(MID(H1587,FIND("15",H1587,FIND("01",H1587)+16)+4,2)),VALUE(MID(H1587,FIND("15",H1587,FIND("01",H1587)+16)+6,2))),"")</f>
        <v/>
      </c>
      <c r="F1587" s="5">
        <f>IFERROR(MID(H1587,FIND("10",H1587,FIND("15",H1587,FIND("01",H1587)+16)+8)+2,50),"")</f>
        <v/>
      </c>
      <c r="G1587" s="5" t="n"/>
      <c r="H1587" s="5">
        <f>SUBSTITUTE(SUBSTITUTE(SUBSTITUTE(SUBSTITUTE(A1587,"(",""),")","")," ",""),CHAR(29),"")</f>
        <v/>
      </c>
    </row>
    <row r="1588">
      <c r="A1588" s="7" t="n"/>
      <c r="B1588" s="8">
        <f>IFERROR(MID(H1588,FIND("01",H1588)+2,14),"")</f>
        <v/>
      </c>
      <c r="C1588" s="7">
        <f>IF(A1588="","",IFERROR(VLOOKUP(B1588,TblArticles,2,FALSE),"GTIN inconnu"))</f>
        <v/>
      </c>
      <c r="D1588" s="8">
        <f>IF(A1588="","",IFERROR(VLOOKUP(B1588,TblArticles,3,FALSE),""))</f>
        <v/>
      </c>
      <c r="E1588" s="9">
        <f>IFERROR(DATE(2000+VALUE(MID(H1588,FIND("15",H1588,FIND("01",H1588)+16)+2,2)),VALUE(MID(H1588,FIND("15",H1588,FIND("01",H1588)+16)+4,2)),VALUE(MID(H1588,FIND("15",H1588,FIND("01",H1588)+16)+6,2))),"")</f>
        <v/>
      </c>
      <c r="F1588" s="8">
        <f>IFERROR(MID(H1588,FIND("10",H1588,FIND("15",H1588,FIND("01",H1588)+16)+8)+2,50),"")</f>
        <v/>
      </c>
      <c r="G1588" s="8" t="n"/>
      <c r="H1588" s="8">
        <f>SUBSTITUTE(SUBSTITUTE(SUBSTITUTE(SUBSTITUTE(A1588,"(",""),")","")," ",""),CHAR(29),"")</f>
        <v/>
      </c>
    </row>
    <row r="1589">
      <c r="A1589" s="4" t="n"/>
      <c r="B1589" s="5">
        <f>IFERROR(MID(H1589,FIND("01",H1589)+2,14),"")</f>
        <v/>
      </c>
      <c r="C1589" s="4">
        <f>IF(A1589="","",IFERROR(VLOOKUP(B1589,TblArticles,2,FALSE),"GTIN inconnu"))</f>
        <v/>
      </c>
      <c r="D1589" s="5">
        <f>IF(A1589="","",IFERROR(VLOOKUP(B1589,TblArticles,3,FALSE),""))</f>
        <v/>
      </c>
      <c r="E1589" s="6">
        <f>IFERROR(DATE(2000+VALUE(MID(H1589,FIND("15",H1589,FIND("01",H1589)+16)+2,2)),VALUE(MID(H1589,FIND("15",H1589,FIND("01",H1589)+16)+4,2)),VALUE(MID(H1589,FIND("15",H1589,FIND("01",H1589)+16)+6,2))),"")</f>
        <v/>
      </c>
      <c r="F1589" s="5">
        <f>IFERROR(MID(H1589,FIND("10",H1589,FIND("15",H1589,FIND("01",H1589)+16)+8)+2,50),"")</f>
        <v/>
      </c>
      <c r="G1589" s="5" t="n"/>
      <c r="H1589" s="5">
        <f>SUBSTITUTE(SUBSTITUTE(SUBSTITUTE(SUBSTITUTE(A1589,"(",""),")","")," ",""),CHAR(29),"")</f>
        <v/>
      </c>
    </row>
    <row r="1590">
      <c r="A1590" s="7" t="n"/>
      <c r="B1590" s="8">
        <f>IFERROR(MID(H1590,FIND("01",H1590)+2,14),"")</f>
        <v/>
      </c>
      <c r="C1590" s="7">
        <f>IF(A1590="","",IFERROR(VLOOKUP(B1590,TblArticles,2,FALSE),"GTIN inconnu"))</f>
        <v/>
      </c>
      <c r="D1590" s="8">
        <f>IF(A1590="","",IFERROR(VLOOKUP(B1590,TblArticles,3,FALSE),""))</f>
        <v/>
      </c>
      <c r="E1590" s="9">
        <f>IFERROR(DATE(2000+VALUE(MID(H1590,FIND("15",H1590,FIND("01",H1590)+16)+2,2)),VALUE(MID(H1590,FIND("15",H1590,FIND("01",H1590)+16)+4,2)),VALUE(MID(H1590,FIND("15",H1590,FIND("01",H1590)+16)+6,2))),"")</f>
        <v/>
      </c>
      <c r="F1590" s="8">
        <f>IFERROR(MID(H1590,FIND("10",H1590,FIND("15",H1590,FIND("01",H1590)+16)+8)+2,50),"")</f>
        <v/>
      </c>
      <c r="G1590" s="8" t="n"/>
      <c r="H1590" s="8">
        <f>SUBSTITUTE(SUBSTITUTE(SUBSTITUTE(SUBSTITUTE(A1590,"(",""),")","")," ",""),CHAR(29),"")</f>
        <v/>
      </c>
    </row>
    <row r="1591">
      <c r="A1591" s="4" t="n"/>
      <c r="B1591" s="5">
        <f>IFERROR(MID(H1591,FIND("01",H1591)+2,14),"")</f>
        <v/>
      </c>
      <c r="C1591" s="4">
        <f>IF(A1591="","",IFERROR(VLOOKUP(B1591,TblArticles,2,FALSE),"GTIN inconnu"))</f>
        <v/>
      </c>
      <c r="D1591" s="5">
        <f>IF(A1591="","",IFERROR(VLOOKUP(B1591,TblArticles,3,FALSE),""))</f>
        <v/>
      </c>
      <c r="E1591" s="6">
        <f>IFERROR(DATE(2000+VALUE(MID(H1591,FIND("15",H1591,FIND("01",H1591)+16)+2,2)),VALUE(MID(H1591,FIND("15",H1591,FIND("01",H1591)+16)+4,2)),VALUE(MID(H1591,FIND("15",H1591,FIND("01",H1591)+16)+6,2))),"")</f>
        <v/>
      </c>
      <c r="F1591" s="5">
        <f>IFERROR(MID(H1591,FIND("10",H1591,FIND("15",H1591,FIND("01",H1591)+16)+8)+2,50),"")</f>
        <v/>
      </c>
      <c r="G1591" s="5" t="n"/>
      <c r="H1591" s="5">
        <f>SUBSTITUTE(SUBSTITUTE(SUBSTITUTE(SUBSTITUTE(A1591,"(",""),")","")," ",""),CHAR(29),"")</f>
        <v/>
      </c>
    </row>
    <row r="1592">
      <c r="A1592" s="7" t="n"/>
      <c r="B1592" s="8">
        <f>IFERROR(MID(H1592,FIND("01",H1592)+2,14),"")</f>
        <v/>
      </c>
      <c r="C1592" s="7">
        <f>IF(A1592="","",IFERROR(VLOOKUP(B1592,TblArticles,2,FALSE),"GTIN inconnu"))</f>
        <v/>
      </c>
      <c r="D1592" s="8">
        <f>IF(A1592="","",IFERROR(VLOOKUP(B1592,TblArticles,3,FALSE),""))</f>
        <v/>
      </c>
      <c r="E1592" s="9">
        <f>IFERROR(DATE(2000+VALUE(MID(H1592,FIND("15",H1592,FIND("01",H1592)+16)+2,2)),VALUE(MID(H1592,FIND("15",H1592,FIND("01",H1592)+16)+4,2)),VALUE(MID(H1592,FIND("15",H1592,FIND("01",H1592)+16)+6,2))),"")</f>
        <v/>
      </c>
      <c r="F1592" s="8">
        <f>IFERROR(MID(H1592,FIND("10",H1592,FIND("15",H1592,FIND("01",H1592)+16)+8)+2,50),"")</f>
        <v/>
      </c>
      <c r="G1592" s="8" t="n"/>
      <c r="H1592" s="8">
        <f>SUBSTITUTE(SUBSTITUTE(SUBSTITUTE(SUBSTITUTE(A1592,"(",""),")","")," ",""),CHAR(29),"")</f>
        <v/>
      </c>
    </row>
    <row r="1593">
      <c r="A1593" s="4" t="n"/>
      <c r="B1593" s="5">
        <f>IFERROR(MID(H1593,FIND("01",H1593)+2,14),"")</f>
        <v/>
      </c>
      <c r="C1593" s="4">
        <f>IF(A1593="","",IFERROR(VLOOKUP(B1593,TblArticles,2,FALSE),"GTIN inconnu"))</f>
        <v/>
      </c>
      <c r="D1593" s="5">
        <f>IF(A1593="","",IFERROR(VLOOKUP(B1593,TblArticles,3,FALSE),""))</f>
        <v/>
      </c>
      <c r="E1593" s="6">
        <f>IFERROR(DATE(2000+VALUE(MID(H1593,FIND("15",H1593,FIND("01",H1593)+16)+2,2)),VALUE(MID(H1593,FIND("15",H1593,FIND("01",H1593)+16)+4,2)),VALUE(MID(H1593,FIND("15",H1593,FIND("01",H1593)+16)+6,2))),"")</f>
        <v/>
      </c>
      <c r="F1593" s="5">
        <f>IFERROR(MID(H1593,FIND("10",H1593,FIND("15",H1593,FIND("01",H1593)+16)+8)+2,50),"")</f>
        <v/>
      </c>
      <c r="G1593" s="5" t="n"/>
      <c r="H1593" s="5">
        <f>SUBSTITUTE(SUBSTITUTE(SUBSTITUTE(SUBSTITUTE(A1593,"(",""),")","")," ",""),CHAR(29),"")</f>
        <v/>
      </c>
    </row>
    <row r="1594">
      <c r="A1594" s="7" t="n"/>
      <c r="B1594" s="8">
        <f>IFERROR(MID(H1594,FIND("01",H1594)+2,14),"")</f>
        <v/>
      </c>
      <c r="C1594" s="7">
        <f>IF(A1594="","",IFERROR(VLOOKUP(B1594,TblArticles,2,FALSE),"GTIN inconnu"))</f>
        <v/>
      </c>
      <c r="D1594" s="8">
        <f>IF(A1594="","",IFERROR(VLOOKUP(B1594,TblArticles,3,FALSE),""))</f>
        <v/>
      </c>
      <c r="E1594" s="9">
        <f>IFERROR(DATE(2000+VALUE(MID(H1594,FIND("15",H1594,FIND("01",H1594)+16)+2,2)),VALUE(MID(H1594,FIND("15",H1594,FIND("01",H1594)+16)+4,2)),VALUE(MID(H1594,FIND("15",H1594,FIND("01",H1594)+16)+6,2))),"")</f>
        <v/>
      </c>
      <c r="F1594" s="8">
        <f>IFERROR(MID(H1594,FIND("10",H1594,FIND("15",H1594,FIND("01",H1594)+16)+8)+2,50),"")</f>
        <v/>
      </c>
      <c r="G1594" s="8" t="n"/>
      <c r="H1594" s="8">
        <f>SUBSTITUTE(SUBSTITUTE(SUBSTITUTE(SUBSTITUTE(A1594,"(",""),")","")," ",""),CHAR(29),"")</f>
        <v/>
      </c>
    </row>
    <row r="1595">
      <c r="A1595" s="4" t="n"/>
      <c r="B1595" s="5">
        <f>IFERROR(MID(H1595,FIND("01",H1595)+2,14),"")</f>
        <v/>
      </c>
      <c r="C1595" s="4">
        <f>IF(A1595="","",IFERROR(VLOOKUP(B1595,TblArticles,2,FALSE),"GTIN inconnu"))</f>
        <v/>
      </c>
      <c r="D1595" s="5">
        <f>IF(A1595="","",IFERROR(VLOOKUP(B1595,TblArticles,3,FALSE),""))</f>
        <v/>
      </c>
      <c r="E1595" s="6">
        <f>IFERROR(DATE(2000+VALUE(MID(H1595,FIND("15",H1595,FIND("01",H1595)+16)+2,2)),VALUE(MID(H1595,FIND("15",H1595,FIND("01",H1595)+16)+4,2)),VALUE(MID(H1595,FIND("15",H1595,FIND("01",H1595)+16)+6,2))),"")</f>
        <v/>
      </c>
      <c r="F1595" s="5">
        <f>IFERROR(MID(H1595,FIND("10",H1595,FIND("15",H1595,FIND("01",H1595)+16)+8)+2,50),"")</f>
        <v/>
      </c>
      <c r="G1595" s="5" t="n"/>
      <c r="H1595" s="5">
        <f>SUBSTITUTE(SUBSTITUTE(SUBSTITUTE(SUBSTITUTE(A1595,"(",""),")","")," ",""),CHAR(29),"")</f>
        <v/>
      </c>
    </row>
    <row r="1596">
      <c r="A1596" s="7" t="n"/>
      <c r="B1596" s="8">
        <f>IFERROR(MID(H1596,FIND("01",H1596)+2,14),"")</f>
        <v/>
      </c>
      <c r="C1596" s="7">
        <f>IF(A1596="","",IFERROR(VLOOKUP(B1596,TblArticles,2,FALSE),"GTIN inconnu"))</f>
        <v/>
      </c>
      <c r="D1596" s="8">
        <f>IF(A1596="","",IFERROR(VLOOKUP(B1596,TblArticles,3,FALSE),""))</f>
        <v/>
      </c>
      <c r="E1596" s="9">
        <f>IFERROR(DATE(2000+VALUE(MID(H1596,FIND("15",H1596,FIND("01",H1596)+16)+2,2)),VALUE(MID(H1596,FIND("15",H1596,FIND("01",H1596)+16)+4,2)),VALUE(MID(H1596,FIND("15",H1596,FIND("01",H1596)+16)+6,2))),"")</f>
        <v/>
      </c>
      <c r="F1596" s="8">
        <f>IFERROR(MID(H1596,FIND("10",H1596,FIND("15",H1596,FIND("01",H1596)+16)+8)+2,50),"")</f>
        <v/>
      </c>
      <c r="G1596" s="8" t="n"/>
      <c r="H1596" s="8">
        <f>SUBSTITUTE(SUBSTITUTE(SUBSTITUTE(SUBSTITUTE(A1596,"(",""),")","")," ",""),CHAR(29),"")</f>
        <v/>
      </c>
    </row>
    <row r="1597">
      <c r="A1597" s="4" t="n"/>
      <c r="B1597" s="5">
        <f>IFERROR(MID(H1597,FIND("01",H1597)+2,14),"")</f>
        <v/>
      </c>
      <c r="C1597" s="4">
        <f>IF(A1597="","",IFERROR(VLOOKUP(B1597,TblArticles,2,FALSE),"GTIN inconnu"))</f>
        <v/>
      </c>
      <c r="D1597" s="5">
        <f>IF(A1597="","",IFERROR(VLOOKUP(B1597,TblArticles,3,FALSE),""))</f>
        <v/>
      </c>
      <c r="E1597" s="6">
        <f>IFERROR(DATE(2000+VALUE(MID(H1597,FIND("15",H1597,FIND("01",H1597)+16)+2,2)),VALUE(MID(H1597,FIND("15",H1597,FIND("01",H1597)+16)+4,2)),VALUE(MID(H1597,FIND("15",H1597,FIND("01",H1597)+16)+6,2))),"")</f>
        <v/>
      </c>
      <c r="F1597" s="5">
        <f>IFERROR(MID(H1597,FIND("10",H1597,FIND("15",H1597,FIND("01",H1597)+16)+8)+2,50),"")</f>
        <v/>
      </c>
      <c r="G1597" s="5" t="n"/>
      <c r="H1597" s="5">
        <f>SUBSTITUTE(SUBSTITUTE(SUBSTITUTE(SUBSTITUTE(A1597,"(",""),")","")," ",""),CHAR(29),"")</f>
        <v/>
      </c>
    </row>
    <row r="1598">
      <c r="A1598" s="7" t="n"/>
      <c r="B1598" s="8">
        <f>IFERROR(MID(H1598,FIND("01",H1598)+2,14),"")</f>
        <v/>
      </c>
      <c r="C1598" s="7">
        <f>IF(A1598="","",IFERROR(VLOOKUP(B1598,TblArticles,2,FALSE),"GTIN inconnu"))</f>
        <v/>
      </c>
      <c r="D1598" s="8">
        <f>IF(A1598="","",IFERROR(VLOOKUP(B1598,TblArticles,3,FALSE),""))</f>
        <v/>
      </c>
      <c r="E1598" s="9">
        <f>IFERROR(DATE(2000+VALUE(MID(H1598,FIND("15",H1598,FIND("01",H1598)+16)+2,2)),VALUE(MID(H1598,FIND("15",H1598,FIND("01",H1598)+16)+4,2)),VALUE(MID(H1598,FIND("15",H1598,FIND("01",H1598)+16)+6,2))),"")</f>
        <v/>
      </c>
      <c r="F1598" s="8">
        <f>IFERROR(MID(H1598,FIND("10",H1598,FIND("15",H1598,FIND("01",H1598)+16)+8)+2,50),"")</f>
        <v/>
      </c>
      <c r="G1598" s="8" t="n"/>
      <c r="H1598" s="8">
        <f>SUBSTITUTE(SUBSTITUTE(SUBSTITUTE(SUBSTITUTE(A1598,"(",""),")","")," ",""),CHAR(29),"")</f>
        <v/>
      </c>
    </row>
    <row r="1599">
      <c r="A1599" s="4" t="n"/>
      <c r="B1599" s="5">
        <f>IFERROR(MID(H1599,FIND("01",H1599)+2,14),"")</f>
        <v/>
      </c>
      <c r="C1599" s="4">
        <f>IF(A1599="","",IFERROR(VLOOKUP(B1599,TblArticles,2,FALSE),"GTIN inconnu"))</f>
        <v/>
      </c>
      <c r="D1599" s="5">
        <f>IF(A1599="","",IFERROR(VLOOKUP(B1599,TblArticles,3,FALSE),""))</f>
        <v/>
      </c>
      <c r="E1599" s="6">
        <f>IFERROR(DATE(2000+VALUE(MID(H1599,FIND("15",H1599,FIND("01",H1599)+16)+2,2)),VALUE(MID(H1599,FIND("15",H1599,FIND("01",H1599)+16)+4,2)),VALUE(MID(H1599,FIND("15",H1599,FIND("01",H1599)+16)+6,2))),"")</f>
        <v/>
      </c>
      <c r="F1599" s="5">
        <f>IFERROR(MID(H1599,FIND("10",H1599,FIND("15",H1599,FIND("01",H1599)+16)+8)+2,50),"")</f>
        <v/>
      </c>
      <c r="G1599" s="5" t="n"/>
      <c r="H1599" s="5">
        <f>SUBSTITUTE(SUBSTITUTE(SUBSTITUTE(SUBSTITUTE(A1599,"(",""),")","")," ",""),CHAR(29),"")</f>
        <v/>
      </c>
    </row>
    <row r="1600">
      <c r="A1600" s="7" t="n"/>
      <c r="B1600" s="8">
        <f>IFERROR(MID(H1600,FIND("01",H1600)+2,14),"")</f>
        <v/>
      </c>
      <c r="C1600" s="7">
        <f>IF(A1600="","",IFERROR(VLOOKUP(B1600,TblArticles,2,FALSE),"GTIN inconnu"))</f>
        <v/>
      </c>
      <c r="D1600" s="8">
        <f>IF(A1600="","",IFERROR(VLOOKUP(B1600,TblArticles,3,FALSE),""))</f>
        <v/>
      </c>
      <c r="E1600" s="9">
        <f>IFERROR(DATE(2000+VALUE(MID(H1600,FIND("15",H1600,FIND("01",H1600)+16)+2,2)),VALUE(MID(H1600,FIND("15",H1600,FIND("01",H1600)+16)+4,2)),VALUE(MID(H1600,FIND("15",H1600,FIND("01",H1600)+16)+6,2))),"")</f>
        <v/>
      </c>
      <c r="F1600" s="8">
        <f>IFERROR(MID(H1600,FIND("10",H1600,FIND("15",H1600,FIND("01",H1600)+16)+8)+2,50),"")</f>
        <v/>
      </c>
      <c r="G1600" s="8" t="n"/>
      <c r="H1600" s="8">
        <f>SUBSTITUTE(SUBSTITUTE(SUBSTITUTE(SUBSTITUTE(A1600,"(",""),")","")," ",""),CHAR(29),"")</f>
        <v/>
      </c>
    </row>
    <row r="1601">
      <c r="A1601" s="4" t="n"/>
      <c r="B1601" s="5">
        <f>IFERROR(MID(H1601,FIND("01",H1601)+2,14),"")</f>
        <v/>
      </c>
      <c r="C1601" s="4">
        <f>IF(A1601="","",IFERROR(VLOOKUP(B1601,TblArticles,2,FALSE),"GTIN inconnu"))</f>
        <v/>
      </c>
      <c r="D1601" s="5">
        <f>IF(A1601="","",IFERROR(VLOOKUP(B1601,TblArticles,3,FALSE),""))</f>
        <v/>
      </c>
      <c r="E1601" s="6">
        <f>IFERROR(DATE(2000+VALUE(MID(H1601,FIND("15",H1601,FIND("01",H1601)+16)+2,2)),VALUE(MID(H1601,FIND("15",H1601,FIND("01",H1601)+16)+4,2)),VALUE(MID(H1601,FIND("15",H1601,FIND("01",H1601)+16)+6,2))),"")</f>
        <v/>
      </c>
      <c r="F1601" s="5">
        <f>IFERROR(MID(H1601,FIND("10",H1601,FIND("15",H1601,FIND("01",H1601)+16)+8)+2,50),"")</f>
        <v/>
      </c>
      <c r="G1601" s="5" t="n"/>
      <c r="H1601" s="5">
        <f>SUBSTITUTE(SUBSTITUTE(SUBSTITUTE(SUBSTITUTE(A1601,"(",""),")","")," ",""),CHAR(29),"")</f>
        <v/>
      </c>
    </row>
    <row r="1602">
      <c r="A1602" s="7" t="n"/>
      <c r="B1602" s="8">
        <f>IFERROR(MID(H1602,FIND("01",H1602)+2,14),"")</f>
        <v/>
      </c>
      <c r="C1602" s="7">
        <f>IF(A1602="","",IFERROR(VLOOKUP(B1602,TblArticles,2,FALSE),"GTIN inconnu"))</f>
        <v/>
      </c>
      <c r="D1602" s="8">
        <f>IF(A1602="","",IFERROR(VLOOKUP(B1602,TblArticles,3,FALSE),""))</f>
        <v/>
      </c>
      <c r="E1602" s="9">
        <f>IFERROR(DATE(2000+VALUE(MID(H1602,FIND("15",H1602,FIND("01",H1602)+16)+2,2)),VALUE(MID(H1602,FIND("15",H1602,FIND("01",H1602)+16)+4,2)),VALUE(MID(H1602,FIND("15",H1602,FIND("01",H1602)+16)+6,2))),"")</f>
        <v/>
      </c>
      <c r="F1602" s="8">
        <f>IFERROR(MID(H1602,FIND("10",H1602,FIND("15",H1602,FIND("01",H1602)+16)+8)+2,50),"")</f>
        <v/>
      </c>
      <c r="G1602" s="8" t="n"/>
      <c r="H1602" s="8">
        <f>SUBSTITUTE(SUBSTITUTE(SUBSTITUTE(SUBSTITUTE(A1602,"(",""),")","")," ",""),CHAR(29),"")</f>
        <v/>
      </c>
    </row>
    <row r="1603">
      <c r="A1603" s="4" t="n"/>
      <c r="B1603" s="5">
        <f>IFERROR(MID(H1603,FIND("01",H1603)+2,14),"")</f>
        <v/>
      </c>
      <c r="C1603" s="4">
        <f>IF(A1603="","",IFERROR(VLOOKUP(B1603,TblArticles,2,FALSE),"GTIN inconnu"))</f>
        <v/>
      </c>
      <c r="D1603" s="5">
        <f>IF(A1603="","",IFERROR(VLOOKUP(B1603,TblArticles,3,FALSE),""))</f>
        <v/>
      </c>
      <c r="E1603" s="6">
        <f>IFERROR(DATE(2000+VALUE(MID(H1603,FIND("15",H1603,FIND("01",H1603)+16)+2,2)),VALUE(MID(H1603,FIND("15",H1603,FIND("01",H1603)+16)+4,2)),VALUE(MID(H1603,FIND("15",H1603,FIND("01",H1603)+16)+6,2))),"")</f>
        <v/>
      </c>
      <c r="F1603" s="5">
        <f>IFERROR(MID(H1603,FIND("10",H1603,FIND("15",H1603,FIND("01",H1603)+16)+8)+2,50),"")</f>
        <v/>
      </c>
      <c r="G1603" s="5" t="n"/>
      <c r="H1603" s="5">
        <f>SUBSTITUTE(SUBSTITUTE(SUBSTITUTE(SUBSTITUTE(A1603,"(",""),")","")," ",""),CHAR(29),"")</f>
        <v/>
      </c>
    </row>
    <row r="1604">
      <c r="A1604" s="7" t="n"/>
      <c r="B1604" s="8">
        <f>IFERROR(MID(H1604,FIND("01",H1604)+2,14),"")</f>
        <v/>
      </c>
      <c r="C1604" s="7">
        <f>IF(A1604="","",IFERROR(VLOOKUP(B1604,TblArticles,2,FALSE),"GTIN inconnu"))</f>
        <v/>
      </c>
      <c r="D1604" s="8">
        <f>IF(A1604="","",IFERROR(VLOOKUP(B1604,TblArticles,3,FALSE),""))</f>
        <v/>
      </c>
      <c r="E1604" s="9">
        <f>IFERROR(DATE(2000+VALUE(MID(H1604,FIND("15",H1604,FIND("01",H1604)+16)+2,2)),VALUE(MID(H1604,FIND("15",H1604,FIND("01",H1604)+16)+4,2)),VALUE(MID(H1604,FIND("15",H1604,FIND("01",H1604)+16)+6,2))),"")</f>
        <v/>
      </c>
      <c r="F1604" s="8">
        <f>IFERROR(MID(H1604,FIND("10",H1604,FIND("15",H1604,FIND("01",H1604)+16)+8)+2,50),"")</f>
        <v/>
      </c>
      <c r="G1604" s="8" t="n"/>
      <c r="H1604" s="8">
        <f>SUBSTITUTE(SUBSTITUTE(SUBSTITUTE(SUBSTITUTE(A1604,"(",""),")","")," ",""),CHAR(29),"")</f>
        <v/>
      </c>
    </row>
    <row r="1605">
      <c r="A1605" s="4" t="n"/>
      <c r="B1605" s="5">
        <f>IFERROR(MID(H1605,FIND("01",H1605)+2,14),"")</f>
        <v/>
      </c>
      <c r="C1605" s="4">
        <f>IF(A1605="","",IFERROR(VLOOKUP(B1605,TblArticles,2,FALSE),"GTIN inconnu"))</f>
        <v/>
      </c>
      <c r="D1605" s="5">
        <f>IF(A1605="","",IFERROR(VLOOKUP(B1605,TblArticles,3,FALSE),""))</f>
        <v/>
      </c>
      <c r="E1605" s="6">
        <f>IFERROR(DATE(2000+VALUE(MID(H1605,FIND("15",H1605,FIND("01",H1605)+16)+2,2)),VALUE(MID(H1605,FIND("15",H1605,FIND("01",H1605)+16)+4,2)),VALUE(MID(H1605,FIND("15",H1605,FIND("01",H1605)+16)+6,2))),"")</f>
        <v/>
      </c>
      <c r="F1605" s="5">
        <f>IFERROR(MID(H1605,FIND("10",H1605,FIND("15",H1605,FIND("01",H1605)+16)+8)+2,50),"")</f>
        <v/>
      </c>
      <c r="G1605" s="5" t="n"/>
      <c r="H1605" s="5">
        <f>SUBSTITUTE(SUBSTITUTE(SUBSTITUTE(SUBSTITUTE(A1605,"(",""),")","")," ",""),CHAR(29),"")</f>
        <v/>
      </c>
    </row>
    <row r="1606">
      <c r="A1606" s="7" t="n"/>
      <c r="B1606" s="8">
        <f>IFERROR(MID(H1606,FIND("01",H1606)+2,14),"")</f>
        <v/>
      </c>
      <c r="C1606" s="7">
        <f>IF(A1606="","",IFERROR(VLOOKUP(B1606,TblArticles,2,FALSE),"GTIN inconnu"))</f>
        <v/>
      </c>
      <c r="D1606" s="8">
        <f>IF(A1606="","",IFERROR(VLOOKUP(B1606,TblArticles,3,FALSE),""))</f>
        <v/>
      </c>
      <c r="E1606" s="9">
        <f>IFERROR(DATE(2000+VALUE(MID(H1606,FIND("15",H1606,FIND("01",H1606)+16)+2,2)),VALUE(MID(H1606,FIND("15",H1606,FIND("01",H1606)+16)+4,2)),VALUE(MID(H1606,FIND("15",H1606,FIND("01",H1606)+16)+6,2))),"")</f>
        <v/>
      </c>
      <c r="F1606" s="8">
        <f>IFERROR(MID(H1606,FIND("10",H1606,FIND("15",H1606,FIND("01",H1606)+16)+8)+2,50),"")</f>
        <v/>
      </c>
      <c r="G1606" s="8" t="n"/>
      <c r="H1606" s="8">
        <f>SUBSTITUTE(SUBSTITUTE(SUBSTITUTE(SUBSTITUTE(A1606,"(",""),")","")," ",""),CHAR(29),"")</f>
        <v/>
      </c>
    </row>
    <row r="1607">
      <c r="A1607" s="4" t="n"/>
      <c r="B1607" s="5">
        <f>IFERROR(MID(H1607,FIND("01",H1607)+2,14),"")</f>
        <v/>
      </c>
      <c r="C1607" s="4">
        <f>IF(A1607="","",IFERROR(VLOOKUP(B1607,TblArticles,2,FALSE),"GTIN inconnu"))</f>
        <v/>
      </c>
      <c r="D1607" s="5">
        <f>IF(A1607="","",IFERROR(VLOOKUP(B1607,TblArticles,3,FALSE),""))</f>
        <v/>
      </c>
      <c r="E1607" s="6">
        <f>IFERROR(DATE(2000+VALUE(MID(H1607,FIND("15",H1607,FIND("01",H1607)+16)+2,2)),VALUE(MID(H1607,FIND("15",H1607,FIND("01",H1607)+16)+4,2)),VALUE(MID(H1607,FIND("15",H1607,FIND("01",H1607)+16)+6,2))),"")</f>
        <v/>
      </c>
      <c r="F1607" s="5">
        <f>IFERROR(MID(H1607,FIND("10",H1607,FIND("15",H1607,FIND("01",H1607)+16)+8)+2,50),"")</f>
        <v/>
      </c>
      <c r="G1607" s="5" t="n"/>
      <c r="H1607" s="5">
        <f>SUBSTITUTE(SUBSTITUTE(SUBSTITUTE(SUBSTITUTE(A1607,"(",""),")","")," ",""),CHAR(29),"")</f>
        <v/>
      </c>
    </row>
    <row r="1608">
      <c r="A1608" s="7" t="n"/>
      <c r="B1608" s="8">
        <f>IFERROR(MID(H1608,FIND("01",H1608)+2,14),"")</f>
        <v/>
      </c>
      <c r="C1608" s="7">
        <f>IF(A1608="","",IFERROR(VLOOKUP(B1608,TblArticles,2,FALSE),"GTIN inconnu"))</f>
        <v/>
      </c>
      <c r="D1608" s="8">
        <f>IF(A1608="","",IFERROR(VLOOKUP(B1608,TblArticles,3,FALSE),""))</f>
        <v/>
      </c>
      <c r="E1608" s="9">
        <f>IFERROR(DATE(2000+VALUE(MID(H1608,FIND("15",H1608,FIND("01",H1608)+16)+2,2)),VALUE(MID(H1608,FIND("15",H1608,FIND("01",H1608)+16)+4,2)),VALUE(MID(H1608,FIND("15",H1608,FIND("01",H1608)+16)+6,2))),"")</f>
        <v/>
      </c>
      <c r="F1608" s="8">
        <f>IFERROR(MID(H1608,FIND("10",H1608,FIND("15",H1608,FIND("01",H1608)+16)+8)+2,50),"")</f>
        <v/>
      </c>
      <c r="G1608" s="8" t="n"/>
      <c r="H1608" s="8">
        <f>SUBSTITUTE(SUBSTITUTE(SUBSTITUTE(SUBSTITUTE(A1608,"(",""),")","")," ",""),CHAR(29),"")</f>
        <v/>
      </c>
    </row>
    <row r="1609">
      <c r="A1609" s="4" t="n"/>
      <c r="B1609" s="5">
        <f>IFERROR(MID(H1609,FIND("01",H1609)+2,14),"")</f>
        <v/>
      </c>
      <c r="C1609" s="4">
        <f>IF(A1609="","",IFERROR(VLOOKUP(B1609,TblArticles,2,FALSE),"GTIN inconnu"))</f>
        <v/>
      </c>
      <c r="D1609" s="5">
        <f>IF(A1609="","",IFERROR(VLOOKUP(B1609,TblArticles,3,FALSE),""))</f>
        <v/>
      </c>
      <c r="E1609" s="6">
        <f>IFERROR(DATE(2000+VALUE(MID(H1609,FIND("15",H1609,FIND("01",H1609)+16)+2,2)),VALUE(MID(H1609,FIND("15",H1609,FIND("01",H1609)+16)+4,2)),VALUE(MID(H1609,FIND("15",H1609,FIND("01",H1609)+16)+6,2))),"")</f>
        <v/>
      </c>
      <c r="F1609" s="5">
        <f>IFERROR(MID(H1609,FIND("10",H1609,FIND("15",H1609,FIND("01",H1609)+16)+8)+2,50),"")</f>
        <v/>
      </c>
      <c r="G1609" s="5" t="n"/>
      <c r="H1609" s="5">
        <f>SUBSTITUTE(SUBSTITUTE(SUBSTITUTE(SUBSTITUTE(A1609,"(",""),")","")," ",""),CHAR(29),"")</f>
        <v/>
      </c>
    </row>
    <row r="1610">
      <c r="A1610" s="7" t="n"/>
      <c r="B1610" s="8">
        <f>IFERROR(MID(H1610,FIND("01",H1610)+2,14),"")</f>
        <v/>
      </c>
      <c r="C1610" s="7">
        <f>IF(A1610="","",IFERROR(VLOOKUP(B1610,TblArticles,2,FALSE),"GTIN inconnu"))</f>
        <v/>
      </c>
      <c r="D1610" s="8">
        <f>IF(A1610="","",IFERROR(VLOOKUP(B1610,TblArticles,3,FALSE),""))</f>
        <v/>
      </c>
      <c r="E1610" s="9">
        <f>IFERROR(DATE(2000+VALUE(MID(H1610,FIND("15",H1610,FIND("01",H1610)+16)+2,2)),VALUE(MID(H1610,FIND("15",H1610,FIND("01",H1610)+16)+4,2)),VALUE(MID(H1610,FIND("15",H1610,FIND("01",H1610)+16)+6,2))),"")</f>
        <v/>
      </c>
      <c r="F1610" s="8">
        <f>IFERROR(MID(H1610,FIND("10",H1610,FIND("15",H1610,FIND("01",H1610)+16)+8)+2,50),"")</f>
        <v/>
      </c>
      <c r="G1610" s="8" t="n"/>
      <c r="H1610" s="8">
        <f>SUBSTITUTE(SUBSTITUTE(SUBSTITUTE(SUBSTITUTE(A1610,"(",""),")","")," ",""),CHAR(29),"")</f>
        <v/>
      </c>
    </row>
    <row r="1611">
      <c r="A1611" s="4" t="n"/>
      <c r="B1611" s="5">
        <f>IFERROR(MID(H1611,FIND("01",H1611)+2,14),"")</f>
        <v/>
      </c>
      <c r="C1611" s="4">
        <f>IF(A1611="","",IFERROR(VLOOKUP(B1611,TblArticles,2,FALSE),"GTIN inconnu"))</f>
        <v/>
      </c>
      <c r="D1611" s="5">
        <f>IF(A1611="","",IFERROR(VLOOKUP(B1611,TblArticles,3,FALSE),""))</f>
        <v/>
      </c>
      <c r="E1611" s="6">
        <f>IFERROR(DATE(2000+VALUE(MID(H1611,FIND("15",H1611,FIND("01",H1611)+16)+2,2)),VALUE(MID(H1611,FIND("15",H1611,FIND("01",H1611)+16)+4,2)),VALUE(MID(H1611,FIND("15",H1611,FIND("01",H1611)+16)+6,2))),"")</f>
        <v/>
      </c>
      <c r="F1611" s="5">
        <f>IFERROR(MID(H1611,FIND("10",H1611,FIND("15",H1611,FIND("01",H1611)+16)+8)+2,50),"")</f>
        <v/>
      </c>
      <c r="G1611" s="5" t="n"/>
      <c r="H1611" s="5">
        <f>SUBSTITUTE(SUBSTITUTE(SUBSTITUTE(SUBSTITUTE(A1611,"(",""),")","")," ",""),CHAR(29),"")</f>
        <v/>
      </c>
    </row>
    <row r="1612">
      <c r="A1612" s="7" t="n"/>
      <c r="B1612" s="8">
        <f>IFERROR(MID(H1612,FIND("01",H1612)+2,14),"")</f>
        <v/>
      </c>
      <c r="C1612" s="7">
        <f>IF(A1612="","",IFERROR(VLOOKUP(B1612,TblArticles,2,FALSE),"GTIN inconnu"))</f>
        <v/>
      </c>
      <c r="D1612" s="8">
        <f>IF(A1612="","",IFERROR(VLOOKUP(B1612,TblArticles,3,FALSE),""))</f>
        <v/>
      </c>
      <c r="E1612" s="9">
        <f>IFERROR(DATE(2000+VALUE(MID(H1612,FIND("15",H1612,FIND("01",H1612)+16)+2,2)),VALUE(MID(H1612,FIND("15",H1612,FIND("01",H1612)+16)+4,2)),VALUE(MID(H1612,FIND("15",H1612,FIND("01",H1612)+16)+6,2))),"")</f>
        <v/>
      </c>
      <c r="F1612" s="8">
        <f>IFERROR(MID(H1612,FIND("10",H1612,FIND("15",H1612,FIND("01",H1612)+16)+8)+2,50),"")</f>
        <v/>
      </c>
      <c r="G1612" s="8" t="n"/>
      <c r="H1612" s="8">
        <f>SUBSTITUTE(SUBSTITUTE(SUBSTITUTE(SUBSTITUTE(A1612,"(",""),")","")," ",""),CHAR(29),"")</f>
        <v/>
      </c>
    </row>
    <row r="1613">
      <c r="A1613" s="4" t="n"/>
      <c r="B1613" s="5">
        <f>IFERROR(MID(H1613,FIND("01",H1613)+2,14),"")</f>
        <v/>
      </c>
      <c r="C1613" s="4">
        <f>IF(A1613="","",IFERROR(VLOOKUP(B1613,TblArticles,2,FALSE),"GTIN inconnu"))</f>
        <v/>
      </c>
      <c r="D1613" s="5">
        <f>IF(A1613="","",IFERROR(VLOOKUP(B1613,TblArticles,3,FALSE),""))</f>
        <v/>
      </c>
      <c r="E1613" s="6">
        <f>IFERROR(DATE(2000+VALUE(MID(H1613,FIND("15",H1613,FIND("01",H1613)+16)+2,2)),VALUE(MID(H1613,FIND("15",H1613,FIND("01",H1613)+16)+4,2)),VALUE(MID(H1613,FIND("15",H1613,FIND("01",H1613)+16)+6,2))),"")</f>
        <v/>
      </c>
      <c r="F1613" s="5">
        <f>IFERROR(MID(H1613,FIND("10",H1613,FIND("15",H1613,FIND("01",H1613)+16)+8)+2,50),"")</f>
        <v/>
      </c>
      <c r="G1613" s="5" t="n"/>
      <c r="H1613" s="5">
        <f>SUBSTITUTE(SUBSTITUTE(SUBSTITUTE(SUBSTITUTE(A1613,"(",""),")","")," ",""),CHAR(29),"")</f>
        <v/>
      </c>
    </row>
    <row r="1614">
      <c r="A1614" s="7" t="n"/>
      <c r="B1614" s="8">
        <f>IFERROR(MID(H1614,FIND("01",H1614)+2,14),"")</f>
        <v/>
      </c>
      <c r="C1614" s="7">
        <f>IF(A1614="","",IFERROR(VLOOKUP(B1614,TblArticles,2,FALSE),"GTIN inconnu"))</f>
        <v/>
      </c>
      <c r="D1614" s="8">
        <f>IF(A1614="","",IFERROR(VLOOKUP(B1614,TblArticles,3,FALSE),""))</f>
        <v/>
      </c>
      <c r="E1614" s="9">
        <f>IFERROR(DATE(2000+VALUE(MID(H1614,FIND("15",H1614,FIND("01",H1614)+16)+2,2)),VALUE(MID(H1614,FIND("15",H1614,FIND("01",H1614)+16)+4,2)),VALUE(MID(H1614,FIND("15",H1614,FIND("01",H1614)+16)+6,2))),"")</f>
        <v/>
      </c>
      <c r="F1614" s="8">
        <f>IFERROR(MID(H1614,FIND("10",H1614,FIND("15",H1614,FIND("01",H1614)+16)+8)+2,50),"")</f>
        <v/>
      </c>
      <c r="G1614" s="8" t="n"/>
      <c r="H1614" s="8">
        <f>SUBSTITUTE(SUBSTITUTE(SUBSTITUTE(SUBSTITUTE(A1614,"(",""),")","")," ",""),CHAR(29),"")</f>
        <v/>
      </c>
    </row>
    <row r="1615">
      <c r="A1615" s="4" t="n"/>
      <c r="B1615" s="5">
        <f>IFERROR(MID(H1615,FIND("01",H1615)+2,14),"")</f>
        <v/>
      </c>
      <c r="C1615" s="4">
        <f>IF(A1615="","",IFERROR(VLOOKUP(B1615,TblArticles,2,FALSE),"GTIN inconnu"))</f>
        <v/>
      </c>
      <c r="D1615" s="5">
        <f>IF(A1615="","",IFERROR(VLOOKUP(B1615,TblArticles,3,FALSE),""))</f>
        <v/>
      </c>
      <c r="E1615" s="6">
        <f>IFERROR(DATE(2000+VALUE(MID(H1615,FIND("15",H1615,FIND("01",H1615)+16)+2,2)),VALUE(MID(H1615,FIND("15",H1615,FIND("01",H1615)+16)+4,2)),VALUE(MID(H1615,FIND("15",H1615,FIND("01",H1615)+16)+6,2))),"")</f>
        <v/>
      </c>
      <c r="F1615" s="5">
        <f>IFERROR(MID(H1615,FIND("10",H1615,FIND("15",H1615,FIND("01",H1615)+16)+8)+2,50),"")</f>
        <v/>
      </c>
      <c r="G1615" s="5" t="n"/>
      <c r="H1615" s="5">
        <f>SUBSTITUTE(SUBSTITUTE(SUBSTITUTE(SUBSTITUTE(A1615,"(",""),")","")," ",""),CHAR(29),"")</f>
        <v/>
      </c>
    </row>
    <row r="1616">
      <c r="A1616" s="7" t="n"/>
      <c r="B1616" s="8">
        <f>IFERROR(MID(H1616,FIND("01",H1616)+2,14),"")</f>
        <v/>
      </c>
      <c r="C1616" s="7">
        <f>IF(A1616="","",IFERROR(VLOOKUP(B1616,TblArticles,2,FALSE),"GTIN inconnu"))</f>
        <v/>
      </c>
      <c r="D1616" s="8">
        <f>IF(A1616="","",IFERROR(VLOOKUP(B1616,TblArticles,3,FALSE),""))</f>
        <v/>
      </c>
      <c r="E1616" s="9">
        <f>IFERROR(DATE(2000+VALUE(MID(H1616,FIND("15",H1616,FIND("01",H1616)+16)+2,2)),VALUE(MID(H1616,FIND("15",H1616,FIND("01",H1616)+16)+4,2)),VALUE(MID(H1616,FIND("15",H1616,FIND("01",H1616)+16)+6,2))),"")</f>
        <v/>
      </c>
      <c r="F1616" s="8">
        <f>IFERROR(MID(H1616,FIND("10",H1616,FIND("15",H1616,FIND("01",H1616)+16)+8)+2,50),"")</f>
        <v/>
      </c>
      <c r="G1616" s="8" t="n"/>
      <c r="H1616" s="8">
        <f>SUBSTITUTE(SUBSTITUTE(SUBSTITUTE(SUBSTITUTE(A1616,"(",""),")","")," ",""),CHAR(29),"")</f>
        <v/>
      </c>
    </row>
    <row r="1617">
      <c r="A1617" s="4" t="n"/>
      <c r="B1617" s="5">
        <f>IFERROR(MID(H1617,FIND("01",H1617)+2,14),"")</f>
        <v/>
      </c>
      <c r="C1617" s="4">
        <f>IF(A1617="","",IFERROR(VLOOKUP(B1617,TblArticles,2,FALSE),"GTIN inconnu"))</f>
        <v/>
      </c>
      <c r="D1617" s="5">
        <f>IF(A1617="","",IFERROR(VLOOKUP(B1617,TblArticles,3,FALSE),""))</f>
        <v/>
      </c>
      <c r="E1617" s="6">
        <f>IFERROR(DATE(2000+VALUE(MID(H1617,FIND("15",H1617,FIND("01",H1617)+16)+2,2)),VALUE(MID(H1617,FIND("15",H1617,FIND("01",H1617)+16)+4,2)),VALUE(MID(H1617,FIND("15",H1617,FIND("01",H1617)+16)+6,2))),"")</f>
        <v/>
      </c>
      <c r="F1617" s="5">
        <f>IFERROR(MID(H1617,FIND("10",H1617,FIND("15",H1617,FIND("01",H1617)+16)+8)+2,50),"")</f>
        <v/>
      </c>
      <c r="G1617" s="5" t="n"/>
      <c r="H1617" s="5">
        <f>SUBSTITUTE(SUBSTITUTE(SUBSTITUTE(SUBSTITUTE(A1617,"(",""),")","")," ",""),CHAR(29),"")</f>
        <v/>
      </c>
    </row>
    <row r="1618">
      <c r="A1618" s="7" t="n"/>
      <c r="B1618" s="8">
        <f>IFERROR(MID(H1618,FIND("01",H1618)+2,14),"")</f>
        <v/>
      </c>
      <c r="C1618" s="7">
        <f>IF(A1618="","",IFERROR(VLOOKUP(B1618,TblArticles,2,FALSE),"GTIN inconnu"))</f>
        <v/>
      </c>
      <c r="D1618" s="8">
        <f>IF(A1618="","",IFERROR(VLOOKUP(B1618,TblArticles,3,FALSE),""))</f>
        <v/>
      </c>
      <c r="E1618" s="9">
        <f>IFERROR(DATE(2000+VALUE(MID(H1618,FIND("15",H1618,FIND("01",H1618)+16)+2,2)),VALUE(MID(H1618,FIND("15",H1618,FIND("01",H1618)+16)+4,2)),VALUE(MID(H1618,FIND("15",H1618,FIND("01",H1618)+16)+6,2))),"")</f>
        <v/>
      </c>
      <c r="F1618" s="8">
        <f>IFERROR(MID(H1618,FIND("10",H1618,FIND("15",H1618,FIND("01",H1618)+16)+8)+2,50),"")</f>
        <v/>
      </c>
      <c r="G1618" s="8" t="n"/>
      <c r="H1618" s="8">
        <f>SUBSTITUTE(SUBSTITUTE(SUBSTITUTE(SUBSTITUTE(A1618,"(",""),")","")," ",""),CHAR(29),"")</f>
        <v/>
      </c>
    </row>
    <row r="1619">
      <c r="A1619" s="4" t="n"/>
      <c r="B1619" s="5">
        <f>IFERROR(MID(H1619,FIND("01",H1619)+2,14),"")</f>
        <v/>
      </c>
      <c r="C1619" s="4">
        <f>IF(A1619="","",IFERROR(VLOOKUP(B1619,TblArticles,2,FALSE),"GTIN inconnu"))</f>
        <v/>
      </c>
      <c r="D1619" s="5">
        <f>IF(A1619="","",IFERROR(VLOOKUP(B1619,TblArticles,3,FALSE),""))</f>
        <v/>
      </c>
      <c r="E1619" s="6">
        <f>IFERROR(DATE(2000+VALUE(MID(H1619,FIND("15",H1619,FIND("01",H1619)+16)+2,2)),VALUE(MID(H1619,FIND("15",H1619,FIND("01",H1619)+16)+4,2)),VALUE(MID(H1619,FIND("15",H1619,FIND("01",H1619)+16)+6,2))),"")</f>
        <v/>
      </c>
      <c r="F1619" s="5">
        <f>IFERROR(MID(H1619,FIND("10",H1619,FIND("15",H1619,FIND("01",H1619)+16)+8)+2,50),"")</f>
        <v/>
      </c>
      <c r="G1619" s="5" t="n"/>
      <c r="H1619" s="5">
        <f>SUBSTITUTE(SUBSTITUTE(SUBSTITUTE(SUBSTITUTE(A1619,"(",""),")","")," ",""),CHAR(29),"")</f>
        <v/>
      </c>
    </row>
    <row r="1620">
      <c r="A1620" s="7" t="n"/>
      <c r="B1620" s="8">
        <f>IFERROR(MID(H1620,FIND("01",H1620)+2,14),"")</f>
        <v/>
      </c>
      <c r="C1620" s="7">
        <f>IF(A1620="","",IFERROR(VLOOKUP(B1620,TblArticles,2,FALSE),"GTIN inconnu"))</f>
        <v/>
      </c>
      <c r="D1620" s="8">
        <f>IF(A1620="","",IFERROR(VLOOKUP(B1620,TblArticles,3,FALSE),""))</f>
        <v/>
      </c>
      <c r="E1620" s="9">
        <f>IFERROR(DATE(2000+VALUE(MID(H1620,FIND("15",H1620,FIND("01",H1620)+16)+2,2)),VALUE(MID(H1620,FIND("15",H1620,FIND("01",H1620)+16)+4,2)),VALUE(MID(H1620,FIND("15",H1620,FIND("01",H1620)+16)+6,2))),"")</f>
        <v/>
      </c>
      <c r="F1620" s="8">
        <f>IFERROR(MID(H1620,FIND("10",H1620,FIND("15",H1620,FIND("01",H1620)+16)+8)+2,50),"")</f>
        <v/>
      </c>
      <c r="G1620" s="8" t="n"/>
      <c r="H1620" s="8">
        <f>SUBSTITUTE(SUBSTITUTE(SUBSTITUTE(SUBSTITUTE(A1620,"(",""),")","")," ",""),CHAR(29),"")</f>
        <v/>
      </c>
    </row>
    <row r="1621">
      <c r="A1621" s="4" t="n"/>
      <c r="B1621" s="5">
        <f>IFERROR(MID(H1621,FIND("01",H1621)+2,14),"")</f>
        <v/>
      </c>
      <c r="C1621" s="4">
        <f>IF(A1621="","",IFERROR(VLOOKUP(B1621,TblArticles,2,FALSE),"GTIN inconnu"))</f>
        <v/>
      </c>
      <c r="D1621" s="5">
        <f>IF(A1621="","",IFERROR(VLOOKUP(B1621,TblArticles,3,FALSE),""))</f>
        <v/>
      </c>
      <c r="E1621" s="6">
        <f>IFERROR(DATE(2000+VALUE(MID(H1621,FIND("15",H1621,FIND("01",H1621)+16)+2,2)),VALUE(MID(H1621,FIND("15",H1621,FIND("01",H1621)+16)+4,2)),VALUE(MID(H1621,FIND("15",H1621,FIND("01",H1621)+16)+6,2))),"")</f>
        <v/>
      </c>
      <c r="F1621" s="5">
        <f>IFERROR(MID(H1621,FIND("10",H1621,FIND("15",H1621,FIND("01",H1621)+16)+8)+2,50),"")</f>
        <v/>
      </c>
      <c r="G1621" s="5" t="n"/>
      <c r="H1621" s="5">
        <f>SUBSTITUTE(SUBSTITUTE(SUBSTITUTE(SUBSTITUTE(A1621,"(",""),")","")," ",""),CHAR(29),"")</f>
        <v/>
      </c>
    </row>
    <row r="1622">
      <c r="A1622" s="7" t="n"/>
      <c r="B1622" s="8">
        <f>IFERROR(MID(H1622,FIND("01",H1622)+2,14),"")</f>
        <v/>
      </c>
      <c r="C1622" s="7">
        <f>IF(A1622="","",IFERROR(VLOOKUP(B1622,TblArticles,2,FALSE),"GTIN inconnu"))</f>
        <v/>
      </c>
      <c r="D1622" s="8">
        <f>IF(A1622="","",IFERROR(VLOOKUP(B1622,TblArticles,3,FALSE),""))</f>
        <v/>
      </c>
      <c r="E1622" s="9">
        <f>IFERROR(DATE(2000+VALUE(MID(H1622,FIND("15",H1622,FIND("01",H1622)+16)+2,2)),VALUE(MID(H1622,FIND("15",H1622,FIND("01",H1622)+16)+4,2)),VALUE(MID(H1622,FIND("15",H1622,FIND("01",H1622)+16)+6,2))),"")</f>
        <v/>
      </c>
      <c r="F1622" s="8">
        <f>IFERROR(MID(H1622,FIND("10",H1622,FIND("15",H1622,FIND("01",H1622)+16)+8)+2,50),"")</f>
        <v/>
      </c>
      <c r="G1622" s="8" t="n"/>
      <c r="H1622" s="8">
        <f>SUBSTITUTE(SUBSTITUTE(SUBSTITUTE(SUBSTITUTE(A1622,"(",""),")","")," ",""),CHAR(29),"")</f>
        <v/>
      </c>
    </row>
    <row r="1623">
      <c r="A1623" s="4" t="n"/>
      <c r="B1623" s="5">
        <f>IFERROR(MID(H1623,FIND("01",H1623)+2,14),"")</f>
        <v/>
      </c>
      <c r="C1623" s="4">
        <f>IF(A1623="","",IFERROR(VLOOKUP(B1623,TblArticles,2,FALSE),"GTIN inconnu"))</f>
        <v/>
      </c>
      <c r="D1623" s="5">
        <f>IF(A1623="","",IFERROR(VLOOKUP(B1623,TblArticles,3,FALSE),""))</f>
        <v/>
      </c>
      <c r="E1623" s="6">
        <f>IFERROR(DATE(2000+VALUE(MID(H1623,FIND("15",H1623,FIND("01",H1623)+16)+2,2)),VALUE(MID(H1623,FIND("15",H1623,FIND("01",H1623)+16)+4,2)),VALUE(MID(H1623,FIND("15",H1623,FIND("01",H1623)+16)+6,2))),"")</f>
        <v/>
      </c>
      <c r="F1623" s="5">
        <f>IFERROR(MID(H1623,FIND("10",H1623,FIND("15",H1623,FIND("01",H1623)+16)+8)+2,50),"")</f>
        <v/>
      </c>
      <c r="G1623" s="5" t="n"/>
      <c r="H1623" s="5">
        <f>SUBSTITUTE(SUBSTITUTE(SUBSTITUTE(SUBSTITUTE(A1623,"(",""),")","")," ",""),CHAR(29),"")</f>
        <v/>
      </c>
    </row>
    <row r="1624">
      <c r="A1624" s="7" t="n"/>
      <c r="B1624" s="8">
        <f>IFERROR(MID(H1624,FIND("01",H1624)+2,14),"")</f>
        <v/>
      </c>
      <c r="C1624" s="7">
        <f>IF(A1624="","",IFERROR(VLOOKUP(B1624,TblArticles,2,FALSE),"GTIN inconnu"))</f>
        <v/>
      </c>
      <c r="D1624" s="8">
        <f>IF(A1624="","",IFERROR(VLOOKUP(B1624,TblArticles,3,FALSE),""))</f>
        <v/>
      </c>
      <c r="E1624" s="9">
        <f>IFERROR(DATE(2000+VALUE(MID(H1624,FIND("15",H1624,FIND("01",H1624)+16)+2,2)),VALUE(MID(H1624,FIND("15",H1624,FIND("01",H1624)+16)+4,2)),VALUE(MID(H1624,FIND("15",H1624,FIND("01",H1624)+16)+6,2))),"")</f>
        <v/>
      </c>
      <c r="F1624" s="8">
        <f>IFERROR(MID(H1624,FIND("10",H1624,FIND("15",H1624,FIND("01",H1624)+16)+8)+2,50),"")</f>
        <v/>
      </c>
      <c r="G1624" s="8" t="n"/>
      <c r="H1624" s="8">
        <f>SUBSTITUTE(SUBSTITUTE(SUBSTITUTE(SUBSTITUTE(A1624,"(",""),")","")," ",""),CHAR(29),"")</f>
        <v/>
      </c>
    </row>
    <row r="1625">
      <c r="A1625" s="4" t="n"/>
      <c r="B1625" s="5">
        <f>IFERROR(MID(H1625,FIND("01",H1625)+2,14),"")</f>
        <v/>
      </c>
      <c r="C1625" s="4">
        <f>IF(A1625="","",IFERROR(VLOOKUP(B1625,TblArticles,2,FALSE),"GTIN inconnu"))</f>
        <v/>
      </c>
      <c r="D1625" s="5">
        <f>IF(A1625="","",IFERROR(VLOOKUP(B1625,TblArticles,3,FALSE),""))</f>
        <v/>
      </c>
      <c r="E1625" s="6">
        <f>IFERROR(DATE(2000+VALUE(MID(H1625,FIND("15",H1625,FIND("01",H1625)+16)+2,2)),VALUE(MID(H1625,FIND("15",H1625,FIND("01",H1625)+16)+4,2)),VALUE(MID(H1625,FIND("15",H1625,FIND("01",H1625)+16)+6,2))),"")</f>
        <v/>
      </c>
      <c r="F1625" s="5">
        <f>IFERROR(MID(H1625,FIND("10",H1625,FIND("15",H1625,FIND("01",H1625)+16)+8)+2,50),"")</f>
        <v/>
      </c>
      <c r="G1625" s="5" t="n"/>
      <c r="H1625" s="5">
        <f>SUBSTITUTE(SUBSTITUTE(SUBSTITUTE(SUBSTITUTE(A1625,"(",""),")","")," ",""),CHAR(29),"")</f>
        <v/>
      </c>
    </row>
    <row r="1626">
      <c r="A1626" s="7" t="n"/>
      <c r="B1626" s="8">
        <f>IFERROR(MID(H1626,FIND("01",H1626)+2,14),"")</f>
        <v/>
      </c>
      <c r="C1626" s="7">
        <f>IF(A1626="","",IFERROR(VLOOKUP(B1626,TblArticles,2,FALSE),"GTIN inconnu"))</f>
        <v/>
      </c>
      <c r="D1626" s="8">
        <f>IF(A1626="","",IFERROR(VLOOKUP(B1626,TblArticles,3,FALSE),""))</f>
        <v/>
      </c>
      <c r="E1626" s="9">
        <f>IFERROR(DATE(2000+VALUE(MID(H1626,FIND("15",H1626,FIND("01",H1626)+16)+2,2)),VALUE(MID(H1626,FIND("15",H1626,FIND("01",H1626)+16)+4,2)),VALUE(MID(H1626,FIND("15",H1626,FIND("01",H1626)+16)+6,2))),"")</f>
        <v/>
      </c>
      <c r="F1626" s="8">
        <f>IFERROR(MID(H1626,FIND("10",H1626,FIND("15",H1626,FIND("01",H1626)+16)+8)+2,50),"")</f>
        <v/>
      </c>
      <c r="G1626" s="8" t="n"/>
      <c r="H1626" s="8">
        <f>SUBSTITUTE(SUBSTITUTE(SUBSTITUTE(SUBSTITUTE(A1626,"(",""),")","")," ",""),CHAR(29),"")</f>
        <v/>
      </c>
    </row>
    <row r="1627">
      <c r="A1627" s="4" t="n"/>
      <c r="B1627" s="5">
        <f>IFERROR(MID(H1627,FIND("01",H1627)+2,14),"")</f>
        <v/>
      </c>
      <c r="C1627" s="4">
        <f>IF(A1627="","",IFERROR(VLOOKUP(B1627,TblArticles,2,FALSE),"GTIN inconnu"))</f>
        <v/>
      </c>
      <c r="D1627" s="5">
        <f>IF(A1627="","",IFERROR(VLOOKUP(B1627,TblArticles,3,FALSE),""))</f>
        <v/>
      </c>
      <c r="E1627" s="6">
        <f>IFERROR(DATE(2000+VALUE(MID(H1627,FIND("15",H1627,FIND("01",H1627)+16)+2,2)),VALUE(MID(H1627,FIND("15",H1627,FIND("01",H1627)+16)+4,2)),VALUE(MID(H1627,FIND("15",H1627,FIND("01",H1627)+16)+6,2))),"")</f>
        <v/>
      </c>
      <c r="F1627" s="5">
        <f>IFERROR(MID(H1627,FIND("10",H1627,FIND("15",H1627,FIND("01",H1627)+16)+8)+2,50),"")</f>
        <v/>
      </c>
      <c r="G1627" s="5" t="n"/>
      <c r="H1627" s="5">
        <f>SUBSTITUTE(SUBSTITUTE(SUBSTITUTE(SUBSTITUTE(A1627,"(",""),")","")," ",""),CHAR(29),"")</f>
        <v/>
      </c>
    </row>
    <row r="1628">
      <c r="A1628" s="7" t="n"/>
      <c r="B1628" s="8">
        <f>IFERROR(MID(H1628,FIND("01",H1628)+2,14),"")</f>
        <v/>
      </c>
      <c r="C1628" s="7">
        <f>IF(A1628="","",IFERROR(VLOOKUP(B1628,TblArticles,2,FALSE),"GTIN inconnu"))</f>
        <v/>
      </c>
      <c r="D1628" s="8">
        <f>IF(A1628="","",IFERROR(VLOOKUP(B1628,TblArticles,3,FALSE),""))</f>
        <v/>
      </c>
      <c r="E1628" s="9">
        <f>IFERROR(DATE(2000+VALUE(MID(H1628,FIND("15",H1628,FIND("01",H1628)+16)+2,2)),VALUE(MID(H1628,FIND("15",H1628,FIND("01",H1628)+16)+4,2)),VALUE(MID(H1628,FIND("15",H1628,FIND("01",H1628)+16)+6,2))),"")</f>
        <v/>
      </c>
      <c r="F1628" s="8">
        <f>IFERROR(MID(H1628,FIND("10",H1628,FIND("15",H1628,FIND("01",H1628)+16)+8)+2,50),"")</f>
        <v/>
      </c>
      <c r="G1628" s="8" t="n"/>
      <c r="H1628" s="8">
        <f>SUBSTITUTE(SUBSTITUTE(SUBSTITUTE(SUBSTITUTE(A1628,"(",""),")","")," ",""),CHAR(29),"")</f>
        <v/>
      </c>
    </row>
    <row r="1629">
      <c r="A1629" s="4" t="n"/>
      <c r="B1629" s="5">
        <f>IFERROR(MID(H1629,FIND("01",H1629)+2,14),"")</f>
        <v/>
      </c>
      <c r="C1629" s="4">
        <f>IF(A1629="","",IFERROR(VLOOKUP(B1629,TblArticles,2,FALSE),"GTIN inconnu"))</f>
        <v/>
      </c>
      <c r="D1629" s="5">
        <f>IF(A1629="","",IFERROR(VLOOKUP(B1629,TblArticles,3,FALSE),""))</f>
        <v/>
      </c>
      <c r="E1629" s="6">
        <f>IFERROR(DATE(2000+VALUE(MID(H1629,FIND("15",H1629,FIND("01",H1629)+16)+2,2)),VALUE(MID(H1629,FIND("15",H1629,FIND("01",H1629)+16)+4,2)),VALUE(MID(H1629,FIND("15",H1629,FIND("01",H1629)+16)+6,2))),"")</f>
        <v/>
      </c>
      <c r="F1629" s="5">
        <f>IFERROR(MID(H1629,FIND("10",H1629,FIND("15",H1629,FIND("01",H1629)+16)+8)+2,50),"")</f>
        <v/>
      </c>
      <c r="G1629" s="5" t="n"/>
      <c r="H1629" s="5">
        <f>SUBSTITUTE(SUBSTITUTE(SUBSTITUTE(SUBSTITUTE(A1629,"(",""),")","")," ",""),CHAR(29),"")</f>
        <v/>
      </c>
    </row>
    <row r="1630">
      <c r="A1630" s="7" t="n"/>
      <c r="B1630" s="8">
        <f>IFERROR(MID(H1630,FIND("01",H1630)+2,14),"")</f>
        <v/>
      </c>
      <c r="C1630" s="7">
        <f>IF(A1630="","",IFERROR(VLOOKUP(B1630,TblArticles,2,FALSE),"GTIN inconnu"))</f>
        <v/>
      </c>
      <c r="D1630" s="8">
        <f>IF(A1630="","",IFERROR(VLOOKUP(B1630,TblArticles,3,FALSE),""))</f>
        <v/>
      </c>
      <c r="E1630" s="9">
        <f>IFERROR(DATE(2000+VALUE(MID(H1630,FIND("15",H1630,FIND("01",H1630)+16)+2,2)),VALUE(MID(H1630,FIND("15",H1630,FIND("01",H1630)+16)+4,2)),VALUE(MID(H1630,FIND("15",H1630,FIND("01",H1630)+16)+6,2))),"")</f>
        <v/>
      </c>
      <c r="F1630" s="8">
        <f>IFERROR(MID(H1630,FIND("10",H1630,FIND("15",H1630,FIND("01",H1630)+16)+8)+2,50),"")</f>
        <v/>
      </c>
      <c r="G1630" s="8" t="n"/>
      <c r="H1630" s="8">
        <f>SUBSTITUTE(SUBSTITUTE(SUBSTITUTE(SUBSTITUTE(A1630,"(",""),")","")," ",""),CHAR(29),"")</f>
        <v/>
      </c>
    </row>
    <row r="1631">
      <c r="A1631" s="4" t="n"/>
      <c r="B1631" s="5">
        <f>IFERROR(MID(H1631,FIND("01",H1631)+2,14),"")</f>
        <v/>
      </c>
      <c r="C1631" s="4">
        <f>IF(A1631="","",IFERROR(VLOOKUP(B1631,TblArticles,2,FALSE),"GTIN inconnu"))</f>
        <v/>
      </c>
      <c r="D1631" s="5">
        <f>IF(A1631="","",IFERROR(VLOOKUP(B1631,TblArticles,3,FALSE),""))</f>
        <v/>
      </c>
      <c r="E1631" s="6">
        <f>IFERROR(DATE(2000+VALUE(MID(H1631,FIND("15",H1631,FIND("01",H1631)+16)+2,2)),VALUE(MID(H1631,FIND("15",H1631,FIND("01",H1631)+16)+4,2)),VALUE(MID(H1631,FIND("15",H1631,FIND("01",H1631)+16)+6,2))),"")</f>
        <v/>
      </c>
      <c r="F1631" s="5">
        <f>IFERROR(MID(H1631,FIND("10",H1631,FIND("15",H1631,FIND("01",H1631)+16)+8)+2,50),"")</f>
        <v/>
      </c>
      <c r="G1631" s="5" t="n"/>
      <c r="H1631" s="5">
        <f>SUBSTITUTE(SUBSTITUTE(SUBSTITUTE(SUBSTITUTE(A1631,"(",""),")","")," ",""),CHAR(29),"")</f>
        <v/>
      </c>
    </row>
    <row r="1632">
      <c r="A1632" s="7" t="n"/>
      <c r="B1632" s="8">
        <f>IFERROR(MID(H1632,FIND("01",H1632)+2,14),"")</f>
        <v/>
      </c>
      <c r="C1632" s="7">
        <f>IF(A1632="","",IFERROR(VLOOKUP(B1632,TblArticles,2,FALSE),"GTIN inconnu"))</f>
        <v/>
      </c>
      <c r="D1632" s="8">
        <f>IF(A1632="","",IFERROR(VLOOKUP(B1632,TblArticles,3,FALSE),""))</f>
        <v/>
      </c>
      <c r="E1632" s="9">
        <f>IFERROR(DATE(2000+VALUE(MID(H1632,FIND("15",H1632,FIND("01",H1632)+16)+2,2)),VALUE(MID(H1632,FIND("15",H1632,FIND("01",H1632)+16)+4,2)),VALUE(MID(H1632,FIND("15",H1632,FIND("01",H1632)+16)+6,2))),"")</f>
        <v/>
      </c>
      <c r="F1632" s="8">
        <f>IFERROR(MID(H1632,FIND("10",H1632,FIND("15",H1632,FIND("01",H1632)+16)+8)+2,50),"")</f>
        <v/>
      </c>
      <c r="G1632" s="8" t="n"/>
      <c r="H1632" s="8">
        <f>SUBSTITUTE(SUBSTITUTE(SUBSTITUTE(SUBSTITUTE(A1632,"(",""),")","")," ",""),CHAR(29),"")</f>
        <v/>
      </c>
    </row>
    <row r="1633">
      <c r="A1633" s="4" t="n"/>
      <c r="B1633" s="5">
        <f>IFERROR(MID(H1633,FIND("01",H1633)+2,14),"")</f>
        <v/>
      </c>
      <c r="C1633" s="4">
        <f>IF(A1633="","",IFERROR(VLOOKUP(B1633,TblArticles,2,FALSE),"GTIN inconnu"))</f>
        <v/>
      </c>
      <c r="D1633" s="5">
        <f>IF(A1633="","",IFERROR(VLOOKUP(B1633,TblArticles,3,FALSE),""))</f>
        <v/>
      </c>
      <c r="E1633" s="6">
        <f>IFERROR(DATE(2000+VALUE(MID(H1633,FIND("15",H1633,FIND("01",H1633)+16)+2,2)),VALUE(MID(H1633,FIND("15",H1633,FIND("01",H1633)+16)+4,2)),VALUE(MID(H1633,FIND("15",H1633,FIND("01",H1633)+16)+6,2))),"")</f>
        <v/>
      </c>
      <c r="F1633" s="5">
        <f>IFERROR(MID(H1633,FIND("10",H1633,FIND("15",H1633,FIND("01",H1633)+16)+8)+2,50),"")</f>
        <v/>
      </c>
      <c r="G1633" s="5" t="n"/>
      <c r="H1633" s="5">
        <f>SUBSTITUTE(SUBSTITUTE(SUBSTITUTE(SUBSTITUTE(A1633,"(",""),")","")," ",""),CHAR(29),"")</f>
        <v/>
      </c>
    </row>
    <row r="1634">
      <c r="A1634" s="7" t="n"/>
      <c r="B1634" s="8">
        <f>IFERROR(MID(H1634,FIND("01",H1634)+2,14),"")</f>
        <v/>
      </c>
      <c r="C1634" s="7">
        <f>IF(A1634="","",IFERROR(VLOOKUP(B1634,TblArticles,2,FALSE),"GTIN inconnu"))</f>
        <v/>
      </c>
      <c r="D1634" s="8">
        <f>IF(A1634="","",IFERROR(VLOOKUP(B1634,TblArticles,3,FALSE),""))</f>
        <v/>
      </c>
      <c r="E1634" s="9">
        <f>IFERROR(DATE(2000+VALUE(MID(H1634,FIND("15",H1634,FIND("01",H1634)+16)+2,2)),VALUE(MID(H1634,FIND("15",H1634,FIND("01",H1634)+16)+4,2)),VALUE(MID(H1634,FIND("15",H1634,FIND("01",H1634)+16)+6,2))),"")</f>
        <v/>
      </c>
      <c r="F1634" s="8">
        <f>IFERROR(MID(H1634,FIND("10",H1634,FIND("15",H1634,FIND("01",H1634)+16)+8)+2,50),"")</f>
        <v/>
      </c>
      <c r="G1634" s="8" t="n"/>
      <c r="H1634" s="8">
        <f>SUBSTITUTE(SUBSTITUTE(SUBSTITUTE(SUBSTITUTE(A1634,"(",""),")","")," ",""),CHAR(29),"")</f>
        <v/>
      </c>
    </row>
    <row r="1635">
      <c r="A1635" s="4" t="n"/>
      <c r="B1635" s="5">
        <f>IFERROR(MID(H1635,FIND("01",H1635)+2,14),"")</f>
        <v/>
      </c>
      <c r="C1635" s="4">
        <f>IF(A1635="","",IFERROR(VLOOKUP(B1635,TblArticles,2,FALSE),"GTIN inconnu"))</f>
        <v/>
      </c>
      <c r="D1635" s="5">
        <f>IF(A1635="","",IFERROR(VLOOKUP(B1635,TblArticles,3,FALSE),""))</f>
        <v/>
      </c>
      <c r="E1635" s="6">
        <f>IFERROR(DATE(2000+VALUE(MID(H1635,FIND("15",H1635,FIND("01",H1635)+16)+2,2)),VALUE(MID(H1635,FIND("15",H1635,FIND("01",H1635)+16)+4,2)),VALUE(MID(H1635,FIND("15",H1635,FIND("01",H1635)+16)+6,2))),"")</f>
        <v/>
      </c>
      <c r="F1635" s="5">
        <f>IFERROR(MID(H1635,FIND("10",H1635,FIND("15",H1635,FIND("01",H1635)+16)+8)+2,50),"")</f>
        <v/>
      </c>
      <c r="G1635" s="5" t="n"/>
      <c r="H1635" s="5">
        <f>SUBSTITUTE(SUBSTITUTE(SUBSTITUTE(SUBSTITUTE(A1635,"(",""),")","")," ",""),CHAR(29),"")</f>
        <v/>
      </c>
    </row>
    <row r="1636">
      <c r="A1636" s="7" t="n"/>
      <c r="B1636" s="8">
        <f>IFERROR(MID(H1636,FIND("01",H1636)+2,14),"")</f>
        <v/>
      </c>
      <c r="C1636" s="7">
        <f>IF(A1636="","",IFERROR(VLOOKUP(B1636,TblArticles,2,FALSE),"GTIN inconnu"))</f>
        <v/>
      </c>
      <c r="D1636" s="8">
        <f>IF(A1636="","",IFERROR(VLOOKUP(B1636,TblArticles,3,FALSE),""))</f>
        <v/>
      </c>
      <c r="E1636" s="9">
        <f>IFERROR(DATE(2000+VALUE(MID(H1636,FIND("15",H1636,FIND("01",H1636)+16)+2,2)),VALUE(MID(H1636,FIND("15",H1636,FIND("01",H1636)+16)+4,2)),VALUE(MID(H1636,FIND("15",H1636,FIND("01",H1636)+16)+6,2))),"")</f>
        <v/>
      </c>
      <c r="F1636" s="8">
        <f>IFERROR(MID(H1636,FIND("10",H1636,FIND("15",H1636,FIND("01",H1636)+16)+8)+2,50),"")</f>
        <v/>
      </c>
      <c r="G1636" s="8" t="n"/>
      <c r="H1636" s="8">
        <f>SUBSTITUTE(SUBSTITUTE(SUBSTITUTE(SUBSTITUTE(A1636,"(",""),")","")," ",""),CHAR(29),"")</f>
        <v/>
      </c>
    </row>
    <row r="1637">
      <c r="A1637" s="4" t="n"/>
      <c r="B1637" s="5">
        <f>IFERROR(MID(H1637,FIND("01",H1637)+2,14),"")</f>
        <v/>
      </c>
      <c r="C1637" s="4">
        <f>IF(A1637="","",IFERROR(VLOOKUP(B1637,TblArticles,2,FALSE),"GTIN inconnu"))</f>
        <v/>
      </c>
      <c r="D1637" s="5">
        <f>IF(A1637="","",IFERROR(VLOOKUP(B1637,TblArticles,3,FALSE),""))</f>
        <v/>
      </c>
      <c r="E1637" s="6">
        <f>IFERROR(DATE(2000+VALUE(MID(H1637,FIND("15",H1637,FIND("01",H1637)+16)+2,2)),VALUE(MID(H1637,FIND("15",H1637,FIND("01",H1637)+16)+4,2)),VALUE(MID(H1637,FIND("15",H1637,FIND("01",H1637)+16)+6,2))),"")</f>
        <v/>
      </c>
      <c r="F1637" s="5">
        <f>IFERROR(MID(H1637,FIND("10",H1637,FIND("15",H1637,FIND("01",H1637)+16)+8)+2,50),"")</f>
        <v/>
      </c>
      <c r="G1637" s="5" t="n"/>
      <c r="H1637" s="5">
        <f>SUBSTITUTE(SUBSTITUTE(SUBSTITUTE(SUBSTITUTE(A1637,"(",""),")","")," ",""),CHAR(29),"")</f>
        <v/>
      </c>
    </row>
    <row r="1638">
      <c r="A1638" s="7" t="n"/>
      <c r="B1638" s="8">
        <f>IFERROR(MID(H1638,FIND("01",H1638)+2,14),"")</f>
        <v/>
      </c>
      <c r="C1638" s="7">
        <f>IF(A1638="","",IFERROR(VLOOKUP(B1638,TblArticles,2,FALSE),"GTIN inconnu"))</f>
        <v/>
      </c>
      <c r="D1638" s="8">
        <f>IF(A1638="","",IFERROR(VLOOKUP(B1638,TblArticles,3,FALSE),""))</f>
        <v/>
      </c>
      <c r="E1638" s="9">
        <f>IFERROR(DATE(2000+VALUE(MID(H1638,FIND("15",H1638,FIND("01",H1638)+16)+2,2)),VALUE(MID(H1638,FIND("15",H1638,FIND("01",H1638)+16)+4,2)),VALUE(MID(H1638,FIND("15",H1638,FIND("01",H1638)+16)+6,2))),"")</f>
        <v/>
      </c>
      <c r="F1638" s="8">
        <f>IFERROR(MID(H1638,FIND("10",H1638,FIND("15",H1638,FIND("01",H1638)+16)+8)+2,50),"")</f>
        <v/>
      </c>
      <c r="G1638" s="8" t="n"/>
      <c r="H1638" s="8">
        <f>SUBSTITUTE(SUBSTITUTE(SUBSTITUTE(SUBSTITUTE(A1638,"(",""),")","")," ",""),CHAR(29),"")</f>
        <v/>
      </c>
    </row>
    <row r="1639">
      <c r="A1639" s="4" t="n"/>
      <c r="B1639" s="5">
        <f>IFERROR(MID(H1639,FIND("01",H1639)+2,14),"")</f>
        <v/>
      </c>
      <c r="C1639" s="4">
        <f>IF(A1639="","",IFERROR(VLOOKUP(B1639,TblArticles,2,FALSE),"GTIN inconnu"))</f>
        <v/>
      </c>
      <c r="D1639" s="5">
        <f>IF(A1639="","",IFERROR(VLOOKUP(B1639,TblArticles,3,FALSE),""))</f>
        <v/>
      </c>
      <c r="E1639" s="6">
        <f>IFERROR(DATE(2000+VALUE(MID(H1639,FIND("15",H1639,FIND("01",H1639)+16)+2,2)),VALUE(MID(H1639,FIND("15",H1639,FIND("01",H1639)+16)+4,2)),VALUE(MID(H1639,FIND("15",H1639,FIND("01",H1639)+16)+6,2))),"")</f>
        <v/>
      </c>
      <c r="F1639" s="5">
        <f>IFERROR(MID(H1639,FIND("10",H1639,FIND("15",H1639,FIND("01",H1639)+16)+8)+2,50),"")</f>
        <v/>
      </c>
      <c r="G1639" s="5" t="n"/>
      <c r="H1639" s="5">
        <f>SUBSTITUTE(SUBSTITUTE(SUBSTITUTE(SUBSTITUTE(A1639,"(",""),")","")," ",""),CHAR(29),"")</f>
        <v/>
      </c>
    </row>
    <row r="1640">
      <c r="A1640" s="7" t="n"/>
      <c r="B1640" s="8">
        <f>IFERROR(MID(H1640,FIND("01",H1640)+2,14),"")</f>
        <v/>
      </c>
      <c r="C1640" s="7">
        <f>IF(A1640="","",IFERROR(VLOOKUP(B1640,TblArticles,2,FALSE),"GTIN inconnu"))</f>
        <v/>
      </c>
      <c r="D1640" s="8">
        <f>IF(A1640="","",IFERROR(VLOOKUP(B1640,TblArticles,3,FALSE),""))</f>
        <v/>
      </c>
      <c r="E1640" s="9">
        <f>IFERROR(DATE(2000+VALUE(MID(H1640,FIND("15",H1640,FIND("01",H1640)+16)+2,2)),VALUE(MID(H1640,FIND("15",H1640,FIND("01",H1640)+16)+4,2)),VALUE(MID(H1640,FIND("15",H1640,FIND("01",H1640)+16)+6,2))),"")</f>
        <v/>
      </c>
      <c r="F1640" s="8">
        <f>IFERROR(MID(H1640,FIND("10",H1640,FIND("15",H1640,FIND("01",H1640)+16)+8)+2,50),"")</f>
        <v/>
      </c>
      <c r="G1640" s="8" t="n"/>
      <c r="H1640" s="8">
        <f>SUBSTITUTE(SUBSTITUTE(SUBSTITUTE(SUBSTITUTE(A1640,"(",""),")","")," ",""),CHAR(29),"")</f>
        <v/>
      </c>
    </row>
    <row r="1641">
      <c r="A1641" s="4" t="n"/>
      <c r="B1641" s="5">
        <f>IFERROR(MID(H1641,FIND("01",H1641)+2,14),"")</f>
        <v/>
      </c>
      <c r="C1641" s="4">
        <f>IF(A1641="","",IFERROR(VLOOKUP(B1641,TblArticles,2,FALSE),"GTIN inconnu"))</f>
        <v/>
      </c>
      <c r="D1641" s="5">
        <f>IF(A1641="","",IFERROR(VLOOKUP(B1641,TblArticles,3,FALSE),""))</f>
        <v/>
      </c>
      <c r="E1641" s="6">
        <f>IFERROR(DATE(2000+VALUE(MID(H1641,FIND("15",H1641,FIND("01",H1641)+16)+2,2)),VALUE(MID(H1641,FIND("15",H1641,FIND("01",H1641)+16)+4,2)),VALUE(MID(H1641,FIND("15",H1641,FIND("01",H1641)+16)+6,2))),"")</f>
        <v/>
      </c>
      <c r="F1641" s="5">
        <f>IFERROR(MID(H1641,FIND("10",H1641,FIND("15",H1641,FIND("01",H1641)+16)+8)+2,50),"")</f>
        <v/>
      </c>
      <c r="G1641" s="5" t="n"/>
      <c r="H1641" s="5">
        <f>SUBSTITUTE(SUBSTITUTE(SUBSTITUTE(SUBSTITUTE(A1641,"(",""),")","")," ",""),CHAR(29),"")</f>
        <v/>
      </c>
    </row>
    <row r="1642">
      <c r="A1642" s="7" t="n"/>
      <c r="B1642" s="8">
        <f>IFERROR(MID(H1642,FIND("01",H1642)+2,14),"")</f>
        <v/>
      </c>
      <c r="C1642" s="7">
        <f>IF(A1642="","",IFERROR(VLOOKUP(B1642,TblArticles,2,FALSE),"GTIN inconnu"))</f>
        <v/>
      </c>
      <c r="D1642" s="8">
        <f>IF(A1642="","",IFERROR(VLOOKUP(B1642,TblArticles,3,FALSE),""))</f>
        <v/>
      </c>
      <c r="E1642" s="9">
        <f>IFERROR(DATE(2000+VALUE(MID(H1642,FIND("15",H1642,FIND("01",H1642)+16)+2,2)),VALUE(MID(H1642,FIND("15",H1642,FIND("01",H1642)+16)+4,2)),VALUE(MID(H1642,FIND("15",H1642,FIND("01",H1642)+16)+6,2))),"")</f>
        <v/>
      </c>
      <c r="F1642" s="8">
        <f>IFERROR(MID(H1642,FIND("10",H1642,FIND("15",H1642,FIND("01",H1642)+16)+8)+2,50),"")</f>
        <v/>
      </c>
      <c r="G1642" s="8" t="n"/>
      <c r="H1642" s="8">
        <f>SUBSTITUTE(SUBSTITUTE(SUBSTITUTE(SUBSTITUTE(A1642,"(",""),")","")," ",""),CHAR(29),"")</f>
        <v/>
      </c>
    </row>
    <row r="1643">
      <c r="A1643" s="4" t="n"/>
      <c r="B1643" s="5">
        <f>IFERROR(MID(H1643,FIND("01",H1643)+2,14),"")</f>
        <v/>
      </c>
      <c r="C1643" s="4">
        <f>IF(A1643="","",IFERROR(VLOOKUP(B1643,TblArticles,2,FALSE),"GTIN inconnu"))</f>
        <v/>
      </c>
      <c r="D1643" s="5">
        <f>IF(A1643="","",IFERROR(VLOOKUP(B1643,TblArticles,3,FALSE),""))</f>
        <v/>
      </c>
      <c r="E1643" s="6">
        <f>IFERROR(DATE(2000+VALUE(MID(H1643,FIND("15",H1643,FIND("01",H1643)+16)+2,2)),VALUE(MID(H1643,FIND("15",H1643,FIND("01",H1643)+16)+4,2)),VALUE(MID(H1643,FIND("15",H1643,FIND("01",H1643)+16)+6,2))),"")</f>
        <v/>
      </c>
      <c r="F1643" s="5">
        <f>IFERROR(MID(H1643,FIND("10",H1643,FIND("15",H1643,FIND("01",H1643)+16)+8)+2,50),"")</f>
        <v/>
      </c>
      <c r="G1643" s="5" t="n"/>
      <c r="H1643" s="5">
        <f>SUBSTITUTE(SUBSTITUTE(SUBSTITUTE(SUBSTITUTE(A1643,"(",""),")","")," ",""),CHAR(29),"")</f>
        <v/>
      </c>
    </row>
    <row r="1644">
      <c r="A1644" s="7" t="n"/>
      <c r="B1644" s="8">
        <f>IFERROR(MID(H1644,FIND("01",H1644)+2,14),"")</f>
        <v/>
      </c>
      <c r="C1644" s="7">
        <f>IF(A1644="","",IFERROR(VLOOKUP(B1644,TblArticles,2,FALSE),"GTIN inconnu"))</f>
        <v/>
      </c>
      <c r="D1644" s="8">
        <f>IF(A1644="","",IFERROR(VLOOKUP(B1644,TblArticles,3,FALSE),""))</f>
        <v/>
      </c>
      <c r="E1644" s="9">
        <f>IFERROR(DATE(2000+VALUE(MID(H1644,FIND("15",H1644,FIND("01",H1644)+16)+2,2)),VALUE(MID(H1644,FIND("15",H1644,FIND("01",H1644)+16)+4,2)),VALUE(MID(H1644,FIND("15",H1644,FIND("01",H1644)+16)+6,2))),"")</f>
        <v/>
      </c>
      <c r="F1644" s="8">
        <f>IFERROR(MID(H1644,FIND("10",H1644,FIND("15",H1644,FIND("01",H1644)+16)+8)+2,50),"")</f>
        <v/>
      </c>
      <c r="G1644" s="8" t="n"/>
      <c r="H1644" s="8">
        <f>SUBSTITUTE(SUBSTITUTE(SUBSTITUTE(SUBSTITUTE(A1644,"(",""),")","")," ",""),CHAR(29),"")</f>
        <v/>
      </c>
    </row>
    <row r="1645">
      <c r="A1645" s="4" t="n"/>
      <c r="B1645" s="5">
        <f>IFERROR(MID(H1645,FIND("01",H1645)+2,14),"")</f>
        <v/>
      </c>
      <c r="C1645" s="4">
        <f>IF(A1645="","",IFERROR(VLOOKUP(B1645,TblArticles,2,FALSE),"GTIN inconnu"))</f>
        <v/>
      </c>
      <c r="D1645" s="5">
        <f>IF(A1645="","",IFERROR(VLOOKUP(B1645,TblArticles,3,FALSE),""))</f>
        <v/>
      </c>
      <c r="E1645" s="6">
        <f>IFERROR(DATE(2000+VALUE(MID(H1645,FIND("15",H1645,FIND("01",H1645)+16)+2,2)),VALUE(MID(H1645,FIND("15",H1645,FIND("01",H1645)+16)+4,2)),VALUE(MID(H1645,FIND("15",H1645,FIND("01",H1645)+16)+6,2))),"")</f>
        <v/>
      </c>
      <c r="F1645" s="5">
        <f>IFERROR(MID(H1645,FIND("10",H1645,FIND("15",H1645,FIND("01",H1645)+16)+8)+2,50),"")</f>
        <v/>
      </c>
      <c r="G1645" s="5" t="n"/>
      <c r="H1645" s="5">
        <f>SUBSTITUTE(SUBSTITUTE(SUBSTITUTE(SUBSTITUTE(A1645,"(",""),")","")," ",""),CHAR(29),"")</f>
        <v/>
      </c>
    </row>
    <row r="1646">
      <c r="A1646" s="7" t="n"/>
      <c r="B1646" s="8">
        <f>IFERROR(MID(H1646,FIND("01",H1646)+2,14),"")</f>
        <v/>
      </c>
      <c r="C1646" s="7">
        <f>IF(A1646="","",IFERROR(VLOOKUP(B1646,TblArticles,2,FALSE),"GTIN inconnu"))</f>
        <v/>
      </c>
      <c r="D1646" s="8">
        <f>IF(A1646="","",IFERROR(VLOOKUP(B1646,TblArticles,3,FALSE),""))</f>
        <v/>
      </c>
      <c r="E1646" s="9">
        <f>IFERROR(DATE(2000+VALUE(MID(H1646,FIND("15",H1646,FIND("01",H1646)+16)+2,2)),VALUE(MID(H1646,FIND("15",H1646,FIND("01",H1646)+16)+4,2)),VALUE(MID(H1646,FIND("15",H1646,FIND("01",H1646)+16)+6,2))),"")</f>
        <v/>
      </c>
      <c r="F1646" s="8">
        <f>IFERROR(MID(H1646,FIND("10",H1646,FIND("15",H1646,FIND("01",H1646)+16)+8)+2,50),"")</f>
        <v/>
      </c>
      <c r="G1646" s="8" t="n"/>
      <c r="H1646" s="8">
        <f>SUBSTITUTE(SUBSTITUTE(SUBSTITUTE(SUBSTITUTE(A1646,"(",""),")","")," ",""),CHAR(29),"")</f>
        <v/>
      </c>
    </row>
    <row r="1647">
      <c r="A1647" s="4" t="n"/>
      <c r="B1647" s="5">
        <f>IFERROR(MID(H1647,FIND("01",H1647)+2,14),"")</f>
        <v/>
      </c>
      <c r="C1647" s="4">
        <f>IF(A1647="","",IFERROR(VLOOKUP(B1647,TblArticles,2,FALSE),"GTIN inconnu"))</f>
        <v/>
      </c>
      <c r="D1647" s="5">
        <f>IF(A1647="","",IFERROR(VLOOKUP(B1647,TblArticles,3,FALSE),""))</f>
        <v/>
      </c>
      <c r="E1647" s="6">
        <f>IFERROR(DATE(2000+VALUE(MID(H1647,FIND("15",H1647,FIND("01",H1647)+16)+2,2)),VALUE(MID(H1647,FIND("15",H1647,FIND("01",H1647)+16)+4,2)),VALUE(MID(H1647,FIND("15",H1647,FIND("01",H1647)+16)+6,2))),"")</f>
        <v/>
      </c>
      <c r="F1647" s="5">
        <f>IFERROR(MID(H1647,FIND("10",H1647,FIND("15",H1647,FIND("01",H1647)+16)+8)+2,50),"")</f>
        <v/>
      </c>
      <c r="G1647" s="5" t="n"/>
      <c r="H1647" s="5">
        <f>SUBSTITUTE(SUBSTITUTE(SUBSTITUTE(SUBSTITUTE(A1647,"(",""),")","")," ",""),CHAR(29),"")</f>
        <v/>
      </c>
    </row>
    <row r="1648">
      <c r="A1648" s="7" t="n"/>
      <c r="B1648" s="8">
        <f>IFERROR(MID(H1648,FIND("01",H1648)+2,14),"")</f>
        <v/>
      </c>
      <c r="C1648" s="7">
        <f>IF(A1648="","",IFERROR(VLOOKUP(B1648,TblArticles,2,FALSE),"GTIN inconnu"))</f>
        <v/>
      </c>
      <c r="D1648" s="8">
        <f>IF(A1648="","",IFERROR(VLOOKUP(B1648,TblArticles,3,FALSE),""))</f>
        <v/>
      </c>
      <c r="E1648" s="9">
        <f>IFERROR(DATE(2000+VALUE(MID(H1648,FIND("15",H1648,FIND("01",H1648)+16)+2,2)),VALUE(MID(H1648,FIND("15",H1648,FIND("01",H1648)+16)+4,2)),VALUE(MID(H1648,FIND("15",H1648,FIND("01",H1648)+16)+6,2))),"")</f>
        <v/>
      </c>
      <c r="F1648" s="8">
        <f>IFERROR(MID(H1648,FIND("10",H1648,FIND("15",H1648,FIND("01",H1648)+16)+8)+2,50),"")</f>
        <v/>
      </c>
      <c r="G1648" s="8" t="n"/>
      <c r="H1648" s="8">
        <f>SUBSTITUTE(SUBSTITUTE(SUBSTITUTE(SUBSTITUTE(A1648,"(",""),")","")," ",""),CHAR(29),"")</f>
        <v/>
      </c>
    </row>
    <row r="1649">
      <c r="A1649" s="4" t="n"/>
      <c r="B1649" s="5">
        <f>IFERROR(MID(H1649,FIND("01",H1649)+2,14),"")</f>
        <v/>
      </c>
      <c r="C1649" s="4">
        <f>IF(A1649="","",IFERROR(VLOOKUP(B1649,TblArticles,2,FALSE),"GTIN inconnu"))</f>
        <v/>
      </c>
      <c r="D1649" s="5">
        <f>IF(A1649="","",IFERROR(VLOOKUP(B1649,TblArticles,3,FALSE),""))</f>
        <v/>
      </c>
      <c r="E1649" s="6">
        <f>IFERROR(DATE(2000+VALUE(MID(H1649,FIND("15",H1649,FIND("01",H1649)+16)+2,2)),VALUE(MID(H1649,FIND("15",H1649,FIND("01",H1649)+16)+4,2)),VALUE(MID(H1649,FIND("15",H1649,FIND("01",H1649)+16)+6,2))),"")</f>
        <v/>
      </c>
      <c r="F1649" s="5">
        <f>IFERROR(MID(H1649,FIND("10",H1649,FIND("15",H1649,FIND("01",H1649)+16)+8)+2,50),"")</f>
        <v/>
      </c>
      <c r="G1649" s="5" t="n"/>
      <c r="H1649" s="5">
        <f>SUBSTITUTE(SUBSTITUTE(SUBSTITUTE(SUBSTITUTE(A1649,"(",""),")","")," ",""),CHAR(29),"")</f>
        <v/>
      </c>
    </row>
    <row r="1650">
      <c r="A1650" s="7" t="n"/>
      <c r="B1650" s="8">
        <f>IFERROR(MID(H1650,FIND("01",H1650)+2,14),"")</f>
        <v/>
      </c>
      <c r="C1650" s="7">
        <f>IF(A1650="","",IFERROR(VLOOKUP(B1650,TblArticles,2,FALSE),"GTIN inconnu"))</f>
        <v/>
      </c>
      <c r="D1650" s="8">
        <f>IF(A1650="","",IFERROR(VLOOKUP(B1650,TblArticles,3,FALSE),""))</f>
        <v/>
      </c>
      <c r="E1650" s="9">
        <f>IFERROR(DATE(2000+VALUE(MID(H1650,FIND("15",H1650,FIND("01",H1650)+16)+2,2)),VALUE(MID(H1650,FIND("15",H1650,FIND("01",H1650)+16)+4,2)),VALUE(MID(H1650,FIND("15",H1650,FIND("01",H1650)+16)+6,2))),"")</f>
        <v/>
      </c>
      <c r="F1650" s="8">
        <f>IFERROR(MID(H1650,FIND("10",H1650,FIND("15",H1650,FIND("01",H1650)+16)+8)+2,50),"")</f>
        <v/>
      </c>
      <c r="G1650" s="8" t="n"/>
      <c r="H1650" s="8">
        <f>SUBSTITUTE(SUBSTITUTE(SUBSTITUTE(SUBSTITUTE(A1650,"(",""),")","")," ",""),CHAR(29),"")</f>
        <v/>
      </c>
    </row>
    <row r="1651">
      <c r="A1651" s="4" t="n"/>
      <c r="B1651" s="5">
        <f>IFERROR(MID(H1651,FIND("01",H1651)+2,14),"")</f>
        <v/>
      </c>
      <c r="C1651" s="4">
        <f>IF(A1651="","",IFERROR(VLOOKUP(B1651,TblArticles,2,FALSE),"GTIN inconnu"))</f>
        <v/>
      </c>
      <c r="D1651" s="5">
        <f>IF(A1651="","",IFERROR(VLOOKUP(B1651,TblArticles,3,FALSE),""))</f>
        <v/>
      </c>
      <c r="E1651" s="6">
        <f>IFERROR(DATE(2000+VALUE(MID(H1651,FIND("15",H1651,FIND("01",H1651)+16)+2,2)),VALUE(MID(H1651,FIND("15",H1651,FIND("01",H1651)+16)+4,2)),VALUE(MID(H1651,FIND("15",H1651,FIND("01",H1651)+16)+6,2))),"")</f>
        <v/>
      </c>
      <c r="F1651" s="5">
        <f>IFERROR(MID(H1651,FIND("10",H1651,FIND("15",H1651,FIND("01",H1651)+16)+8)+2,50),"")</f>
        <v/>
      </c>
      <c r="G1651" s="5" t="n"/>
      <c r="H1651" s="5">
        <f>SUBSTITUTE(SUBSTITUTE(SUBSTITUTE(SUBSTITUTE(A1651,"(",""),")","")," ",""),CHAR(29),"")</f>
        <v/>
      </c>
    </row>
    <row r="1652">
      <c r="A1652" s="7" t="n"/>
      <c r="B1652" s="8">
        <f>IFERROR(MID(H1652,FIND("01",H1652)+2,14),"")</f>
        <v/>
      </c>
      <c r="C1652" s="7">
        <f>IF(A1652="","",IFERROR(VLOOKUP(B1652,TblArticles,2,FALSE),"GTIN inconnu"))</f>
        <v/>
      </c>
      <c r="D1652" s="8">
        <f>IF(A1652="","",IFERROR(VLOOKUP(B1652,TblArticles,3,FALSE),""))</f>
        <v/>
      </c>
      <c r="E1652" s="9">
        <f>IFERROR(DATE(2000+VALUE(MID(H1652,FIND("15",H1652,FIND("01",H1652)+16)+2,2)),VALUE(MID(H1652,FIND("15",H1652,FIND("01",H1652)+16)+4,2)),VALUE(MID(H1652,FIND("15",H1652,FIND("01",H1652)+16)+6,2))),"")</f>
        <v/>
      </c>
      <c r="F1652" s="8">
        <f>IFERROR(MID(H1652,FIND("10",H1652,FIND("15",H1652,FIND("01",H1652)+16)+8)+2,50),"")</f>
        <v/>
      </c>
      <c r="G1652" s="8" t="n"/>
      <c r="H1652" s="8">
        <f>SUBSTITUTE(SUBSTITUTE(SUBSTITUTE(SUBSTITUTE(A1652,"(",""),")","")," ",""),CHAR(29),"")</f>
        <v/>
      </c>
    </row>
    <row r="1653">
      <c r="A1653" s="4" t="n"/>
      <c r="B1653" s="5">
        <f>IFERROR(MID(H1653,FIND("01",H1653)+2,14),"")</f>
        <v/>
      </c>
      <c r="C1653" s="4">
        <f>IF(A1653="","",IFERROR(VLOOKUP(B1653,TblArticles,2,FALSE),"GTIN inconnu"))</f>
        <v/>
      </c>
      <c r="D1653" s="5">
        <f>IF(A1653="","",IFERROR(VLOOKUP(B1653,TblArticles,3,FALSE),""))</f>
        <v/>
      </c>
      <c r="E1653" s="6">
        <f>IFERROR(DATE(2000+VALUE(MID(H1653,FIND("15",H1653,FIND("01",H1653)+16)+2,2)),VALUE(MID(H1653,FIND("15",H1653,FIND("01",H1653)+16)+4,2)),VALUE(MID(H1653,FIND("15",H1653,FIND("01",H1653)+16)+6,2))),"")</f>
        <v/>
      </c>
      <c r="F1653" s="5">
        <f>IFERROR(MID(H1653,FIND("10",H1653,FIND("15",H1653,FIND("01",H1653)+16)+8)+2,50),"")</f>
        <v/>
      </c>
      <c r="G1653" s="5" t="n"/>
      <c r="H1653" s="5">
        <f>SUBSTITUTE(SUBSTITUTE(SUBSTITUTE(SUBSTITUTE(A1653,"(",""),")","")," ",""),CHAR(29),"")</f>
        <v/>
      </c>
    </row>
    <row r="1654">
      <c r="A1654" s="7" t="n"/>
      <c r="B1654" s="8">
        <f>IFERROR(MID(H1654,FIND("01",H1654)+2,14),"")</f>
        <v/>
      </c>
      <c r="C1654" s="7">
        <f>IF(A1654="","",IFERROR(VLOOKUP(B1654,TblArticles,2,FALSE),"GTIN inconnu"))</f>
        <v/>
      </c>
      <c r="D1654" s="8">
        <f>IF(A1654="","",IFERROR(VLOOKUP(B1654,TblArticles,3,FALSE),""))</f>
        <v/>
      </c>
      <c r="E1654" s="9">
        <f>IFERROR(DATE(2000+VALUE(MID(H1654,FIND("15",H1654,FIND("01",H1654)+16)+2,2)),VALUE(MID(H1654,FIND("15",H1654,FIND("01",H1654)+16)+4,2)),VALUE(MID(H1654,FIND("15",H1654,FIND("01",H1654)+16)+6,2))),"")</f>
        <v/>
      </c>
      <c r="F1654" s="8">
        <f>IFERROR(MID(H1654,FIND("10",H1654,FIND("15",H1654,FIND("01",H1654)+16)+8)+2,50),"")</f>
        <v/>
      </c>
      <c r="G1654" s="8" t="n"/>
      <c r="H1654" s="8">
        <f>SUBSTITUTE(SUBSTITUTE(SUBSTITUTE(SUBSTITUTE(A1654,"(",""),")","")," ",""),CHAR(29),"")</f>
        <v/>
      </c>
    </row>
    <row r="1655">
      <c r="A1655" s="4" t="n"/>
      <c r="B1655" s="5">
        <f>IFERROR(MID(H1655,FIND("01",H1655)+2,14),"")</f>
        <v/>
      </c>
      <c r="C1655" s="4">
        <f>IF(A1655="","",IFERROR(VLOOKUP(B1655,TblArticles,2,FALSE),"GTIN inconnu"))</f>
        <v/>
      </c>
      <c r="D1655" s="5">
        <f>IF(A1655="","",IFERROR(VLOOKUP(B1655,TblArticles,3,FALSE),""))</f>
        <v/>
      </c>
      <c r="E1655" s="6">
        <f>IFERROR(DATE(2000+VALUE(MID(H1655,FIND("15",H1655,FIND("01",H1655)+16)+2,2)),VALUE(MID(H1655,FIND("15",H1655,FIND("01",H1655)+16)+4,2)),VALUE(MID(H1655,FIND("15",H1655,FIND("01",H1655)+16)+6,2))),"")</f>
        <v/>
      </c>
      <c r="F1655" s="5">
        <f>IFERROR(MID(H1655,FIND("10",H1655,FIND("15",H1655,FIND("01",H1655)+16)+8)+2,50),"")</f>
        <v/>
      </c>
      <c r="G1655" s="5" t="n"/>
      <c r="H1655" s="5">
        <f>SUBSTITUTE(SUBSTITUTE(SUBSTITUTE(SUBSTITUTE(A1655,"(",""),")","")," ",""),CHAR(29),"")</f>
        <v/>
      </c>
    </row>
    <row r="1656">
      <c r="A1656" s="7" t="n"/>
      <c r="B1656" s="8">
        <f>IFERROR(MID(H1656,FIND("01",H1656)+2,14),"")</f>
        <v/>
      </c>
      <c r="C1656" s="7">
        <f>IF(A1656="","",IFERROR(VLOOKUP(B1656,TblArticles,2,FALSE),"GTIN inconnu"))</f>
        <v/>
      </c>
      <c r="D1656" s="8">
        <f>IF(A1656="","",IFERROR(VLOOKUP(B1656,TblArticles,3,FALSE),""))</f>
        <v/>
      </c>
      <c r="E1656" s="9">
        <f>IFERROR(DATE(2000+VALUE(MID(H1656,FIND("15",H1656,FIND("01",H1656)+16)+2,2)),VALUE(MID(H1656,FIND("15",H1656,FIND("01",H1656)+16)+4,2)),VALUE(MID(H1656,FIND("15",H1656,FIND("01",H1656)+16)+6,2))),"")</f>
        <v/>
      </c>
      <c r="F1656" s="8">
        <f>IFERROR(MID(H1656,FIND("10",H1656,FIND("15",H1656,FIND("01",H1656)+16)+8)+2,50),"")</f>
        <v/>
      </c>
      <c r="G1656" s="8" t="n"/>
      <c r="H1656" s="8">
        <f>SUBSTITUTE(SUBSTITUTE(SUBSTITUTE(SUBSTITUTE(A1656,"(",""),")","")," ",""),CHAR(29),"")</f>
        <v/>
      </c>
    </row>
    <row r="1657">
      <c r="A1657" s="4" t="n"/>
      <c r="B1657" s="5">
        <f>IFERROR(MID(H1657,FIND("01",H1657)+2,14),"")</f>
        <v/>
      </c>
      <c r="C1657" s="4">
        <f>IF(A1657="","",IFERROR(VLOOKUP(B1657,TblArticles,2,FALSE),"GTIN inconnu"))</f>
        <v/>
      </c>
      <c r="D1657" s="5">
        <f>IF(A1657="","",IFERROR(VLOOKUP(B1657,TblArticles,3,FALSE),""))</f>
        <v/>
      </c>
      <c r="E1657" s="6">
        <f>IFERROR(DATE(2000+VALUE(MID(H1657,FIND("15",H1657,FIND("01",H1657)+16)+2,2)),VALUE(MID(H1657,FIND("15",H1657,FIND("01",H1657)+16)+4,2)),VALUE(MID(H1657,FIND("15",H1657,FIND("01",H1657)+16)+6,2))),"")</f>
        <v/>
      </c>
      <c r="F1657" s="5">
        <f>IFERROR(MID(H1657,FIND("10",H1657,FIND("15",H1657,FIND("01",H1657)+16)+8)+2,50),"")</f>
        <v/>
      </c>
      <c r="G1657" s="5" t="n"/>
      <c r="H1657" s="5">
        <f>SUBSTITUTE(SUBSTITUTE(SUBSTITUTE(SUBSTITUTE(A1657,"(",""),")","")," ",""),CHAR(29),"")</f>
        <v/>
      </c>
    </row>
    <row r="1658">
      <c r="A1658" s="7" t="n"/>
      <c r="B1658" s="8">
        <f>IFERROR(MID(H1658,FIND("01",H1658)+2,14),"")</f>
        <v/>
      </c>
      <c r="C1658" s="7">
        <f>IF(A1658="","",IFERROR(VLOOKUP(B1658,TblArticles,2,FALSE),"GTIN inconnu"))</f>
        <v/>
      </c>
      <c r="D1658" s="8">
        <f>IF(A1658="","",IFERROR(VLOOKUP(B1658,TblArticles,3,FALSE),""))</f>
        <v/>
      </c>
      <c r="E1658" s="9">
        <f>IFERROR(DATE(2000+VALUE(MID(H1658,FIND("15",H1658,FIND("01",H1658)+16)+2,2)),VALUE(MID(H1658,FIND("15",H1658,FIND("01",H1658)+16)+4,2)),VALUE(MID(H1658,FIND("15",H1658,FIND("01",H1658)+16)+6,2))),"")</f>
        <v/>
      </c>
      <c r="F1658" s="8">
        <f>IFERROR(MID(H1658,FIND("10",H1658,FIND("15",H1658,FIND("01",H1658)+16)+8)+2,50),"")</f>
        <v/>
      </c>
      <c r="G1658" s="8" t="n"/>
      <c r="H1658" s="8">
        <f>SUBSTITUTE(SUBSTITUTE(SUBSTITUTE(SUBSTITUTE(A1658,"(",""),")","")," ",""),CHAR(29),"")</f>
        <v/>
      </c>
    </row>
    <row r="1659">
      <c r="A1659" s="4" t="n"/>
      <c r="B1659" s="5">
        <f>IFERROR(MID(H1659,FIND("01",H1659)+2,14),"")</f>
        <v/>
      </c>
      <c r="C1659" s="4">
        <f>IF(A1659="","",IFERROR(VLOOKUP(B1659,TblArticles,2,FALSE),"GTIN inconnu"))</f>
        <v/>
      </c>
      <c r="D1659" s="5">
        <f>IF(A1659="","",IFERROR(VLOOKUP(B1659,TblArticles,3,FALSE),""))</f>
        <v/>
      </c>
      <c r="E1659" s="6">
        <f>IFERROR(DATE(2000+VALUE(MID(H1659,FIND("15",H1659,FIND("01",H1659)+16)+2,2)),VALUE(MID(H1659,FIND("15",H1659,FIND("01",H1659)+16)+4,2)),VALUE(MID(H1659,FIND("15",H1659,FIND("01",H1659)+16)+6,2))),"")</f>
        <v/>
      </c>
      <c r="F1659" s="5">
        <f>IFERROR(MID(H1659,FIND("10",H1659,FIND("15",H1659,FIND("01",H1659)+16)+8)+2,50),"")</f>
        <v/>
      </c>
      <c r="G1659" s="5" t="n"/>
      <c r="H1659" s="5">
        <f>SUBSTITUTE(SUBSTITUTE(SUBSTITUTE(SUBSTITUTE(A1659,"(",""),")","")," ",""),CHAR(29),"")</f>
        <v/>
      </c>
    </row>
    <row r="1660">
      <c r="A1660" s="7" t="n"/>
      <c r="B1660" s="8">
        <f>IFERROR(MID(H1660,FIND("01",H1660)+2,14),"")</f>
        <v/>
      </c>
      <c r="C1660" s="7">
        <f>IF(A1660="","",IFERROR(VLOOKUP(B1660,TblArticles,2,FALSE),"GTIN inconnu"))</f>
        <v/>
      </c>
      <c r="D1660" s="8">
        <f>IF(A1660="","",IFERROR(VLOOKUP(B1660,TblArticles,3,FALSE),""))</f>
        <v/>
      </c>
      <c r="E1660" s="9">
        <f>IFERROR(DATE(2000+VALUE(MID(H1660,FIND("15",H1660,FIND("01",H1660)+16)+2,2)),VALUE(MID(H1660,FIND("15",H1660,FIND("01",H1660)+16)+4,2)),VALUE(MID(H1660,FIND("15",H1660,FIND("01",H1660)+16)+6,2))),"")</f>
        <v/>
      </c>
      <c r="F1660" s="8">
        <f>IFERROR(MID(H1660,FIND("10",H1660,FIND("15",H1660,FIND("01",H1660)+16)+8)+2,50),"")</f>
        <v/>
      </c>
      <c r="G1660" s="8" t="n"/>
      <c r="H1660" s="8">
        <f>SUBSTITUTE(SUBSTITUTE(SUBSTITUTE(SUBSTITUTE(A1660,"(",""),")","")," ",""),CHAR(29),"")</f>
        <v/>
      </c>
    </row>
    <row r="1661">
      <c r="A1661" s="4" t="n"/>
      <c r="B1661" s="5">
        <f>IFERROR(MID(H1661,FIND("01",H1661)+2,14),"")</f>
        <v/>
      </c>
      <c r="C1661" s="4">
        <f>IF(A1661="","",IFERROR(VLOOKUP(B1661,TblArticles,2,FALSE),"GTIN inconnu"))</f>
        <v/>
      </c>
      <c r="D1661" s="5">
        <f>IF(A1661="","",IFERROR(VLOOKUP(B1661,TblArticles,3,FALSE),""))</f>
        <v/>
      </c>
      <c r="E1661" s="6">
        <f>IFERROR(DATE(2000+VALUE(MID(H1661,FIND("15",H1661,FIND("01",H1661)+16)+2,2)),VALUE(MID(H1661,FIND("15",H1661,FIND("01",H1661)+16)+4,2)),VALUE(MID(H1661,FIND("15",H1661,FIND("01",H1661)+16)+6,2))),"")</f>
        <v/>
      </c>
      <c r="F1661" s="5">
        <f>IFERROR(MID(H1661,FIND("10",H1661,FIND("15",H1661,FIND("01",H1661)+16)+8)+2,50),"")</f>
        <v/>
      </c>
      <c r="G1661" s="5" t="n"/>
      <c r="H1661" s="5">
        <f>SUBSTITUTE(SUBSTITUTE(SUBSTITUTE(SUBSTITUTE(A1661,"(",""),")","")," ",""),CHAR(29),"")</f>
        <v/>
      </c>
    </row>
    <row r="1662">
      <c r="A1662" s="7" t="n"/>
      <c r="B1662" s="8">
        <f>IFERROR(MID(H1662,FIND("01",H1662)+2,14),"")</f>
        <v/>
      </c>
      <c r="C1662" s="7">
        <f>IF(A1662="","",IFERROR(VLOOKUP(B1662,TblArticles,2,FALSE),"GTIN inconnu"))</f>
        <v/>
      </c>
      <c r="D1662" s="8">
        <f>IF(A1662="","",IFERROR(VLOOKUP(B1662,TblArticles,3,FALSE),""))</f>
        <v/>
      </c>
      <c r="E1662" s="9">
        <f>IFERROR(DATE(2000+VALUE(MID(H1662,FIND("15",H1662,FIND("01",H1662)+16)+2,2)),VALUE(MID(H1662,FIND("15",H1662,FIND("01",H1662)+16)+4,2)),VALUE(MID(H1662,FIND("15",H1662,FIND("01",H1662)+16)+6,2))),"")</f>
        <v/>
      </c>
      <c r="F1662" s="8">
        <f>IFERROR(MID(H1662,FIND("10",H1662,FIND("15",H1662,FIND("01",H1662)+16)+8)+2,50),"")</f>
        <v/>
      </c>
      <c r="G1662" s="8" t="n"/>
      <c r="H1662" s="8">
        <f>SUBSTITUTE(SUBSTITUTE(SUBSTITUTE(SUBSTITUTE(A1662,"(",""),")","")," ",""),CHAR(29),"")</f>
        <v/>
      </c>
    </row>
    <row r="1663">
      <c r="A1663" s="4" t="n"/>
      <c r="B1663" s="5">
        <f>IFERROR(MID(H1663,FIND("01",H1663)+2,14),"")</f>
        <v/>
      </c>
      <c r="C1663" s="4">
        <f>IF(A1663="","",IFERROR(VLOOKUP(B1663,TblArticles,2,FALSE),"GTIN inconnu"))</f>
        <v/>
      </c>
      <c r="D1663" s="5">
        <f>IF(A1663="","",IFERROR(VLOOKUP(B1663,TblArticles,3,FALSE),""))</f>
        <v/>
      </c>
      <c r="E1663" s="6">
        <f>IFERROR(DATE(2000+VALUE(MID(H1663,FIND("15",H1663,FIND("01",H1663)+16)+2,2)),VALUE(MID(H1663,FIND("15",H1663,FIND("01",H1663)+16)+4,2)),VALUE(MID(H1663,FIND("15",H1663,FIND("01",H1663)+16)+6,2))),"")</f>
        <v/>
      </c>
      <c r="F1663" s="5">
        <f>IFERROR(MID(H1663,FIND("10",H1663,FIND("15",H1663,FIND("01",H1663)+16)+8)+2,50),"")</f>
        <v/>
      </c>
      <c r="G1663" s="5" t="n"/>
      <c r="H1663" s="5">
        <f>SUBSTITUTE(SUBSTITUTE(SUBSTITUTE(SUBSTITUTE(A1663,"(",""),")","")," ",""),CHAR(29),"")</f>
        <v/>
      </c>
    </row>
    <row r="1664">
      <c r="A1664" s="7" t="n"/>
      <c r="B1664" s="8">
        <f>IFERROR(MID(H1664,FIND("01",H1664)+2,14),"")</f>
        <v/>
      </c>
      <c r="C1664" s="7">
        <f>IF(A1664="","",IFERROR(VLOOKUP(B1664,TblArticles,2,FALSE),"GTIN inconnu"))</f>
        <v/>
      </c>
      <c r="D1664" s="8">
        <f>IF(A1664="","",IFERROR(VLOOKUP(B1664,TblArticles,3,FALSE),""))</f>
        <v/>
      </c>
      <c r="E1664" s="9">
        <f>IFERROR(DATE(2000+VALUE(MID(H1664,FIND("15",H1664,FIND("01",H1664)+16)+2,2)),VALUE(MID(H1664,FIND("15",H1664,FIND("01",H1664)+16)+4,2)),VALUE(MID(H1664,FIND("15",H1664,FIND("01",H1664)+16)+6,2))),"")</f>
        <v/>
      </c>
      <c r="F1664" s="8">
        <f>IFERROR(MID(H1664,FIND("10",H1664,FIND("15",H1664,FIND("01",H1664)+16)+8)+2,50),"")</f>
        <v/>
      </c>
      <c r="G1664" s="8" t="n"/>
      <c r="H1664" s="8">
        <f>SUBSTITUTE(SUBSTITUTE(SUBSTITUTE(SUBSTITUTE(A1664,"(",""),")","")," ",""),CHAR(29),"")</f>
        <v/>
      </c>
    </row>
    <row r="1665">
      <c r="A1665" s="4" t="n"/>
      <c r="B1665" s="5">
        <f>IFERROR(MID(H1665,FIND("01",H1665)+2,14),"")</f>
        <v/>
      </c>
      <c r="C1665" s="4">
        <f>IF(A1665="","",IFERROR(VLOOKUP(B1665,TblArticles,2,FALSE),"GTIN inconnu"))</f>
        <v/>
      </c>
      <c r="D1665" s="5">
        <f>IF(A1665="","",IFERROR(VLOOKUP(B1665,TblArticles,3,FALSE),""))</f>
        <v/>
      </c>
      <c r="E1665" s="6">
        <f>IFERROR(DATE(2000+VALUE(MID(H1665,FIND("15",H1665,FIND("01",H1665)+16)+2,2)),VALUE(MID(H1665,FIND("15",H1665,FIND("01",H1665)+16)+4,2)),VALUE(MID(H1665,FIND("15",H1665,FIND("01",H1665)+16)+6,2))),"")</f>
        <v/>
      </c>
      <c r="F1665" s="5">
        <f>IFERROR(MID(H1665,FIND("10",H1665,FIND("15",H1665,FIND("01",H1665)+16)+8)+2,50),"")</f>
        <v/>
      </c>
      <c r="G1665" s="5" t="n"/>
      <c r="H1665" s="5">
        <f>SUBSTITUTE(SUBSTITUTE(SUBSTITUTE(SUBSTITUTE(A1665,"(",""),")","")," ",""),CHAR(29),"")</f>
        <v/>
      </c>
    </row>
    <row r="1666">
      <c r="A1666" s="7" t="n"/>
      <c r="B1666" s="8">
        <f>IFERROR(MID(H1666,FIND("01",H1666)+2,14),"")</f>
        <v/>
      </c>
      <c r="C1666" s="7">
        <f>IF(A1666="","",IFERROR(VLOOKUP(B1666,TblArticles,2,FALSE),"GTIN inconnu"))</f>
        <v/>
      </c>
      <c r="D1666" s="8">
        <f>IF(A1666="","",IFERROR(VLOOKUP(B1666,TblArticles,3,FALSE),""))</f>
        <v/>
      </c>
      <c r="E1666" s="9">
        <f>IFERROR(DATE(2000+VALUE(MID(H1666,FIND("15",H1666,FIND("01",H1666)+16)+2,2)),VALUE(MID(H1666,FIND("15",H1666,FIND("01",H1666)+16)+4,2)),VALUE(MID(H1666,FIND("15",H1666,FIND("01",H1666)+16)+6,2))),"")</f>
        <v/>
      </c>
      <c r="F1666" s="8">
        <f>IFERROR(MID(H1666,FIND("10",H1666,FIND("15",H1666,FIND("01",H1666)+16)+8)+2,50),"")</f>
        <v/>
      </c>
      <c r="G1666" s="8" t="n"/>
      <c r="H1666" s="8">
        <f>SUBSTITUTE(SUBSTITUTE(SUBSTITUTE(SUBSTITUTE(A1666,"(",""),")","")," ",""),CHAR(29),"")</f>
        <v/>
      </c>
    </row>
    <row r="1667">
      <c r="A1667" s="4" t="n"/>
      <c r="B1667" s="5">
        <f>IFERROR(MID(H1667,FIND("01",H1667)+2,14),"")</f>
        <v/>
      </c>
      <c r="C1667" s="4">
        <f>IF(A1667="","",IFERROR(VLOOKUP(B1667,TblArticles,2,FALSE),"GTIN inconnu"))</f>
        <v/>
      </c>
      <c r="D1667" s="5">
        <f>IF(A1667="","",IFERROR(VLOOKUP(B1667,TblArticles,3,FALSE),""))</f>
        <v/>
      </c>
      <c r="E1667" s="6">
        <f>IFERROR(DATE(2000+VALUE(MID(H1667,FIND("15",H1667,FIND("01",H1667)+16)+2,2)),VALUE(MID(H1667,FIND("15",H1667,FIND("01",H1667)+16)+4,2)),VALUE(MID(H1667,FIND("15",H1667,FIND("01",H1667)+16)+6,2))),"")</f>
        <v/>
      </c>
      <c r="F1667" s="5">
        <f>IFERROR(MID(H1667,FIND("10",H1667,FIND("15",H1667,FIND("01",H1667)+16)+8)+2,50),"")</f>
        <v/>
      </c>
      <c r="G1667" s="5" t="n"/>
      <c r="H1667" s="5">
        <f>SUBSTITUTE(SUBSTITUTE(SUBSTITUTE(SUBSTITUTE(A1667,"(",""),")","")," ",""),CHAR(29),"")</f>
        <v/>
      </c>
    </row>
    <row r="1668">
      <c r="A1668" s="7" t="n"/>
      <c r="B1668" s="8">
        <f>IFERROR(MID(H1668,FIND("01",H1668)+2,14),"")</f>
        <v/>
      </c>
      <c r="C1668" s="7">
        <f>IF(A1668="","",IFERROR(VLOOKUP(B1668,TblArticles,2,FALSE),"GTIN inconnu"))</f>
        <v/>
      </c>
      <c r="D1668" s="8">
        <f>IF(A1668="","",IFERROR(VLOOKUP(B1668,TblArticles,3,FALSE),""))</f>
        <v/>
      </c>
      <c r="E1668" s="9">
        <f>IFERROR(DATE(2000+VALUE(MID(H1668,FIND("15",H1668,FIND("01",H1668)+16)+2,2)),VALUE(MID(H1668,FIND("15",H1668,FIND("01",H1668)+16)+4,2)),VALUE(MID(H1668,FIND("15",H1668,FIND("01",H1668)+16)+6,2))),"")</f>
        <v/>
      </c>
      <c r="F1668" s="8">
        <f>IFERROR(MID(H1668,FIND("10",H1668,FIND("15",H1668,FIND("01",H1668)+16)+8)+2,50),"")</f>
        <v/>
      </c>
      <c r="G1668" s="8" t="n"/>
      <c r="H1668" s="8">
        <f>SUBSTITUTE(SUBSTITUTE(SUBSTITUTE(SUBSTITUTE(A1668,"(",""),")","")," ",""),CHAR(29),"")</f>
        <v/>
      </c>
    </row>
    <row r="1669">
      <c r="A1669" s="4" t="n"/>
      <c r="B1669" s="5">
        <f>IFERROR(MID(H1669,FIND("01",H1669)+2,14),"")</f>
        <v/>
      </c>
      <c r="C1669" s="4">
        <f>IF(A1669="","",IFERROR(VLOOKUP(B1669,TblArticles,2,FALSE),"GTIN inconnu"))</f>
        <v/>
      </c>
      <c r="D1669" s="5">
        <f>IF(A1669="","",IFERROR(VLOOKUP(B1669,TblArticles,3,FALSE),""))</f>
        <v/>
      </c>
      <c r="E1669" s="6">
        <f>IFERROR(DATE(2000+VALUE(MID(H1669,FIND("15",H1669,FIND("01",H1669)+16)+2,2)),VALUE(MID(H1669,FIND("15",H1669,FIND("01",H1669)+16)+4,2)),VALUE(MID(H1669,FIND("15",H1669,FIND("01",H1669)+16)+6,2))),"")</f>
        <v/>
      </c>
      <c r="F1669" s="5">
        <f>IFERROR(MID(H1669,FIND("10",H1669,FIND("15",H1669,FIND("01",H1669)+16)+8)+2,50),"")</f>
        <v/>
      </c>
      <c r="G1669" s="5" t="n"/>
      <c r="H1669" s="5">
        <f>SUBSTITUTE(SUBSTITUTE(SUBSTITUTE(SUBSTITUTE(A1669,"(",""),")","")," ",""),CHAR(29),"")</f>
        <v/>
      </c>
    </row>
    <row r="1670">
      <c r="A1670" s="7" t="n"/>
      <c r="B1670" s="8">
        <f>IFERROR(MID(H1670,FIND("01",H1670)+2,14),"")</f>
        <v/>
      </c>
      <c r="C1670" s="7">
        <f>IF(A1670="","",IFERROR(VLOOKUP(B1670,TblArticles,2,FALSE),"GTIN inconnu"))</f>
        <v/>
      </c>
      <c r="D1670" s="8">
        <f>IF(A1670="","",IFERROR(VLOOKUP(B1670,TblArticles,3,FALSE),""))</f>
        <v/>
      </c>
      <c r="E1670" s="9">
        <f>IFERROR(DATE(2000+VALUE(MID(H1670,FIND("15",H1670,FIND("01",H1670)+16)+2,2)),VALUE(MID(H1670,FIND("15",H1670,FIND("01",H1670)+16)+4,2)),VALUE(MID(H1670,FIND("15",H1670,FIND("01",H1670)+16)+6,2))),"")</f>
        <v/>
      </c>
      <c r="F1670" s="8">
        <f>IFERROR(MID(H1670,FIND("10",H1670,FIND("15",H1670,FIND("01",H1670)+16)+8)+2,50),"")</f>
        <v/>
      </c>
      <c r="G1670" s="8" t="n"/>
      <c r="H1670" s="8">
        <f>SUBSTITUTE(SUBSTITUTE(SUBSTITUTE(SUBSTITUTE(A1670,"(",""),")","")," ",""),CHAR(29),"")</f>
        <v/>
      </c>
    </row>
    <row r="1671">
      <c r="A1671" s="4" t="n"/>
      <c r="B1671" s="5">
        <f>IFERROR(MID(H1671,FIND("01",H1671)+2,14),"")</f>
        <v/>
      </c>
      <c r="C1671" s="4">
        <f>IF(A1671="","",IFERROR(VLOOKUP(B1671,TblArticles,2,FALSE),"GTIN inconnu"))</f>
        <v/>
      </c>
      <c r="D1671" s="5">
        <f>IF(A1671="","",IFERROR(VLOOKUP(B1671,TblArticles,3,FALSE),""))</f>
        <v/>
      </c>
      <c r="E1671" s="6">
        <f>IFERROR(DATE(2000+VALUE(MID(H1671,FIND("15",H1671,FIND("01",H1671)+16)+2,2)),VALUE(MID(H1671,FIND("15",H1671,FIND("01",H1671)+16)+4,2)),VALUE(MID(H1671,FIND("15",H1671,FIND("01",H1671)+16)+6,2))),"")</f>
        <v/>
      </c>
      <c r="F1671" s="5">
        <f>IFERROR(MID(H1671,FIND("10",H1671,FIND("15",H1671,FIND("01",H1671)+16)+8)+2,50),"")</f>
        <v/>
      </c>
      <c r="G1671" s="5" t="n"/>
      <c r="H1671" s="5">
        <f>SUBSTITUTE(SUBSTITUTE(SUBSTITUTE(SUBSTITUTE(A1671,"(",""),")","")," ",""),CHAR(29),"")</f>
        <v/>
      </c>
    </row>
    <row r="1672">
      <c r="A1672" s="7" t="n"/>
      <c r="B1672" s="8">
        <f>IFERROR(MID(H1672,FIND("01",H1672)+2,14),"")</f>
        <v/>
      </c>
      <c r="C1672" s="7">
        <f>IF(A1672="","",IFERROR(VLOOKUP(B1672,TblArticles,2,FALSE),"GTIN inconnu"))</f>
        <v/>
      </c>
      <c r="D1672" s="8">
        <f>IF(A1672="","",IFERROR(VLOOKUP(B1672,TblArticles,3,FALSE),""))</f>
        <v/>
      </c>
      <c r="E1672" s="9">
        <f>IFERROR(DATE(2000+VALUE(MID(H1672,FIND("15",H1672,FIND("01",H1672)+16)+2,2)),VALUE(MID(H1672,FIND("15",H1672,FIND("01",H1672)+16)+4,2)),VALUE(MID(H1672,FIND("15",H1672,FIND("01",H1672)+16)+6,2))),"")</f>
        <v/>
      </c>
      <c r="F1672" s="8">
        <f>IFERROR(MID(H1672,FIND("10",H1672,FIND("15",H1672,FIND("01",H1672)+16)+8)+2,50),"")</f>
        <v/>
      </c>
      <c r="G1672" s="8" t="n"/>
      <c r="H1672" s="8">
        <f>SUBSTITUTE(SUBSTITUTE(SUBSTITUTE(SUBSTITUTE(A1672,"(",""),")","")," ",""),CHAR(29),"")</f>
        <v/>
      </c>
    </row>
    <row r="1673">
      <c r="A1673" s="4" t="n"/>
      <c r="B1673" s="5">
        <f>IFERROR(MID(H1673,FIND("01",H1673)+2,14),"")</f>
        <v/>
      </c>
      <c r="C1673" s="4">
        <f>IF(A1673="","",IFERROR(VLOOKUP(B1673,TblArticles,2,FALSE),"GTIN inconnu"))</f>
        <v/>
      </c>
      <c r="D1673" s="5">
        <f>IF(A1673="","",IFERROR(VLOOKUP(B1673,TblArticles,3,FALSE),""))</f>
        <v/>
      </c>
      <c r="E1673" s="6">
        <f>IFERROR(DATE(2000+VALUE(MID(H1673,FIND("15",H1673,FIND("01",H1673)+16)+2,2)),VALUE(MID(H1673,FIND("15",H1673,FIND("01",H1673)+16)+4,2)),VALUE(MID(H1673,FIND("15",H1673,FIND("01",H1673)+16)+6,2))),"")</f>
        <v/>
      </c>
      <c r="F1673" s="5">
        <f>IFERROR(MID(H1673,FIND("10",H1673,FIND("15",H1673,FIND("01",H1673)+16)+8)+2,50),"")</f>
        <v/>
      </c>
      <c r="G1673" s="5" t="n"/>
      <c r="H1673" s="5">
        <f>SUBSTITUTE(SUBSTITUTE(SUBSTITUTE(SUBSTITUTE(A1673,"(",""),")","")," ",""),CHAR(29),"")</f>
        <v/>
      </c>
    </row>
    <row r="1674">
      <c r="A1674" s="7" t="n"/>
      <c r="B1674" s="8">
        <f>IFERROR(MID(H1674,FIND("01",H1674)+2,14),"")</f>
        <v/>
      </c>
      <c r="C1674" s="7">
        <f>IF(A1674="","",IFERROR(VLOOKUP(B1674,TblArticles,2,FALSE),"GTIN inconnu"))</f>
        <v/>
      </c>
      <c r="D1674" s="8">
        <f>IF(A1674="","",IFERROR(VLOOKUP(B1674,TblArticles,3,FALSE),""))</f>
        <v/>
      </c>
      <c r="E1674" s="9">
        <f>IFERROR(DATE(2000+VALUE(MID(H1674,FIND("15",H1674,FIND("01",H1674)+16)+2,2)),VALUE(MID(H1674,FIND("15",H1674,FIND("01",H1674)+16)+4,2)),VALUE(MID(H1674,FIND("15",H1674,FIND("01",H1674)+16)+6,2))),"")</f>
        <v/>
      </c>
      <c r="F1674" s="8">
        <f>IFERROR(MID(H1674,FIND("10",H1674,FIND("15",H1674,FIND("01",H1674)+16)+8)+2,50),"")</f>
        <v/>
      </c>
      <c r="G1674" s="8" t="n"/>
      <c r="H1674" s="8">
        <f>SUBSTITUTE(SUBSTITUTE(SUBSTITUTE(SUBSTITUTE(A1674,"(",""),")","")," ",""),CHAR(29),"")</f>
        <v/>
      </c>
    </row>
    <row r="1675">
      <c r="A1675" s="4" t="n"/>
      <c r="B1675" s="5">
        <f>IFERROR(MID(H1675,FIND("01",H1675)+2,14),"")</f>
        <v/>
      </c>
      <c r="C1675" s="4">
        <f>IF(A1675="","",IFERROR(VLOOKUP(B1675,TblArticles,2,FALSE),"GTIN inconnu"))</f>
        <v/>
      </c>
      <c r="D1675" s="5">
        <f>IF(A1675="","",IFERROR(VLOOKUP(B1675,TblArticles,3,FALSE),""))</f>
        <v/>
      </c>
      <c r="E1675" s="6">
        <f>IFERROR(DATE(2000+VALUE(MID(H1675,FIND("15",H1675,FIND("01",H1675)+16)+2,2)),VALUE(MID(H1675,FIND("15",H1675,FIND("01",H1675)+16)+4,2)),VALUE(MID(H1675,FIND("15",H1675,FIND("01",H1675)+16)+6,2))),"")</f>
        <v/>
      </c>
      <c r="F1675" s="5">
        <f>IFERROR(MID(H1675,FIND("10",H1675,FIND("15",H1675,FIND("01",H1675)+16)+8)+2,50),"")</f>
        <v/>
      </c>
      <c r="G1675" s="5" t="n"/>
      <c r="H1675" s="5">
        <f>SUBSTITUTE(SUBSTITUTE(SUBSTITUTE(SUBSTITUTE(A1675,"(",""),")","")," ",""),CHAR(29),"")</f>
        <v/>
      </c>
    </row>
    <row r="1676">
      <c r="A1676" s="7" t="n"/>
      <c r="B1676" s="8">
        <f>IFERROR(MID(H1676,FIND("01",H1676)+2,14),"")</f>
        <v/>
      </c>
      <c r="C1676" s="7">
        <f>IF(A1676="","",IFERROR(VLOOKUP(B1676,TblArticles,2,FALSE),"GTIN inconnu"))</f>
        <v/>
      </c>
      <c r="D1676" s="8">
        <f>IF(A1676="","",IFERROR(VLOOKUP(B1676,TblArticles,3,FALSE),""))</f>
        <v/>
      </c>
      <c r="E1676" s="9">
        <f>IFERROR(DATE(2000+VALUE(MID(H1676,FIND("15",H1676,FIND("01",H1676)+16)+2,2)),VALUE(MID(H1676,FIND("15",H1676,FIND("01",H1676)+16)+4,2)),VALUE(MID(H1676,FIND("15",H1676,FIND("01",H1676)+16)+6,2))),"")</f>
        <v/>
      </c>
      <c r="F1676" s="8">
        <f>IFERROR(MID(H1676,FIND("10",H1676,FIND("15",H1676,FIND("01",H1676)+16)+8)+2,50),"")</f>
        <v/>
      </c>
      <c r="G1676" s="8" t="n"/>
      <c r="H1676" s="8">
        <f>SUBSTITUTE(SUBSTITUTE(SUBSTITUTE(SUBSTITUTE(A1676,"(",""),")","")," ",""),CHAR(29),"")</f>
        <v/>
      </c>
    </row>
    <row r="1677">
      <c r="A1677" s="4" t="n"/>
      <c r="B1677" s="5">
        <f>IFERROR(MID(H1677,FIND("01",H1677)+2,14),"")</f>
        <v/>
      </c>
      <c r="C1677" s="4">
        <f>IF(A1677="","",IFERROR(VLOOKUP(B1677,TblArticles,2,FALSE),"GTIN inconnu"))</f>
        <v/>
      </c>
      <c r="D1677" s="5">
        <f>IF(A1677="","",IFERROR(VLOOKUP(B1677,TblArticles,3,FALSE),""))</f>
        <v/>
      </c>
      <c r="E1677" s="6">
        <f>IFERROR(DATE(2000+VALUE(MID(H1677,FIND("15",H1677,FIND("01",H1677)+16)+2,2)),VALUE(MID(H1677,FIND("15",H1677,FIND("01",H1677)+16)+4,2)),VALUE(MID(H1677,FIND("15",H1677,FIND("01",H1677)+16)+6,2))),"")</f>
        <v/>
      </c>
      <c r="F1677" s="5">
        <f>IFERROR(MID(H1677,FIND("10",H1677,FIND("15",H1677,FIND("01",H1677)+16)+8)+2,50),"")</f>
        <v/>
      </c>
      <c r="G1677" s="5" t="n"/>
      <c r="H1677" s="5">
        <f>SUBSTITUTE(SUBSTITUTE(SUBSTITUTE(SUBSTITUTE(A1677,"(",""),")","")," ",""),CHAR(29),"")</f>
        <v/>
      </c>
    </row>
    <row r="1678">
      <c r="A1678" s="7" t="n"/>
      <c r="B1678" s="8">
        <f>IFERROR(MID(H1678,FIND("01",H1678)+2,14),"")</f>
        <v/>
      </c>
      <c r="C1678" s="7">
        <f>IF(A1678="","",IFERROR(VLOOKUP(B1678,TblArticles,2,FALSE),"GTIN inconnu"))</f>
        <v/>
      </c>
      <c r="D1678" s="8">
        <f>IF(A1678="","",IFERROR(VLOOKUP(B1678,TblArticles,3,FALSE),""))</f>
        <v/>
      </c>
      <c r="E1678" s="9">
        <f>IFERROR(DATE(2000+VALUE(MID(H1678,FIND("15",H1678,FIND("01",H1678)+16)+2,2)),VALUE(MID(H1678,FIND("15",H1678,FIND("01",H1678)+16)+4,2)),VALUE(MID(H1678,FIND("15",H1678,FIND("01",H1678)+16)+6,2))),"")</f>
        <v/>
      </c>
      <c r="F1678" s="8">
        <f>IFERROR(MID(H1678,FIND("10",H1678,FIND("15",H1678,FIND("01",H1678)+16)+8)+2,50),"")</f>
        <v/>
      </c>
      <c r="G1678" s="8" t="n"/>
      <c r="H1678" s="8">
        <f>SUBSTITUTE(SUBSTITUTE(SUBSTITUTE(SUBSTITUTE(A1678,"(",""),")","")," ",""),CHAR(29),"")</f>
        <v/>
      </c>
    </row>
    <row r="1679">
      <c r="A1679" s="4" t="n"/>
      <c r="B1679" s="5">
        <f>IFERROR(MID(H1679,FIND("01",H1679)+2,14),"")</f>
        <v/>
      </c>
      <c r="C1679" s="4">
        <f>IF(A1679="","",IFERROR(VLOOKUP(B1679,TblArticles,2,FALSE),"GTIN inconnu"))</f>
        <v/>
      </c>
      <c r="D1679" s="5">
        <f>IF(A1679="","",IFERROR(VLOOKUP(B1679,TblArticles,3,FALSE),""))</f>
        <v/>
      </c>
      <c r="E1679" s="6">
        <f>IFERROR(DATE(2000+VALUE(MID(H1679,FIND("15",H1679,FIND("01",H1679)+16)+2,2)),VALUE(MID(H1679,FIND("15",H1679,FIND("01",H1679)+16)+4,2)),VALUE(MID(H1679,FIND("15",H1679,FIND("01",H1679)+16)+6,2))),"")</f>
        <v/>
      </c>
      <c r="F1679" s="5">
        <f>IFERROR(MID(H1679,FIND("10",H1679,FIND("15",H1679,FIND("01",H1679)+16)+8)+2,50),"")</f>
        <v/>
      </c>
      <c r="G1679" s="5" t="n"/>
      <c r="H1679" s="5">
        <f>SUBSTITUTE(SUBSTITUTE(SUBSTITUTE(SUBSTITUTE(A1679,"(",""),")","")," ",""),CHAR(29),"")</f>
        <v/>
      </c>
    </row>
    <row r="1680">
      <c r="A1680" s="7" t="n"/>
      <c r="B1680" s="8">
        <f>IFERROR(MID(H1680,FIND("01",H1680)+2,14),"")</f>
        <v/>
      </c>
      <c r="C1680" s="7">
        <f>IF(A1680="","",IFERROR(VLOOKUP(B1680,TblArticles,2,FALSE),"GTIN inconnu"))</f>
        <v/>
      </c>
      <c r="D1680" s="8">
        <f>IF(A1680="","",IFERROR(VLOOKUP(B1680,TblArticles,3,FALSE),""))</f>
        <v/>
      </c>
      <c r="E1680" s="9">
        <f>IFERROR(DATE(2000+VALUE(MID(H1680,FIND("15",H1680,FIND("01",H1680)+16)+2,2)),VALUE(MID(H1680,FIND("15",H1680,FIND("01",H1680)+16)+4,2)),VALUE(MID(H1680,FIND("15",H1680,FIND("01",H1680)+16)+6,2))),"")</f>
        <v/>
      </c>
      <c r="F1680" s="8">
        <f>IFERROR(MID(H1680,FIND("10",H1680,FIND("15",H1680,FIND("01",H1680)+16)+8)+2,50),"")</f>
        <v/>
      </c>
      <c r="G1680" s="8" t="n"/>
      <c r="H1680" s="8">
        <f>SUBSTITUTE(SUBSTITUTE(SUBSTITUTE(SUBSTITUTE(A1680,"(",""),")","")," ",""),CHAR(29),"")</f>
        <v/>
      </c>
    </row>
    <row r="1681">
      <c r="A1681" s="4" t="n"/>
      <c r="B1681" s="5">
        <f>IFERROR(MID(H1681,FIND("01",H1681)+2,14),"")</f>
        <v/>
      </c>
      <c r="C1681" s="4">
        <f>IF(A1681="","",IFERROR(VLOOKUP(B1681,TblArticles,2,FALSE),"GTIN inconnu"))</f>
        <v/>
      </c>
      <c r="D1681" s="5">
        <f>IF(A1681="","",IFERROR(VLOOKUP(B1681,TblArticles,3,FALSE),""))</f>
        <v/>
      </c>
      <c r="E1681" s="6">
        <f>IFERROR(DATE(2000+VALUE(MID(H1681,FIND("15",H1681,FIND("01",H1681)+16)+2,2)),VALUE(MID(H1681,FIND("15",H1681,FIND("01",H1681)+16)+4,2)),VALUE(MID(H1681,FIND("15",H1681,FIND("01",H1681)+16)+6,2))),"")</f>
        <v/>
      </c>
      <c r="F1681" s="5">
        <f>IFERROR(MID(H1681,FIND("10",H1681,FIND("15",H1681,FIND("01",H1681)+16)+8)+2,50),"")</f>
        <v/>
      </c>
      <c r="G1681" s="5" t="n"/>
      <c r="H1681" s="5">
        <f>SUBSTITUTE(SUBSTITUTE(SUBSTITUTE(SUBSTITUTE(A1681,"(",""),")","")," ",""),CHAR(29),"")</f>
        <v/>
      </c>
    </row>
    <row r="1682">
      <c r="A1682" s="7" t="n"/>
      <c r="B1682" s="8">
        <f>IFERROR(MID(H1682,FIND("01",H1682)+2,14),"")</f>
        <v/>
      </c>
      <c r="C1682" s="7">
        <f>IF(A1682="","",IFERROR(VLOOKUP(B1682,TblArticles,2,FALSE),"GTIN inconnu"))</f>
        <v/>
      </c>
      <c r="D1682" s="8">
        <f>IF(A1682="","",IFERROR(VLOOKUP(B1682,TblArticles,3,FALSE),""))</f>
        <v/>
      </c>
      <c r="E1682" s="9">
        <f>IFERROR(DATE(2000+VALUE(MID(H1682,FIND("15",H1682,FIND("01",H1682)+16)+2,2)),VALUE(MID(H1682,FIND("15",H1682,FIND("01",H1682)+16)+4,2)),VALUE(MID(H1682,FIND("15",H1682,FIND("01",H1682)+16)+6,2))),"")</f>
        <v/>
      </c>
      <c r="F1682" s="8">
        <f>IFERROR(MID(H1682,FIND("10",H1682,FIND("15",H1682,FIND("01",H1682)+16)+8)+2,50),"")</f>
        <v/>
      </c>
      <c r="G1682" s="8" t="n"/>
      <c r="H1682" s="8">
        <f>SUBSTITUTE(SUBSTITUTE(SUBSTITUTE(SUBSTITUTE(A1682,"(",""),")","")," ",""),CHAR(29),"")</f>
        <v/>
      </c>
    </row>
    <row r="1683">
      <c r="A1683" s="4" t="n"/>
      <c r="B1683" s="5">
        <f>IFERROR(MID(H1683,FIND("01",H1683)+2,14),"")</f>
        <v/>
      </c>
      <c r="C1683" s="4">
        <f>IF(A1683="","",IFERROR(VLOOKUP(B1683,TblArticles,2,FALSE),"GTIN inconnu"))</f>
        <v/>
      </c>
      <c r="D1683" s="5">
        <f>IF(A1683="","",IFERROR(VLOOKUP(B1683,TblArticles,3,FALSE),""))</f>
        <v/>
      </c>
      <c r="E1683" s="6">
        <f>IFERROR(DATE(2000+VALUE(MID(H1683,FIND("15",H1683,FIND("01",H1683)+16)+2,2)),VALUE(MID(H1683,FIND("15",H1683,FIND("01",H1683)+16)+4,2)),VALUE(MID(H1683,FIND("15",H1683,FIND("01",H1683)+16)+6,2))),"")</f>
        <v/>
      </c>
      <c r="F1683" s="5">
        <f>IFERROR(MID(H1683,FIND("10",H1683,FIND("15",H1683,FIND("01",H1683)+16)+8)+2,50),"")</f>
        <v/>
      </c>
      <c r="G1683" s="5" t="n"/>
      <c r="H1683" s="5">
        <f>SUBSTITUTE(SUBSTITUTE(SUBSTITUTE(SUBSTITUTE(A1683,"(",""),")","")," ",""),CHAR(29),"")</f>
        <v/>
      </c>
    </row>
    <row r="1684">
      <c r="A1684" s="7" t="n"/>
      <c r="B1684" s="8">
        <f>IFERROR(MID(H1684,FIND("01",H1684)+2,14),"")</f>
        <v/>
      </c>
      <c r="C1684" s="7">
        <f>IF(A1684="","",IFERROR(VLOOKUP(B1684,TblArticles,2,FALSE),"GTIN inconnu"))</f>
        <v/>
      </c>
      <c r="D1684" s="8">
        <f>IF(A1684="","",IFERROR(VLOOKUP(B1684,TblArticles,3,FALSE),""))</f>
        <v/>
      </c>
      <c r="E1684" s="9">
        <f>IFERROR(DATE(2000+VALUE(MID(H1684,FIND("15",H1684,FIND("01",H1684)+16)+2,2)),VALUE(MID(H1684,FIND("15",H1684,FIND("01",H1684)+16)+4,2)),VALUE(MID(H1684,FIND("15",H1684,FIND("01",H1684)+16)+6,2))),"")</f>
        <v/>
      </c>
      <c r="F1684" s="8">
        <f>IFERROR(MID(H1684,FIND("10",H1684,FIND("15",H1684,FIND("01",H1684)+16)+8)+2,50),"")</f>
        <v/>
      </c>
      <c r="G1684" s="8" t="n"/>
      <c r="H1684" s="8">
        <f>SUBSTITUTE(SUBSTITUTE(SUBSTITUTE(SUBSTITUTE(A1684,"(",""),")","")," ",""),CHAR(29),"")</f>
        <v/>
      </c>
    </row>
    <row r="1685">
      <c r="A1685" s="4" t="n"/>
      <c r="B1685" s="5">
        <f>IFERROR(MID(H1685,FIND("01",H1685)+2,14),"")</f>
        <v/>
      </c>
      <c r="C1685" s="4">
        <f>IF(A1685="","",IFERROR(VLOOKUP(B1685,TblArticles,2,FALSE),"GTIN inconnu"))</f>
        <v/>
      </c>
      <c r="D1685" s="5">
        <f>IF(A1685="","",IFERROR(VLOOKUP(B1685,TblArticles,3,FALSE),""))</f>
        <v/>
      </c>
      <c r="E1685" s="6">
        <f>IFERROR(DATE(2000+VALUE(MID(H1685,FIND("15",H1685,FIND("01",H1685)+16)+2,2)),VALUE(MID(H1685,FIND("15",H1685,FIND("01",H1685)+16)+4,2)),VALUE(MID(H1685,FIND("15",H1685,FIND("01",H1685)+16)+6,2))),"")</f>
        <v/>
      </c>
      <c r="F1685" s="5">
        <f>IFERROR(MID(H1685,FIND("10",H1685,FIND("15",H1685,FIND("01",H1685)+16)+8)+2,50),"")</f>
        <v/>
      </c>
      <c r="G1685" s="5" t="n"/>
      <c r="H1685" s="5">
        <f>SUBSTITUTE(SUBSTITUTE(SUBSTITUTE(SUBSTITUTE(A1685,"(",""),")","")," ",""),CHAR(29),"")</f>
        <v/>
      </c>
    </row>
    <row r="1686">
      <c r="A1686" s="7" t="n"/>
      <c r="B1686" s="8">
        <f>IFERROR(MID(H1686,FIND("01",H1686)+2,14),"")</f>
        <v/>
      </c>
      <c r="C1686" s="7">
        <f>IF(A1686="","",IFERROR(VLOOKUP(B1686,TblArticles,2,FALSE),"GTIN inconnu"))</f>
        <v/>
      </c>
      <c r="D1686" s="8">
        <f>IF(A1686="","",IFERROR(VLOOKUP(B1686,TblArticles,3,FALSE),""))</f>
        <v/>
      </c>
      <c r="E1686" s="9">
        <f>IFERROR(DATE(2000+VALUE(MID(H1686,FIND("15",H1686,FIND("01",H1686)+16)+2,2)),VALUE(MID(H1686,FIND("15",H1686,FIND("01",H1686)+16)+4,2)),VALUE(MID(H1686,FIND("15",H1686,FIND("01",H1686)+16)+6,2))),"")</f>
        <v/>
      </c>
      <c r="F1686" s="8">
        <f>IFERROR(MID(H1686,FIND("10",H1686,FIND("15",H1686,FIND("01",H1686)+16)+8)+2,50),"")</f>
        <v/>
      </c>
      <c r="G1686" s="8" t="n"/>
      <c r="H1686" s="8">
        <f>SUBSTITUTE(SUBSTITUTE(SUBSTITUTE(SUBSTITUTE(A1686,"(",""),")","")," ",""),CHAR(29),"")</f>
        <v/>
      </c>
    </row>
    <row r="1687">
      <c r="A1687" s="4" t="n"/>
      <c r="B1687" s="5">
        <f>IFERROR(MID(H1687,FIND("01",H1687)+2,14),"")</f>
        <v/>
      </c>
      <c r="C1687" s="4">
        <f>IF(A1687="","",IFERROR(VLOOKUP(B1687,TblArticles,2,FALSE),"GTIN inconnu"))</f>
        <v/>
      </c>
      <c r="D1687" s="5">
        <f>IF(A1687="","",IFERROR(VLOOKUP(B1687,TblArticles,3,FALSE),""))</f>
        <v/>
      </c>
      <c r="E1687" s="6">
        <f>IFERROR(DATE(2000+VALUE(MID(H1687,FIND("15",H1687,FIND("01",H1687)+16)+2,2)),VALUE(MID(H1687,FIND("15",H1687,FIND("01",H1687)+16)+4,2)),VALUE(MID(H1687,FIND("15",H1687,FIND("01",H1687)+16)+6,2))),"")</f>
        <v/>
      </c>
      <c r="F1687" s="5">
        <f>IFERROR(MID(H1687,FIND("10",H1687,FIND("15",H1687,FIND("01",H1687)+16)+8)+2,50),"")</f>
        <v/>
      </c>
      <c r="G1687" s="5" t="n"/>
      <c r="H1687" s="5">
        <f>SUBSTITUTE(SUBSTITUTE(SUBSTITUTE(SUBSTITUTE(A1687,"(",""),")","")," ",""),CHAR(29),"")</f>
        <v/>
      </c>
    </row>
    <row r="1688">
      <c r="A1688" s="7" t="n"/>
      <c r="B1688" s="8">
        <f>IFERROR(MID(H1688,FIND("01",H1688)+2,14),"")</f>
        <v/>
      </c>
      <c r="C1688" s="7">
        <f>IF(A1688="","",IFERROR(VLOOKUP(B1688,TblArticles,2,FALSE),"GTIN inconnu"))</f>
        <v/>
      </c>
      <c r="D1688" s="8">
        <f>IF(A1688="","",IFERROR(VLOOKUP(B1688,TblArticles,3,FALSE),""))</f>
        <v/>
      </c>
      <c r="E1688" s="9">
        <f>IFERROR(DATE(2000+VALUE(MID(H1688,FIND("15",H1688,FIND("01",H1688)+16)+2,2)),VALUE(MID(H1688,FIND("15",H1688,FIND("01",H1688)+16)+4,2)),VALUE(MID(H1688,FIND("15",H1688,FIND("01",H1688)+16)+6,2))),"")</f>
        <v/>
      </c>
      <c r="F1688" s="8">
        <f>IFERROR(MID(H1688,FIND("10",H1688,FIND("15",H1688,FIND("01",H1688)+16)+8)+2,50),"")</f>
        <v/>
      </c>
      <c r="G1688" s="8" t="n"/>
      <c r="H1688" s="8">
        <f>SUBSTITUTE(SUBSTITUTE(SUBSTITUTE(SUBSTITUTE(A1688,"(",""),")","")," ",""),CHAR(29),"")</f>
        <v/>
      </c>
    </row>
    <row r="1689">
      <c r="A1689" s="4" t="n"/>
      <c r="B1689" s="5">
        <f>IFERROR(MID(H1689,FIND("01",H1689)+2,14),"")</f>
        <v/>
      </c>
      <c r="C1689" s="4">
        <f>IF(A1689="","",IFERROR(VLOOKUP(B1689,TblArticles,2,FALSE),"GTIN inconnu"))</f>
        <v/>
      </c>
      <c r="D1689" s="5">
        <f>IF(A1689="","",IFERROR(VLOOKUP(B1689,TblArticles,3,FALSE),""))</f>
        <v/>
      </c>
      <c r="E1689" s="6">
        <f>IFERROR(DATE(2000+VALUE(MID(H1689,FIND("15",H1689,FIND("01",H1689)+16)+2,2)),VALUE(MID(H1689,FIND("15",H1689,FIND("01",H1689)+16)+4,2)),VALUE(MID(H1689,FIND("15",H1689,FIND("01",H1689)+16)+6,2))),"")</f>
        <v/>
      </c>
      <c r="F1689" s="5">
        <f>IFERROR(MID(H1689,FIND("10",H1689,FIND("15",H1689,FIND("01",H1689)+16)+8)+2,50),"")</f>
        <v/>
      </c>
      <c r="G1689" s="5" t="n"/>
      <c r="H1689" s="5">
        <f>SUBSTITUTE(SUBSTITUTE(SUBSTITUTE(SUBSTITUTE(A1689,"(",""),")","")," ",""),CHAR(29),"")</f>
        <v/>
      </c>
    </row>
    <row r="1690">
      <c r="A1690" s="7" t="n"/>
      <c r="B1690" s="8">
        <f>IFERROR(MID(H1690,FIND("01",H1690)+2,14),"")</f>
        <v/>
      </c>
      <c r="C1690" s="7">
        <f>IF(A1690="","",IFERROR(VLOOKUP(B1690,TblArticles,2,FALSE),"GTIN inconnu"))</f>
        <v/>
      </c>
      <c r="D1690" s="8">
        <f>IF(A1690="","",IFERROR(VLOOKUP(B1690,TblArticles,3,FALSE),""))</f>
        <v/>
      </c>
      <c r="E1690" s="9">
        <f>IFERROR(DATE(2000+VALUE(MID(H1690,FIND("15",H1690,FIND("01",H1690)+16)+2,2)),VALUE(MID(H1690,FIND("15",H1690,FIND("01",H1690)+16)+4,2)),VALUE(MID(H1690,FIND("15",H1690,FIND("01",H1690)+16)+6,2))),"")</f>
        <v/>
      </c>
      <c r="F1690" s="8">
        <f>IFERROR(MID(H1690,FIND("10",H1690,FIND("15",H1690,FIND("01",H1690)+16)+8)+2,50),"")</f>
        <v/>
      </c>
      <c r="G1690" s="8" t="n"/>
      <c r="H1690" s="8">
        <f>SUBSTITUTE(SUBSTITUTE(SUBSTITUTE(SUBSTITUTE(A1690,"(",""),")","")," ",""),CHAR(29),"")</f>
        <v/>
      </c>
    </row>
    <row r="1691">
      <c r="A1691" s="4" t="n"/>
      <c r="B1691" s="5">
        <f>IFERROR(MID(H1691,FIND("01",H1691)+2,14),"")</f>
        <v/>
      </c>
      <c r="C1691" s="4">
        <f>IF(A1691="","",IFERROR(VLOOKUP(B1691,TblArticles,2,FALSE),"GTIN inconnu"))</f>
        <v/>
      </c>
      <c r="D1691" s="5">
        <f>IF(A1691="","",IFERROR(VLOOKUP(B1691,TblArticles,3,FALSE),""))</f>
        <v/>
      </c>
      <c r="E1691" s="6">
        <f>IFERROR(DATE(2000+VALUE(MID(H1691,FIND("15",H1691,FIND("01",H1691)+16)+2,2)),VALUE(MID(H1691,FIND("15",H1691,FIND("01",H1691)+16)+4,2)),VALUE(MID(H1691,FIND("15",H1691,FIND("01",H1691)+16)+6,2))),"")</f>
        <v/>
      </c>
      <c r="F1691" s="5">
        <f>IFERROR(MID(H1691,FIND("10",H1691,FIND("15",H1691,FIND("01",H1691)+16)+8)+2,50),"")</f>
        <v/>
      </c>
      <c r="G1691" s="5" t="n"/>
      <c r="H1691" s="5">
        <f>SUBSTITUTE(SUBSTITUTE(SUBSTITUTE(SUBSTITUTE(A1691,"(",""),")","")," ",""),CHAR(29),"")</f>
        <v/>
      </c>
    </row>
    <row r="1692">
      <c r="A1692" s="7" t="n"/>
      <c r="B1692" s="8">
        <f>IFERROR(MID(H1692,FIND("01",H1692)+2,14),"")</f>
        <v/>
      </c>
      <c r="C1692" s="7">
        <f>IF(A1692="","",IFERROR(VLOOKUP(B1692,TblArticles,2,FALSE),"GTIN inconnu"))</f>
        <v/>
      </c>
      <c r="D1692" s="8">
        <f>IF(A1692="","",IFERROR(VLOOKUP(B1692,TblArticles,3,FALSE),""))</f>
        <v/>
      </c>
      <c r="E1692" s="9">
        <f>IFERROR(DATE(2000+VALUE(MID(H1692,FIND("15",H1692,FIND("01",H1692)+16)+2,2)),VALUE(MID(H1692,FIND("15",H1692,FIND("01",H1692)+16)+4,2)),VALUE(MID(H1692,FIND("15",H1692,FIND("01",H1692)+16)+6,2))),"")</f>
        <v/>
      </c>
      <c r="F1692" s="8">
        <f>IFERROR(MID(H1692,FIND("10",H1692,FIND("15",H1692,FIND("01",H1692)+16)+8)+2,50),"")</f>
        <v/>
      </c>
      <c r="G1692" s="8" t="n"/>
      <c r="H1692" s="8">
        <f>SUBSTITUTE(SUBSTITUTE(SUBSTITUTE(SUBSTITUTE(A1692,"(",""),")","")," ",""),CHAR(29),"")</f>
        <v/>
      </c>
    </row>
    <row r="1693">
      <c r="A1693" s="4" t="n"/>
      <c r="B1693" s="5">
        <f>IFERROR(MID(H1693,FIND("01",H1693)+2,14),"")</f>
        <v/>
      </c>
      <c r="C1693" s="4">
        <f>IF(A1693="","",IFERROR(VLOOKUP(B1693,TblArticles,2,FALSE),"GTIN inconnu"))</f>
        <v/>
      </c>
      <c r="D1693" s="5">
        <f>IF(A1693="","",IFERROR(VLOOKUP(B1693,TblArticles,3,FALSE),""))</f>
        <v/>
      </c>
      <c r="E1693" s="6">
        <f>IFERROR(DATE(2000+VALUE(MID(H1693,FIND("15",H1693,FIND("01",H1693)+16)+2,2)),VALUE(MID(H1693,FIND("15",H1693,FIND("01",H1693)+16)+4,2)),VALUE(MID(H1693,FIND("15",H1693,FIND("01",H1693)+16)+6,2))),"")</f>
        <v/>
      </c>
      <c r="F1693" s="5">
        <f>IFERROR(MID(H1693,FIND("10",H1693,FIND("15",H1693,FIND("01",H1693)+16)+8)+2,50),"")</f>
        <v/>
      </c>
      <c r="G1693" s="5" t="n"/>
      <c r="H1693" s="5">
        <f>SUBSTITUTE(SUBSTITUTE(SUBSTITUTE(SUBSTITUTE(A1693,"(",""),")","")," ",""),CHAR(29),"")</f>
        <v/>
      </c>
    </row>
    <row r="1694">
      <c r="A1694" s="7" t="n"/>
      <c r="B1694" s="8">
        <f>IFERROR(MID(H1694,FIND("01",H1694)+2,14),"")</f>
        <v/>
      </c>
      <c r="C1694" s="7">
        <f>IF(A1694="","",IFERROR(VLOOKUP(B1694,TblArticles,2,FALSE),"GTIN inconnu"))</f>
        <v/>
      </c>
      <c r="D1694" s="8">
        <f>IF(A1694="","",IFERROR(VLOOKUP(B1694,TblArticles,3,FALSE),""))</f>
        <v/>
      </c>
      <c r="E1694" s="9">
        <f>IFERROR(DATE(2000+VALUE(MID(H1694,FIND("15",H1694,FIND("01",H1694)+16)+2,2)),VALUE(MID(H1694,FIND("15",H1694,FIND("01",H1694)+16)+4,2)),VALUE(MID(H1694,FIND("15",H1694,FIND("01",H1694)+16)+6,2))),"")</f>
        <v/>
      </c>
      <c r="F1694" s="8">
        <f>IFERROR(MID(H1694,FIND("10",H1694,FIND("15",H1694,FIND("01",H1694)+16)+8)+2,50),"")</f>
        <v/>
      </c>
      <c r="G1694" s="8" t="n"/>
      <c r="H1694" s="8">
        <f>SUBSTITUTE(SUBSTITUTE(SUBSTITUTE(SUBSTITUTE(A1694,"(",""),")","")," ",""),CHAR(29),"")</f>
        <v/>
      </c>
    </row>
    <row r="1695">
      <c r="A1695" s="4" t="n"/>
      <c r="B1695" s="5">
        <f>IFERROR(MID(H1695,FIND("01",H1695)+2,14),"")</f>
        <v/>
      </c>
      <c r="C1695" s="4">
        <f>IF(A1695="","",IFERROR(VLOOKUP(B1695,TblArticles,2,FALSE),"GTIN inconnu"))</f>
        <v/>
      </c>
      <c r="D1695" s="5">
        <f>IF(A1695="","",IFERROR(VLOOKUP(B1695,TblArticles,3,FALSE),""))</f>
        <v/>
      </c>
      <c r="E1695" s="6">
        <f>IFERROR(DATE(2000+VALUE(MID(H1695,FIND("15",H1695,FIND("01",H1695)+16)+2,2)),VALUE(MID(H1695,FIND("15",H1695,FIND("01",H1695)+16)+4,2)),VALUE(MID(H1695,FIND("15",H1695,FIND("01",H1695)+16)+6,2))),"")</f>
        <v/>
      </c>
      <c r="F1695" s="5">
        <f>IFERROR(MID(H1695,FIND("10",H1695,FIND("15",H1695,FIND("01",H1695)+16)+8)+2,50),"")</f>
        <v/>
      </c>
      <c r="G1695" s="5" t="n"/>
      <c r="H1695" s="5">
        <f>SUBSTITUTE(SUBSTITUTE(SUBSTITUTE(SUBSTITUTE(A1695,"(",""),")","")," ",""),CHAR(29),"")</f>
        <v/>
      </c>
    </row>
    <row r="1696">
      <c r="A1696" s="7" t="n"/>
      <c r="B1696" s="8">
        <f>IFERROR(MID(H1696,FIND("01",H1696)+2,14),"")</f>
        <v/>
      </c>
      <c r="C1696" s="7">
        <f>IF(A1696="","",IFERROR(VLOOKUP(B1696,TblArticles,2,FALSE),"GTIN inconnu"))</f>
        <v/>
      </c>
      <c r="D1696" s="8">
        <f>IF(A1696="","",IFERROR(VLOOKUP(B1696,TblArticles,3,FALSE),""))</f>
        <v/>
      </c>
      <c r="E1696" s="9">
        <f>IFERROR(DATE(2000+VALUE(MID(H1696,FIND("15",H1696,FIND("01",H1696)+16)+2,2)),VALUE(MID(H1696,FIND("15",H1696,FIND("01",H1696)+16)+4,2)),VALUE(MID(H1696,FIND("15",H1696,FIND("01",H1696)+16)+6,2))),"")</f>
        <v/>
      </c>
      <c r="F1696" s="8">
        <f>IFERROR(MID(H1696,FIND("10",H1696,FIND("15",H1696,FIND("01",H1696)+16)+8)+2,50),"")</f>
        <v/>
      </c>
      <c r="G1696" s="8" t="n"/>
      <c r="H1696" s="8">
        <f>SUBSTITUTE(SUBSTITUTE(SUBSTITUTE(SUBSTITUTE(A1696,"(",""),")","")," ",""),CHAR(29),"")</f>
        <v/>
      </c>
    </row>
    <row r="1697">
      <c r="A1697" s="4" t="n"/>
      <c r="B1697" s="5">
        <f>IFERROR(MID(H1697,FIND("01",H1697)+2,14),"")</f>
        <v/>
      </c>
      <c r="C1697" s="4">
        <f>IF(A1697="","",IFERROR(VLOOKUP(B1697,TblArticles,2,FALSE),"GTIN inconnu"))</f>
        <v/>
      </c>
      <c r="D1697" s="5">
        <f>IF(A1697="","",IFERROR(VLOOKUP(B1697,TblArticles,3,FALSE),""))</f>
        <v/>
      </c>
      <c r="E1697" s="6">
        <f>IFERROR(DATE(2000+VALUE(MID(H1697,FIND("15",H1697,FIND("01",H1697)+16)+2,2)),VALUE(MID(H1697,FIND("15",H1697,FIND("01",H1697)+16)+4,2)),VALUE(MID(H1697,FIND("15",H1697,FIND("01",H1697)+16)+6,2))),"")</f>
        <v/>
      </c>
      <c r="F1697" s="5">
        <f>IFERROR(MID(H1697,FIND("10",H1697,FIND("15",H1697,FIND("01",H1697)+16)+8)+2,50),"")</f>
        <v/>
      </c>
      <c r="G1697" s="5" t="n"/>
      <c r="H1697" s="5">
        <f>SUBSTITUTE(SUBSTITUTE(SUBSTITUTE(SUBSTITUTE(A1697,"(",""),")","")," ",""),CHAR(29),"")</f>
        <v/>
      </c>
    </row>
    <row r="1698">
      <c r="A1698" s="7" t="n"/>
      <c r="B1698" s="8">
        <f>IFERROR(MID(H1698,FIND("01",H1698)+2,14),"")</f>
        <v/>
      </c>
      <c r="C1698" s="7">
        <f>IF(A1698="","",IFERROR(VLOOKUP(B1698,TblArticles,2,FALSE),"GTIN inconnu"))</f>
        <v/>
      </c>
      <c r="D1698" s="8">
        <f>IF(A1698="","",IFERROR(VLOOKUP(B1698,TblArticles,3,FALSE),""))</f>
        <v/>
      </c>
      <c r="E1698" s="9">
        <f>IFERROR(DATE(2000+VALUE(MID(H1698,FIND("15",H1698,FIND("01",H1698)+16)+2,2)),VALUE(MID(H1698,FIND("15",H1698,FIND("01",H1698)+16)+4,2)),VALUE(MID(H1698,FIND("15",H1698,FIND("01",H1698)+16)+6,2))),"")</f>
        <v/>
      </c>
      <c r="F1698" s="8">
        <f>IFERROR(MID(H1698,FIND("10",H1698,FIND("15",H1698,FIND("01",H1698)+16)+8)+2,50),"")</f>
        <v/>
      </c>
      <c r="G1698" s="8" t="n"/>
      <c r="H1698" s="8">
        <f>SUBSTITUTE(SUBSTITUTE(SUBSTITUTE(SUBSTITUTE(A1698,"(",""),")","")," ",""),CHAR(29),"")</f>
        <v/>
      </c>
    </row>
    <row r="1699">
      <c r="A1699" s="4" t="n"/>
      <c r="B1699" s="5">
        <f>IFERROR(MID(H1699,FIND("01",H1699)+2,14),"")</f>
        <v/>
      </c>
      <c r="C1699" s="4">
        <f>IF(A1699="","",IFERROR(VLOOKUP(B1699,TblArticles,2,FALSE),"GTIN inconnu"))</f>
        <v/>
      </c>
      <c r="D1699" s="5">
        <f>IF(A1699="","",IFERROR(VLOOKUP(B1699,TblArticles,3,FALSE),""))</f>
        <v/>
      </c>
      <c r="E1699" s="6">
        <f>IFERROR(DATE(2000+VALUE(MID(H1699,FIND("15",H1699,FIND("01",H1699)+16)+2,2)),VALUE(MID(H1699,FIND("15",H1699,FIND("01",H1699)+16)+4,2)),VALUE(MID(H1699,FIND("15",H1699,FIND("01",H1699)+16)+6,2))),"")</f>
        <v/>
      </c>
      <c r="F1699" s="5">
        <f>IFERROR(MID(H1699,FIND("10",H1699,FIND("15",H1699,FIND("01",H1699)+16)+8)+2,50),"")</f>
        <v/>
      </c>
      <c r="G1699" s="5" t="n"/>
      <c r="H1699" s="5">
        <f>SUBSTITUTE(SUBSTITUTE(SUBSTITUTE(SUBSTITUTE(A1699,"(",""),")","")," ",""),CHAR(29),"")</f>
        <v/>
      </c>
    </row>
    <row r="1700">
      <c r="A1700" s="7" t="n"/>
      <c r="B1700" s="8">
        <f>IFERROR(MID(H1700,FIND("01",H1700)+2,14),"")</f>
        <v/>
      </c>
      <c r="C1700" s="7">
        <f>IF(A1700="","",IFERROR(VLOOKUP(B1700,TblArticles,2,FALSE),"GTIN inconnu"))</f>
        <v/>
      </c>
      <c r="D1700" s="8">
        <f>IF(A1700="","",IFERROR(VLOOKUP(B1700,TblArticles,3,FALSE),""))</f>
        <v/>
      </c>
      <c r="E1700" s="9">
        <f>IFERROR(DATE(2000+VALUE(MID(H1700,FIND("15",H1700,FIND("01",H1700)+16)+2,2)),VALUE(MID(H1700,FIND("15",H1700,FIND("01",H1700)+16)+4,2)),VALUE(MID(H1700,FIND("15",H1700,FIND("01",H1700)+16)+6,2))),"")</f>
        <v/>
      </c>
      <c r="F1700" s="8">
        <f>IFERROR(MID(H1700,FIND("10",H1700,FIND("15",H1700,FIND("01",H1700)+16)+8)+2,50),"")</f>
        <v/>
      </c>
      <c r="G1700" s="8" t="n"/>
      <c r="H1700" s="8">
        <f>SUBSTITUTE(SUBSTITUTE(SUBSTITUTE(SUBSTITUTE(A1700,"(",""),")","")," ",""),CHAR(29),"")</f>
        <v/>
      </c>
    </row>
    <row r="1701">
      <c r="A1701" s="4" t="n"/>
      <c r="B1701" s="5">
        <f>IFERROR(MID(H1701,FIND("01",H1701)+2,14),"")</f>
        <v/>
      </c>
      <c r="C1701" s="4">
        <f>IF(A1701="","",IFERROR(VLOOKUP(B1701,TblArticles,2,FALSE),"GTIN inconnu"))</f>
        <v/>
      </c>
      <c r="D1701" s="5">
        <f>IF(A1701="","",IFERROR(VLOOKUP(B1701,TblArticles,3,FALSE),""))</f>
        <v/>
      </c>
      <c r="E1701" s="6">
        <f>IFERROR(DATE(2000+VALUE(MID(H1701,FIND("15",H1701,FIND("01",H1701)+16)+2,2)),VALUE(MID(H1701,FIND("15",H1701,FIND("01",H1701)+16)+4,2)),VALUE(MID(H1701,FIND("15",H1701,FIND("01",H1701)+16)+6,2))),"")</f>
        <v/>
      </c>
      <c r="F1701" s="5">
        <f>IFERROR(MID(H1701,FIND("10",H1701,FIND("15",H1701,FIND("01",H1701)+16)+8)+2,50),"")</f>
        <v/>
      </c>
      <c r="G1701" s="5" t="n"/>
      <c r="H1701" s="5">
        <f>SUBSTITUTE(SUBSTITUTE(SUBSTITUTE(SUBSTITUTE(A1701,"(",""),")","")," ",""),CHAR(29),"")</f>
        <v/>
      </c>
    </row>
    <row r="1702">
      <c r="A1702" s="7" t="n"/>
      <c r="B1702" s="8">
        <f>IFERROR(MID(H1702,FIND("01",H1702)+2,14),"")</f>
        <v/>
      </c>
      <c r="C1702" s="7">
        <f>IF(A1702="","",IFERROR(VLOOKUP(B1702,TblArticles,2,FALSE),"GTIN inconnu"))</f>
        <v/>
      </c>
      <c r="D1702" s="8">
        <f>IF(A1702="","",IFERROR(VLOOKUP(B1702,TblArticles,3,FALSE),""))</f>
        <v/>
      </c>
      <c r="E1702" s="9">
        <f>IFERROR(DATE(2000+VALUE(MID(H1702,FIND("15",H1702,FIND("01",H1702)+16)+2,2)),VALUE(MID(H1702,FIND("15",H1702,FIND("01",H1702)+16)+4,2)),VALUE(MID(H1702,FIND("15",H1702,FIND("01",H1702)+16)+6,2))),"")</f>
        <v/>
      </c>
      <c r="F1702" s="8">
        <f>IFERROR(MID(H1702,FIND("10",H1702,FIND("15",H1702,FIND("01",H1702)+16)+8)+2,50),"")</f>
        <v/>
      </c>
      <c r="G1702" s="8" t="n"/>
      <c r="H1702" s="8">
        <f>SUBSTITUTE(SUBSTITUTE(SUBSTITUTE(SUBSTITUTE(A1702,"(",""),")","")," ",""),CHAR(29),"")</f>
        <v/>
      </c>
    </row>
    <row r="1703">
      <c r="A1703" s="4" t="n"/>
      <c r="B1703" s="5">
        <f>IFERROR(MID(H1703,FIND("01",H1703)+2,14),"")</f>
        <v/>
      </c>
      <c r="C1703" s="4">
        <f>IF(A1703="","",IFERROR(VLOOKUP(B1703,TblArticles,2,FALSE),"GTIN inconnu"))</f>
        <v/>
      </c>
      <c r="D1703" s="5">
        <f>IF(A1703="","",IFERROR(VLOOKUP(B1703,TblArticles,3,FALSE),""))</f>
        <v/>
      </c>
      <c r="E1703" s="6">
        <f>IFERROR(DATE(2000+VALUE(MID(H1703,FIND("15",H1703,FIND("01",H1703)+16)+2,2)),VALUE(MID(H1703,FIND("15",H1703,FIND("01",H1703)+16)+4,2)),VALUE(MID(H1703,FIND("15",H1703,FIND("01",H1703)+16)+6,2))),"")</f>
        <v/>
      </c>
      <c r="F1703" s="5">
        <f>IFERROR(MID(H1703,FIND("10",H1703,FIND("15",H1703,FIND("01",H1703)+16)+8)+2,50),"")</f>
        <v/>
      </c>
      <c r="G1703" s="5" t="n"/>
      <c r="H1703" s="5">
        <f>SUBSTITUTE(SUBSTITUTE(SUBSTITUTE(SUBSTITUTE(A1703,"(",""),")","")," ",""),CHAR(29),"")</f>
        <v/>
      </c>
    </row>
    <row r="1704">
      <c r="A1704" s="7" t="n"/>
      <c r="B1704" s="8">
        <f>IFERROR(MID(H1704,FIND("01",H1704)+2,14),"")</f>
        <v/>
      </c>
      <c r="C1704" s="7">
        <f>IF(A1704="","",IFERROR(VLOOKUP(B1704,TblArticles,2,FALSE),"GTIN inconnu"))</f>
        <v/>
      </c>
      <c r="D1704" s="8">
        <f>IF(A1704="","",IFERROR(VLOOKUP(B1704,TblArticles,3,FALSE),""))</f>
        <v/>
      </c>
      <c r="E1704" s="9">
        <f>IFERROR(DATE(2000+VALUE(MID(H1704,FIND("15",H1704,FIND("01",H1704)+16)+2,2)),VALUE(MID(H1704,FIND("15",H1704,FIND("01",H1704)+16)+4,2)),VALUE(MID(H1704,FIND("15",H1704,FIND("01",H1704)+16)+6,2))),"")</f>
        <v/>
      </c>
      <c r="F1704" s="8">
        <f>IFERROR(MID(H1704,FIND("10",H1704,FIND("15",H1704,FIND("01",H1704)+16)+8)+2,50),"")</f>
        <v/>
      </c>
      <c r="G1704" s="8" t="n"/>
      <c r="H1704" s="8">
        <f>SUBSTITUTE(SUBSTITUTE(SUBSTITUTE(SUBSTITUTE(A1704,"(",""),")","")," ",""),CHAR(29),"")</f>
        <v/>
      </c>
    </row>
    <row r="1705">
      <c r="A1705" s="4" t="n"/>
      <c r="B1705" s="5">
        <f>IFERROR(MID(H1705,FIND("01",H1705)+2,14),"")</f>
        <v/>
      </c>
      <c r="C1705" s="4">
        <f>IF(A1705="","",IFERROR(VLOOKUP(B1705,TblArticles,2,FALSE),"GTIN inconnu"))</f>
        <v/>
      </c>
      <c r="D1705" s="5">
        <f>IF(A1705="","",IFERROR(VLOOKUP(B1705,TblArticles,3,FALSE),""))</f>
        <v/>
      </c>
      <c r="E1705" s="6">
        <f>IFERROR(DATE(2000+VALUE(MID(H1705,FIND("15",H1705,FIND("01",H1705)+16)+2,2)),VALUE(MID(H1705,FIND("15",H1705,FIND("01",H1705)+16)+4,2)),VALUE(MID(H1705,FIND("15",H1705,FIND("01",H1705)+16)+6,2))),"")</f>
        <v/>
      </c>
      <c r="F1705" s="5">
        <f>IFERROR(MID(H1705,FIND("10",H1705,FIND("15",H1705,FIND("01",H1705)+16)+8)+2,50),"")</f>
        <v/>
      </c>
      <c r="G1705" s="5" t="n"/>
      <c r="H1705" s="5">
        <f>SUBSTITUTE(SUBSTITUTE(SUBSTITUTE(SUBSTITUTE(A1705,"(",""),")","")," ",""),CHAR(29),"")</f>
        <v/>
      </c>
    </row>
    <row r="1706">
      <c r="A1706" s="7" t="n"/>
      <c r="B1706" s="8">
        <f>IFERROR(MID(H1706,FIND("01",H1706)+2,14),"")</f>
        <v/>
      </c>
      <c r="C1706" s="7">
        <f>IF(A1706="","",IFERROR(VLOOKUP(B1706,TblArticles,2,FALSE),"GTIN inconnu"))</f>
        <v/>
      </c>
      <c r="D1706" s="8">
        <f>IF(A1706="","",IFERROR(VLOOKUP(B1706,TblArticles,3,FALSE),""))</f>
        <v/>
      </c>
      <c r="E1706" s="9">
        <f>IFERROR(DATE(2000+VALUE(MID(H1706,FIND("15",H1706,FIND("01",H1706)+16)+2,2)),VALUE(MID(H1706,FIND("15",H1706,FIND("01",H1706)+16)+4,2)),VALUE(MID(H1706,FIND("15",H1706,FIND("01",H1706)+16)+6,2))),"")</f>
        <v/>
      </c>
      <c r="F1706" s="8">
        <f>IFERROR(MID(H1706,FIND("10",H1706,FIND("15",H1706,FIND("01",H1706)+16)+8)+2,50),"")</f>
        <v/>
      </c>
      <c r="G1706" s="8" t="n"/>
      <c r="H1706" s="8">
        <f>SUBSTITUTE(SUBSTITUTE(SUBSTITUTE(SUBSTITUTE(A1706,"(",""),")","")," ",""),CHAR(29),"")</f>
        <v/>
      </c>
    </row>
    <row r="1707">
      <c r="A1707" s="4" t="n"/>
      <c r="B1707" s="5">
        <f>IFERROR(MID(H1707,FIND("01",H1707)+2,14),"")</f>
        <v/>
      </c>
      <c r="C1707" s="4">
        <f>IF(A1707="","",IFERROR(VLOOKUP(B1707,TblArticles,2,FALSE),"GTIN inconnu"))</f>
        <v/>
      </c>
      <c r="D1707" s="5">
        <f>IF(A1707="","",IFERROR(VLOOKUP(B1707,TblArticles,3,FALSE),""))</f>
        <v/>
      </c>
      <c r="E1707" s="6">
        <f>IFERROR(DATE(2000+VALUE(MID(H1707,FIND("15",H1707,FIND("01",H1707)+16)+2,2)),VALUE(MID(H1707,FIND("15",H1707,FIND("01",H1707)+16)+4,2)),VALUE(MID(H1707,FIND("15",H1707,FIND("01",H1707)+16)+6,2))),"")</f>
        <v/>
      </c>
      <c r="F1707" s="5">
        <f>IFERROR(MID(H1707,FIND("10",H1707,FIND("15",H1707,FIND("01",H1707)+16)+8)+2,50),"")</f>
        <v/>
      </c>
      <c r="G1707" s="5" t="n"/>
      <c r="H1707" s="5">
        <f>SUBSTITUTE(SUBSTITUTE(SUBSTITUTE(SUBSTITUTE(A1707,"(",""),")","")," ",""),CHAR(29),"")</f>
        <v/>
      </c>
    </row>
    <row r="1708">
      <c r="A1708" s="7" t="n"/>
      <c r="B1708" s="8">
        <f>IFERROR(MID(H1708,FIND("01",H1708)+2,14),"")</f>
        <v/>
      </c>
      <c r="C1708" s="7">
        <f>IF(A1708="","",IFERROR(VLOOKUP(B1708,TblArticles,2,FALSE),"GTIN inconnu"))</f>
        <v/>
      </c>
      <c r="D1708" s="8">
        <f>IF(A1708="","",IFERROR(VLOOKUP(B1708,TblArticles,3,FALSE),""))</f>
        <v/>
      </c>
      <c r="E1708" s="9">
        <f>IFERROR(DATE(2000+VALUE(MID(H1708,FIND("15",H1708,FIND("01",H1708)+16)+2,2)),VALUE(MID(H1708,FIND("15",H1708,FIND("01",H1708)+16)+4,2)),VALUE(MID(H1708,FIND("15",H1708,FIND("01",H1708)+16)+6,2))),"")</f>
        <v/>
      </c>
      <c r="F1708" s="8">
        <f>IFERROR(MID(H1708,FIND("10",H1708,FIND("15",H1708,FIND("01",H1708)+16)+8)+2,50),"")</f>
        <v/>
      </c>
      <c r="G1708" s="8" t="n"/>
      <c r="H1708" s="8">
        <f>SUBSTITUTE(SUBSTITUTE(SUBSTITUTE(SUBSTITUTE(A1708,"(",""),")","")," ",""),CHAR(29),"")</f>
        <v/>
      </c>
    </row>
    <row r="1709">
      <c r="A1709" s="4" t="n"/>
      <c r="B1709" s="5">
        <f>IFERROR(MID(H1709,FIND("01",H1709)+2,14),"")</f>
        <v/>
      </c>
      <c r="C1709" s="4">
        <f>IF(A1709="","",IFERROR(VLOOKUP(B1709,TblArticles,2,FALSE),"GTIN inconnu"))</f>
        <v/>
      </c>
      <c r="D1709" s="5">
        <f>IF(A1709="","",IFERROR(VLOOKUP(B1709,TblArticles,3,FALSE),""))</f>
        <v/>
      </c>
      <c r="E1709" s="6">
        <f>IFERROR(DATE(2000+VALUE(MID(H1709,FIND("15",H1709,FIND("01",H1709)+16)+2,2)),VALUE(MID(H1709,FIND("15",H1709,FIND("01",H1709)+16)+4,2)),VALUE(MID(H1709,FIND("15",H1709,FIND("01",H1709)+16)+6,2))),"")</f>
        <v/>
      </c>
      <c r="F1709" s="5">
        <f>IFERROR(MID(H1709,FIND("10",H1709,FIND("15",H1709,FIND("01",H1709)+16)+8)+2,50),"")</f>
        <v/>
      </c>
      <c r="G1709" s="5" t="n"/>
      <c r="H1709" s="5">
        <f>SUBSTITUTE(SUBSTITUTE(SUBSTITUTE(SUBSTITUTE(A1709,"(",""),")","")," ",""),CHAR(29),"")</f>
        <v/>
      </c>
    </row>
    <row r="1710">
      <c r="A1710" s="7" t="n"/>
      <c r="B1710" s="8">
        <f>IFERROR(MID(H1710,FIND("01",H1710)+2,14),"")</f>
        <v/>
      </c>
      <c r="C1710" s="7">
        <f>IF(A1710="","",IFERROR(VLOOKUP(B1710,TblArticles,2,FALSE),"GTIN inconnu"))</f>
        <v/>
      </c>
      <c r="D1710" s="8">
        <f>IF(A1710="","",IFERROR(VLOOKUP(B1710,TblArticles,3,FALSE),""))</f>
        <v/>
      </c>
      <c r="E1710" s="9">
        <f>IFERROR(DATE(2000+VALUE(MID(H1710,FIND("15",H1710,FIND("01",H1710)+16)+2,2)),VALUE(MID(H1710,FIND("15",H1710,FIND("01",H1710)+16)+4,2)),VALUE(MID(H1710,FIND("15",H1710,FIND("01",H1710)+16)+6,2))),"")</f>
        <v/>
      </c>
      <c r="F1710" s="8">
        <f>IFERROR(MID(H1710,FIND("10",H1710,FIND("15",H1710,FIND("01",H1710)+16)+8)+2,50),"")</f>
        <v/>
      </c>
      <c r="G1710" s="8" t="n"/>
      <c r="H1710" s="8">
        <f>SUBSTITUTE(SUBSTITUTE(SUBSTITUTE(SUBSTITUTE(A1710,"(",""),")","")," ",""),CHAR(29),"")</f>
        <v/>
      </c>
    </row>
    <row r="1711">
      <c r="A1711" s="4" t="n"/>
      <c r="B1711" s="5">
        <f>IFERROR(MID(H1711,FIND("01",H1711)+2,14),"")</f>
        <v/>
      </c>
      <c r="C1711" s="4">
        <f>IF(A1711="","",IFERROR(VLOOKUP(B1711,TblArticles,2,FALSE),"GTIN inconnu"))</f>
        <v/>
      </c>
      <c r="D1711" s="5">
        <f>IF(A1711="","",IFERROR(VLOOKUP(B1711,TblArticles,3,FALSE),""))</f>
        <v/>
      </c>
      <c r="E1711" s="6">
        <f>IFERROR(DATE(2000+VALUE(MID(H1711,FIND("15",H1711,FIND("01",H1711)+16)+2,2)),VALUE(MID(H1711,FIND("15",H1711,FIND("01",H1711)+16)+4,2)),VALUE(MID(H1711,FIND("15",H1711,FIND("01",H1711)+16)+6,2))),"")</f>
        <v/>
      </c>
      <c r="F1711" s="5">
        <f>IFERROR(MID(H1711,FIND("10",H1711,FIND("15",H1711,FIND("01",H1711)+16)+8)+2,50),"")</f>
        <v/>
      </c>
      <c r="G1711" s="5" t="n"/>
      <c r="H1711" s="5">
        <f>SUBSTITUTE(SUBSTITUTE(SUBSTITUTE(SUBSTITUTE(A1711,"(",""),")","")," ",""),CHAR(29),"")</f>
        <v/>
      </c>
    </row>
    <row r="1712">
      <c r="A1712" s="7" t="n"/>
      <c r="B1712" s="8">
        <f>IFERROR(MID(H1712,FIND("01",H1712)+2,14),"")</f>
        <v/>
      </c>
      <c r="C1712" s="7">
        <f>IF(A1712="","",IFERROR(VLOOKUP(B1712,TblArticles,2,FALSE),"GTIN inconnu"))</f>
        <v/>
      </c>
      <c r="D1712" s="8">
        <f>IF(A1712="","",IFERROR(VLOOKUP(B1712,TblArticles,3,FALSE),""))</f>
        <v/>
      </c>
      <c r="E1712" s="9">
        <f>IFERROR(DATE(2000+VALUE(MID(H1712,FIND("15",H1712,FIND("01",H1712)+16)+2,2)),VALUE(MID(H1712,FIND("15",H1712,FIND("01",H1712)+16)+4,2)),VALUE(MID(H1712,FIND("15",H1712,FIND("01",H1712)+16)+6,2))),"")</f>
        <v/>
      </c>
      <c r="F1712" s="8">
        <f>IFERROR(MID(H1712,FIND("10",H1712,FIND("15",H1712,FIND("01",H1712)+16)+8)+2,50),"")</f>
        <v/>
      </c>
      <c r="G1712" s="8" t="n"/>
      <c r="H1712" s="8">
        <f>SUBSTITUTE(SUBSTITUTE(SUBSTITUTE(SUBSTITUTE(A1712,"(",""),")","")," ",""),CHAR(29),"")</f>
        <v/>
      </c>
    </row>
    <row r="1713">
      <c r="A1713" s="4" t="n"/>
      <c r="B1713" s="5">
        <f>IFERROR(MID(H1713,FIND("01",H1713)+2,14),"")</f>
        <v/>
      </c>
      <c r="C1713" s="4">
        <f>IF(A1713="","",IFERROR(VLOOKUP(B1713,TblArticles,2,FALSE),"GTIN inconnu"))</f>
        <v/>
      </c>
      <c r="D1713" s="5">
        <f>IF(A1713="","",IFERROR(VLOOKUP(B1713,TblArticles,3,FALSE),""))</f>
        <v/>
      </c>
      <c r="E1713" s="6">
        <f>IFERROR(DATE(2000+VALUE(MID(H1713,FIND("15",H1713,FIND("01",H1713)+16)+2,2)),VALUE(MID(H1713,FIND("15",H1713,FIND("01",H1713)+16)+4,2)),VALUE(MID(H1713,FIND("15",H1713,FIND("01",H1713)+16)+6,2))),"")</f>
        <v/>
      </c>
      <c r="F1713" s="5">
        <f>IFERROR(MID(H1713,FIND("10",H1713,FIND("15",H1713,FIND("01",H1713)+16)+8)+2,50),"")</f>
        <v/>
      </c>
      <c r="G1713" s="5" t="n"/>
      <c r="H1713" s="5">
        <f>SUBSTITUTE(SUBSTITUTE(SUBSTITUTE(SUBSTITUTE(A1713,"(",""),")","")," ",""),CHAR(29),"")</f>
        <v/>
      </c>
    </row>
    <row r="1714">
      <c r="A1714" s="7" t="n"/>
      <c r="B1714" s="8">
        <f>IFERROR(MID(H1714,FIND("01",H1714)+2,14),"")</f>
        <v/>
      </c>
      <c r="C1714" s="7">
        <f>IF(A1714="","",IFERROR(VLOOKUP(B1714,TblArticles,2,FALSE),"GTIN inconnu"))</f>
        <v/>
      </c>
      <c r="D1714" s="8">
        <f>IF(A1714="","",IFERROR(VLOOKUP(B1714,TblArticles,3,FALSE),""))</f>
        <v/>
      </c>
      <c r="E1714" s="9">
        <f>IFERROR(DATE(2000+VALUE(MID(H1714,FIND("15",H1714,FIND("01",H1714)+16)+2,2)),VALUE(MID(H1714,FIND("15",H1714,FIND("01",H1714)+16)+4,2)),VALUE(MID(H1714,FIND("15",H1714,FIND("01",H1714)+16)+6,2))),"")</f>
        <v/>
      </c>
      <c r="F1714" s="8">
        <f>IFERROR(MID(H1714,FIND("10",H1714,FIND("15",H1714,FIND("01",H1714)+16)+8)+2,50),"")</f>
        <v/>
      </c>
      <c r="G1714" s="8" t="n"/>
      <c r="H1714" s="8">
        <f>SUBSTITUTE(SUBSTITUTE(SUBSTITUTE(SUBSTITUTE(A1714,"(",""),")","")," ",""),CHAR(29),"")</f>
        <v/>
      </c>
    </row>
    <row r="1715">
      <c r="A1715" s="4" t="n"/>
      <c r="B1715" s="5">
        <f>IFERROR(MID(H1715,FIND("01",H1715)+2,14),"")</f>
        <v/>
      </c>
      <c r="C1715" s="4">
        <f>IF(A1715="","",IFERROR(VLOOKUP(B1715,TblArticles,2,FALSE),"GTIN inconnu"))</f>
        <v/>
      </c>
      <c r="D1715" s="5">
        <f>IF(A1715="","",IFERROR(VLOOKUP(B1715,TblArticles,3,FALSE),""))</f>
        <v/>
      </c>
      <c r="E1715" s="6">
        <f>IFERROR(DATE(2000+VALUE(MID(H1715,FIND("15",H1715,FIND("01",H1715)+16)+2,2)),VALUE(MID(H1715,FIND("15",H1715,FIND("01",H1715)+16)+4,2)),VALUE(MID(H1715,FIND("15",H1715,FIND("01",H1715)+16)+6,2))),"")</f>
        <v/>
      </c>
      <c r="F1715" s="5">
        <f>IFERROR(MID(H1715,FIND("10",H1715,FIND("15",H1715,FIND("01",H1715)+16)+8)+2,50),"")</f>
        <v/>
      </c>
      <c r="G1715" s="5" t="n"/>
      <c r="H1715" s="5">
        <f>SUBSTITUTE(SUBSTITUTE(SUBSTITUTE(SUBSTITUTE(A1715,"(",""),")","")," ",""),CHAR(29),"")</f>
        <v/>
      </c>
    </row>
    <row r="1716">
      <c r="A1716" s="7" t="n"/>
      <c r="B1716" s="8">
        <f>IFERROR(MID(H1716,FIND("01",H1716)+2,14),"")</f>
        <v/>
      </c>
      <c r="C1716" s="7">
        <f>IF(A1716="","",IFERROR(VLOOKUP(B1716,TblArticles,2,FALSE),"GTIN inconnu"))</f>
        <v/>
      </c>
      <c r="D1716" s="8">
        <f>IF(A1716="","",IFERROR(VLOOKUP(B1716,TblArticles,3,FALSE),""))</f>
        <v/>
      </c>
      <c r="E1716" s="9">
        <f>IFERROR(DATE(2000+VALUE(MID(H1716,FIND("15",H1716,FIND("01",H1716)+16)+2,2)),VALUE(MID(H1716,FIND("15",H1716,FIND("01",H1716)+16)+4,2)),VALUE(MID(H1716,FIND("15",H1716,FIND("01",H1716)+16)+6,2))),"")</f>
        <v/>
      </c>
      <c r="F1716" s="8">
        <f>IFERROR(MID(H1716,FIND("10",H1716,FIND("15",H1716,FIND("01",H1716)+16)+8)+2,50),"")</f>
        <v/>
      </c>
      <c r="G1716" s="8" t="n"/>
      <c r="H1716" s="8">
        <f>SUBSTITUTE(SUBSTITUTE(SUBSTITUTE(SUBSTITUTE(A1716,"(",""),")","")," ",""),CHAR(29),"")</f>
        <v/>
      </c>
    </row>
    <row r="1717">
      <c r="A1717" s="4" t="n"/>
      <c r="B1717" s="5">
        <f>IFERROR(MID(H1717,FIND("01",H1717)+2,14),"")</f>
        <v/>
      </c>
      <c r="C1717" s="4">
        <f>IF(A1717="","",IFERROR(VLOOKUP(B1717,TblArticles,2,FALSE),"GTIN inconnu"))</f>
        <v/>
      </c>
      <c r="D1717" s="5">
        <f>IF(A1717="","",IFERROR(VLOOKUP(B1717,TblArticles,3,FALSE),""))</f>
        <v/>
      </c>
      <c r="E1717" s="6">
        <f>IFERROR(DATE(2000+VALUE(MID(H1717,FIND("15",H1717,FIND("01",H1717)+16)+2,2)),VALUE(MID(H1717,FIND("15",H1717,FIND("01",H1717)+16)+4,2)),VALUE(MID(H1717,FIND("15",H1717,FIND("01",H1717)+16)+6,2))),"")</f>
        <v/>
      </c>
      <c r="F1717" s="5">
        <f>IFERROR(MID(H1717,FIND("10",H1717,FIND("15",H1717,FIND("01",H1717)+16)+8)+2,50),"")</f>
        <v/>
      </c>
      <c r="G1717" s="5" t="n"/>
      <c r="H1717" s="5">
        <f>SUBSTITUTE(SUBSTITUTE(SUBSTITUTE(SUBSTITUTE(A1717,"(",""),")","")," ",""),CHAR(29),"")</f>
        <v/>
      </c>
    </row>
    <row r="1718">
      <c r="A1718" s="7" t="n"/>
      <c r="B1718" s="8">
        <f>IFERROR(MID(H1718,FIND("01",H1718)+2,14),"")</f>
        <v/>
      </c>
      <c r="C1718" s="7">
        <f>IF(A1718="","",IFERROR(VLOOKUP(B1718,TblArticles,2,FALSE),"GTIN inconnu"))</f>
        <v/>
      </c>
      <c r="D1718" s="8">
        <f>IF(A1718="","",IFERROR(VLOOKUP(B1718,TblArticles,3,FALSE),""))</f>
        <v/>
      </c>
      <c r="E1718" s="9">
        <f>IFERROR(DATE(2000+VALUE(MID(H1718,FIND("15",H1718,FIND("01",H1718)+16)+2,2)),VALUE(MID(H1718,FIND("15",H1718,FIND("01",H1718)+16)+4,2)),VALUE(MID(H1718,FIND("15",H1718,FIND("01",H1718)+16)+6,2))),"")</f>
        <v/>
      </c>
      <c r="F1718" s="8">
        <f>IFERROR(MID(H1718,FIND("10",H1718,FIND("15",H1718,FIND("01",H1718)+16)+8)+2,50),"")</f>
        <v/>
      </c>
      <c r="G1718" s="8" t="n"/>
      <c r="H1718" s="8">
        <f>SUBSTITUTE(SUBSTITUTE(SUBSTITUTE(SUBSTITUTE(A1718,"(",""),")","")," ",""),CHAR(29),"")</f>
        <v/>
      </c>
    </row>
    <row r="1719">
      <c r="A1719" s="4" t="n"/>
      <c r="B1719" s="5">
        <f>IFERROR(MID(H1719,FIND("01",H1719)+2,14),"")</f>
        <v/>
      </c>
      <c r="C1719" s="4">
        <f>IF(A1719="","",IFERROR(VLOOKUP(B1719,TblArticles,2,FALSE),"GTIN inconnu"))</f>
        <v/>
      </c>
      <c r="D1719" s="5">
        <f>IF(A1719="","",IFERROR(VLOOKUP(B1719,TblArticles,3,FALSE),""))</f>
        <v/>
      </c>
      <c r="E1719" s="6">
        <f>IFERROR(DATE(2000+VALUE(MID(H1719,FIND("15",H1719,FIND("01",H1719)+16)+2,2)),VALUE(MID(H1719,FIND("15",H1719,FIND("01",H1719)+16)+4,2)),VALUE(MID(H1719,FIND("15",H1719,FIND("01",H1719)+16)+6,2))),"")</f>
        <v/>
      </c>
      <c r="F1719" s="5">
        <f>IFERROR(MID(H1719,FIND("10",H1719,FIND("15",H1719,FIND("01",H1719)+16)+8)+2,50),"")</f>
        <v/>
      </c>
      <c r="G1719" s="5" t="n"/>
      <c r="H1719" s="5">
        <f>SUBSTITUTE(SUBSTITUTE(SUBSTITUTE(SUBSTITUTE(A1719,"(",""),")","")," ",""),CHAR(29),"")</f>
        <v/>
      </c>
    </row>
    <row r="1720">
      <c r="A1720" s="7" t="n"/>
      <c r="B1720" s="8">
        <f>IFERROR(MID(H1720,FIND("01",H1720)+2,14),"")</f>
        <v/>
      </c>
      <c r="C1720" s="7">
        <f>IF(A1720="","",IFERROR(VLOOKUP(B1720,TblArticles,2,FALSE),"GTIN inconnu"))</f>
        <v/>
      </c>
      <c r="D1720" s="8">
        <f>IF(A1720="","",IFERROR(VLOOKUP(B1720,TblArticles,3,FALSE),""))</f>
        <v/>
      </c>
      <c r="E1720" s="9">
        <f>IFERROR(DATE(2000+VALUE(MID(H1720,FIND("15",H1720,FIND("01",H1720)+16)+2,2)),VALUE(MID(H1720,FIND("15",H1720,FIND("01",H1720)+16)+4,2)),VALUE(MID(H1720,FIND("15",H1720,FIND("01",H1720)+16)+6,2))),"")</f>
        <v/>
      </c>
      <c r="F1720" s="8">
        <f>IFERROR(MID(H1720,FIND("10",H1720,FIND("15",H1720,FIND("01",H1720)+16)+8)+2,50),"")</f>
        <v/>
      </c>
      <c r="G1720" s="8" t="n"/>
      <c r="H1720" s="8">
        <f>SUBSTITUTE(SUBSTITUTE(SUBSTITUTE(SUBSTITUTE(A1720,"(",""),")","")," ",""),CHAR(29),"")</f>
        <v/>
      </c>
    </row>
    <row r="1721">
      <c r="A1721" s="4" t="n"/>
      <c r="B1721" s="5">
        <f>IFERROR(MID(H1721,FIND("01",H1721)+2,14),"")</f>
        <v/>
      </c>
      <c r="C1721" s="4">
        <f>IF(A1721="","",IFERROR(VLOOKUP(B1721,TblArticles,2,FALSE),"GTIN inconnu"))</f>
        <v/>
      </c>
      <c r="D1721" s="5">
        <f>IF(A1721="","",IFERROR(VLOOKUP(B1721,TblArticles,3,FALSE),""))</f>
        <v/>
      </c>
      <c r="E1721" s="6">
        <f>IFERROR(DATE(2000+VALUE(MID(H1721,FIND("15",H1721,FIND("01",H1721)+16)+2,2)),VALUE(MID(H1721,FIND("15",H1721,FIND("01",H1721)+16)+4,2)),VALUE(MID(H1721,FIND("15",H1721,FIND("01",H1721)+16)+6,2))),"")</f>
        <v/>
      </c>
      <c r="F1721" s="5">
        <f>IFERROR(MID(H1721,FIND("10",H1721,FIND("15",H1721,FIND("01",H1721)+16)+8)+2,50),"")</f>
        <v/>
      </c>
      <c r="G1721" s="5" t="n"/>
      <c r="H1721" s="5">
        <f>SUBSTITUTE(SUBSTITUTE(SUBSTITUTE(SUBSTITUTE(A1721,"(",""),")","")," ",""),CHAR(29),"")</f>
        <v/>
      </c>
    </row>
    <row r="1722">
      <c r="A1722" s="7" t="n"/>
      <c r="B1722" s="8">
        <f>IFERROR(MID(H1722,FIND("01",H1722)+2,14),"")</f>
        <v/>
      </c>
      <c r="C1722" s="7">
        <f>IF(A1722="","",IFERROR(VLOOKUP(B1722,TblArticles,2,FALSE),"GTIN inconnu"))</f>
        <v/>
      </c>
      <c r="D1722" s="8">
        <f>IF(A1722="","",IFERROR(VLOOKUP(B1722,TblArticles,3,FALSE),""))</f>
        <v/>
      </c>
      <c r="E1722" s="9">
        <f>IFERROR(DATE(2000+VALUE(MID(H1722,FIND("15",H1722,FIND("01",H1722)+16)+2,2)),VALUE(MID(H1722,FIND("15",H1722,FIND("01",H1722)+16)+4,2)),VALUE(MID(H1722,FIND("15",H1722,FIND("01",H1722)+16)+6,2))),"")</f>
        <v/>
      </c>
      <c r="F1722" s="8">
        <f>IFERROR(MID(H1722,FIND("10",H1722,FIND("15",H1722,FIND("01",H1722)+16)+8)+2,50),"")</f>
        <v/>
      </c>
      <c r="G1722" s="8" t="n"/>
      <c r="H1722" s="8">
        <f>SUBSTITUTE(SUBSTITUTE(SUBSTITUTE(SUBSTITUTE(A1722,"(",""),")","")," ",""),CHAR(29),"")</f>
        <v/>
      </c>
    </row>
    <row r="1723">
      <c r="A1723" s="4" t="n"/>
      <c r="B1723" s="5">
        <f>IFERROR(MID(H1723,FIND("01",H1723)+2,14),"")</f>
        <v/>
      </c>
      <c r="C1723" s="4">
        <f>IF(A1723="","",IFERROR(VLOOKUP(B1723,TblArticles,2,FALSE),"GTIN inconnu"))</f>
        <v/>
      </c>
      <c r="D1723" s="5">
        <f>IF(A1723="","",IFERROR(VLOOKUP(B1723,TblArticles,3,FALSE),""))</f>
        <v/>
      </c>
      <c r="E1723" s="6">
        <f>IFERROR(DATE(2000+VALUE(MID(H1723,FIND("15",H1723,FIND("01",H1723)+16)+2,2)),VALUE(MID(H1723,FIND("15",H1723,FIND("01",H1723)+16)+4,2)),VALUE(MID(H1723,FIND("15",H1723,FIND("01",H1723)+16)+6,2))),"")</f>
        <v/>
      </c>
      <c r="F1723" s="5">
        <f>IFERROR(MID(H1723,FIND("10",H1723,FIND("15",H1723,FIND("01",H1723)+16)+8)+2,50),"")</f>
        <v/>
      </c>
      <c r="G1723" s="5" t="n"/>
      <c r="H1723" s="5">
        <f>SUBSTITUTE(SUBSTITUTE(SUBSTITUTE(SUBSTITUTE(A1723,"(",""),")","")," ",""),CHAR(29),"")</f>
        <v/>
      </c>
    </row>
    <row r="1724">
      <c r="A1724" s="7" t="n"/>
      <c r="B1724" s="8">
        <f>IFERROR(MID(H1724,FIND("01",H1724)+2,14),"")</f>
        <v/>
      </c>
      <c r="C1724" s="7">
        <f>IF(A1724="","",IFERROR(VLOOKUP(B1724,TblArticles,2,FALSE),"GTIN inconnu"))</f>
        <v/>
      </c>
      <c r="D1724" s="8">
        <f>IF(A1724="","",IFERROR(VLOOKUP(B1724,TblArticles,3,FALSE),""))</f>
        <v/>
      </c>
      <c r="E1724" s="9">
        <f>IFERROR(DATE(2000+VALUE(MID(H1724,FIND("15",H1724,FIND("01",H1724)+16)+2,2)),VALUE(MID(H1724,FIND("15",H1724,FIND("01",H1724)+16)+4,2)),VALUE(MID(H1724,FIND("15",H1724,FIND("01",H1724)+16)+6,2))),"")</f>
        <v/>
      </c>
      <c r="F1724" s="8">
        <f>IFERROR(MID(H1724,FIND("10",H1724,FIND("15",H1724,FIND("01",H1724)+16)+8)+2,50),"")</f>
        <v/>
      </c>
      <c r="G1724" s="8" t="n"/>
      <c r="H1724" s="8">
        <f>SUBSTITUTE(SUBSTITUTE(SUBSTITUTE(SUBSTITUTE(A1724,"(",""),")","")," ",""),CHAR(29),"")</f>
        <v/>
      </c>
    </row>
    <row r="1725">
      <c r="A1725" s="4" t="n"/>
      <c r="B1725" s="5">
        <f>IFERROR(MID(H1725,FIND("01",H1725)+2,14),"")</f>
        <v/>
      </c>
      <c r="C1725" s="4">
        <f>IF(A1725="","",IFERROR(VLOOKUP(B1725,TblArticles,2,FALSE),"GTIN inconnu"))</f>
        <v/>
      </c>
      <c r="D1725" s="5">
        <f>IF(A1725="","",IFERROR(VLOOKUP(B1725,TblArticles,3,FALSE),""))</f>
        <v/>
      </c>
      <c r="E1725" s="6">
        <f>IFERROR(DATE(2000+VALUE(MID(H1725,FIND("15",H1725,FIND("01",H1725)+16)+2,2)),VALUE(MID(H1725,FIND("15",H1725,FIND("01",H1725)+16)+4,2)),VALUE(MID(H1725,FIND("15",H1725,FIND("01",H1725)+16)+6,2))),"")</f>
        <v/>
      </c>
      <c r="F1725" s="5">
        <f>IFERROR(MID(H1725,FIND("10",H1725,FIND("15",H1725,FIND("01",H1725)+16)+8)+2,50),"")</f>
        <v/>
      </c>
      <c r="G1725" s="5" t="n"/>
      <c r="H1725" s="5">
        <f>SUBSTITUTE(SUBSTITUTE(SUBSTITUTE(SUBSTITUTE(A1725,"(",""),")","")," ",""),CHAR(29),"")</f>
        <v/>
      </c>
    </row>
    <row r="1726">
      <c r="A1726" s="7" t="n"/>
      <c r="B1726" s="8">
        <f>IFERROR(MID(H1726,FIND("01",H1726)+2,14),"")</f>
        <v/>
      </c>
      <c r="C1726" s="7">
        <f>IF(A1726="","",IFERROR(VLOOKUP(B1726,TblArticles,2,FALSE),"GTIN inconnu"))</f>
        <v/>
      </c>
      <c r="D1726" s="8">
        <f>IF(A1726="","",IFERROR(VLOOKUP(B1726,TblArticles,3,FALSE),""))</f>
        <v/>
      </c>
      <c r="E1726" s="9">
        <f>IFERROR(DATE(2000+VALUE(MID(H1726,FIND("15",H1726,FIND("01",H1726)+16)+2,2)),VALUE(MID(H1726,FIND("15",H1726,FIND("01",H1726)+16)+4,2)),VALUE(MID(H1726,FIND("15",H1726,FIND("01",H1726)+16)+6,2))),"")</f>
        <v/>
      </c>
      <c r="F1726" s="8">
        <f>IFERROR(MID(H1726,FIND("10",H1726,FIND("15",H1726,FIND("01",H1726)+16)+8)+2,50),"")</f>
        <v/>
      </c>
      <c r="G1726" s="8" t="n"/>
      <c r="H1726" s="8">
        <f>SUBSTITUTE(SUBSTITUTE(SUBSTITUTE(SUBSTITUTE(A1726,"(",""),")","")," ",""),CHAR(29),"")</f>
        <v/>
      </c>
    </row>
    <row r="1727">
      <c r="A1727" s="4" t="n"/>
      <c r="B1727" s="5">
        <f>IFERROR(MID(H1727,FIND("01",H1727)+2,14),"")</f>
        <v/>
      </c>
      <c r="C1727" s="4">
        <f>IF(A1727="","",IFERROR(VLOOKUP(B1727,TblArticles,2,FALSE),"GTIN inconnu"))</f>
        <v/>
      </c>
      <c r="D1727" s="5">
        <f>IF(A1727="","",IFERROR(VLOOKUP(B1727,TblArticles,3,FALSE),""))</f>
        <v/>
      </c>
      <c r="E1727" s="6">
        <f>IFERROR(DATE(2000+VALUE(MID(H1727,FIND("15",H1727,FIND("01",H1727)+16)+2,2)),VALUE(MID(H1727,FIND("15",H1727,FIND("01",H1727)+16)+4,2)),VALUE(MID(H1727,FIND("15",H1727,FIND("01",H1727)+16)+6,2))),"")</f>
        <v/>
      </c>
      <c r="F1727" s="5">
        <f>IFERROR(MID(H1727,FIND("10",H1727,FIND("15",H1727,FIND("01",H1727)+16)+8)+2,50),"")</f>
        <v/>
      </c>
      <c r="G1727" s="5" t="n"/>
      <c r="H1727" s="5">
        <f>SUBSTITUTE(SUBSTITUTE(SUBSTITUTE(SUBSTITUTE(A1727,"(",""),")","")," ",""),CHAR(29),"")</f>
        <v/>
      </c>
    </row>
    <row r="1728">
      <c r="A1728" s="7" t="n"/>
      <c r="B1728" s="8">
        <f>IFERROR(MID(H1728,FIND("01",H1728)+2,14),"")</f>
        <v/>
      </c>
      <c r="C1728" s="7">
        <f>IF(A1728="","",IFERROR(VLOOKUP(B1728,TblArticles,2,FALSE),"GTIN inconnu"))</f>
        <v/>
      </c>
      <c r="D1728" s="8">
        <f>IF(A1728="","",IFERROR(VLOOKUP(B1728,TblArticles,3,FALSE),""))</f>
        <v/>
      </c>
      <c r="E1728" s="9">
        <f>IFERROR(DATE(2000+VALUE(MID(H1728,FIND("15",H1728,FIND("01",H1728)+16)+2,2)),VALUE(MID(H1728,FIND("15",H1728,FIND("01",H1728)+16)+4,2)),VALUE(MID(H1728,FIND("15",H1728,FIND("01",H1728)+16)+6,2))),"")</f>
        <v/>
      </c>
      <c r="F1728" s="8">
        <f>IFERROR(MID(H1728,FIND("10",H1728,FIND("15",H1728,FIND("01",H1728)+16)+8)+2,50),"")</f>
        <v/>
      </c>
      <c r="G1728" s="8" t="n"/>
      <c r="H1728" s="8">
        <f>SUBSTITUTE(SUBSTITUTE(SUBSTITUTE(SUBSTITUTE(A1728,"(",""),")","")," ",""),CHAR(29),"")</f>
        <v/>
      </c>
    </row>
    <row r="1729">
      <c r="A1729" s="4" t="n"/>
      <c r="B1729" s="5">
        <f>IFERROR(MID(H1729,FIND("01",H1729)+2,14),"")</f>
        <v/>
      </c>
      <c r="C1729" s="4">
        <f>IF(A1729="","",IFERROR(VLOOKUP(B1729,TblArticles,2,FALSE),"GTIN inconnu"))</f>
        <v/>
      </c>
      <c r="D1729" s="5">
        <f>IF(A1729="","",IFERROR(VLOOKUP(B1729,TblArticles,3,FALSE),""))</f>
        <v/>
      </c>
      <c r="E1729" s="6">
        <f>IFERROR(DATE(2000+VALUE(MID(H1729,FIND("15",H1729,FIND("01",H1729)+16)+2,2)),VALUE(MID(H1729,FIND("15",H1729,FIND("01",H1729)+16)+4,2)),VALUE(MID(H1729,FIND("15",H1729,FIND("01",H1729)+16)+6,2))),"")</f>
        <v/>
      </c>
      <c r="F1729" s="5">
        <f>IFERROR(MID(H1729,FIND("10",H1729,FIND("15",H1729,FIND("01",H1729)+16)+8)+2,50),"")</f>
        <v/>
      </c>
      <c r="G1729" s="5" t="n"/>
      <c r="H1729" s="5">
        <f>SUBSTITUTE(SUBSTITUTE(SUBSTITUTE(SUBSTITUTE(A1729,"(",""),")","")," ",""),CHAR(29),"")</f>
        <v/>
      </c>
    </row>
    <row r="1730">
      <c r="A1730" s="7" t="n"/>
      <c r="B1730" s="8">
        <f>IFERROR(MID(H1730,FIND("01",H1730)+2,14),"")</f>
        <v/>
      </c>
      <c r="C1730" s="7">
        <f>IF(A1730="","",IFERROR(VLOOKUP(B1730,TblArticles,2,FALSE),"GTIN inconnu"))</f>
        <v/>
      </c>
      <c r="D1730" s="8">
        <f>IF(A1730="","",IFERROR(VLOOKUP(B1730,TblArticles,3,FALSE),""))</f>
        <v/>
      </c>
      <c r="E1730" s="9">
        <f>IFERROR(DATE(2000+VALUE(MID(H1730,FIND("15",H1730,FIND("01",H1730)+16)+2,2)),VALUE(MID(H1730,FIND("15",H1730,FIND("01",H1730)+16)+4,2)),VALUE(MID(H1730,FIND("15",H1730,FIND("01",H1730)+16)+6,2))),"")</f>
        <v/>
      </c>
      <c r="F1730" s="8">
        <f>IFERROR(MID(H1730,FIND("10",H1730,FIND("15",H1730,FIND("01",H1730)+16)+8)+2,50),"")</f>
        <v/>
      </c>
      <c r="G1730" s="8" t="n"/>
      <c r="H1730" s="8">
        <f>SUBSTITUTE(SUBSTITUTE(SUBSTITUTE(SUBSTITUTE(A1730,"(",""),")","")," ",""),CHAR(29),"")</f>
        <v/>
      </c>
    </row>
    <row r="1731">
      <c r="A1731" s="4" t="n"/>
      <c r="B1731" s="5">
        <f>IFERROR(MID(H1731,FIND("01",H1731)+2,14),"")</f>
        <v/>
      </c>
      <c r="C1731" s="4">
        <f>IF(A1731="","",IFERROR(VLOOKUP(B1731,TblArticles,2,FALSE),"GTIN inconnu"))</f>
        <v/>
      </c>
      <c r="D1731" s="5">
        <f>IF(A1731="","",IFERROR(VLOOKUP(B1731,TblArticles,3,FALSE),""))</f>
        <v/>
      </c>
      <c r="E1731" s="6">
        <f>IFERROR(DATE(2000+VALUE(MID(H1731,FIND("15",H1731,FIND("01",H1731)+16)+2,2)),VALUE(MID(H1731,FIND("15",H1731,FIND("01",H1731)+16)+4,2)),VALUE(MID(H1731,FIND("15",H1731,FIND("01",H1731)+16)+6,2))),"")</f>
        <v/>
      </c>
      <c r="F1731" s="5">
        <f>IFERROR(MID(H1731,FIND("10",H1731,FIND("15",H1731,FIND("01",H1731)+16)+8)+2,50),"")</f>
        <v/>
      </c>
      <c r="G1731" s="5" t="n"/>
      <c r="H1731" s="5">
        <f>SUBSTITUTE(SUBSTITUTE(SUBSTITUTE(SUBSTITUTE(A1731,"(",""),")","")," ",""),CHAR(29),"")</f>
        <v/>
      </c>
    </row>
    <row r="1732">
      <c r="A1732" s="7" t="n"/>
      <c r="B1732" s="8">
        <f>IFERROR(MID(H1732,FIND("01",H1732)+2,14),"")</f>
        <v/>
      </c>
      <c r="C1732" s="7">
        <f>IF(A1732="","",IFERROR(VLOOKUP(B1732,TblArticles,2,FALSE),"GTIN inconnu"))</f>
        <v/>
      </c>
      <c r="D1732" s="8">
        <f>IF(A1732="","",IFERROR(VLOOKUP(B1732,TblArticles,3,FALSE),""))</f>
        <v/>
      </c>
      <c r="E1732" s="9">
        <f>IFERROR(DATE(2000+VALUE(MID(H1732,FIND("15",H1732,FIND("01",H1732)+16)+2,2)),VALUE(MID(H1732,FIND("15",H1732,FIND("01",H1732)+16)+4,2)),VALUE(MID(H1732,FIND("15",H1732,FIND("01",H1732)+16)+6,2))),"")</f>
        <v/>
      </c>
      <c r="F1732" s="8">
        <f>IFERROR(MID(H1732,FIND("10",H1732,FIND("15",H1732,FIND("01",H1732)+16)+8)+2,50),"")</f>
        <v/>
      </c>
      <c r="G1732" s="8" t="n"/>
      <c r="H1732" s="8">
        <f>SUBSTITUTE(SUBSTITUTE(SUBSTITUTE(SUBSTITUTE(A1732,"(",""),")","")," ",""),CHAR(29),"")</f>
        <v/>
      </c>
    </row>
    <row r="1733">
      <c r="A1733" s="4" t="n"/>
      <c r="B1733" s="5">
        <f>IFERROR(MID(H1733,FIND("01",H1733)+2,14),"")</f>
        <v/>
      </c>
      <c r="C1733" s="4">
        <f>IF(A1733="","",IFERROR(VLOOKUP(B1733,TblArticles,2,FALSE),"GTIN inconnu"))</f>
        <v/>
      </c>
      <c r="D1733" s="5">
        <f>IF(A1733="","",IFERROR(VLOOKUP(B1733,TblArticles,3,FALSE),""))</f>
        <v/>
      </c>
      <c r="E1733" s="6">
        <f>IFERROR(DATE(2000+VALUE(MID(H1733,FIND("15",H1733,FIND("01",H1733)+16)+2,2)),VALUE(MID(H1733,FIND("15",H1733,FIND("01",H1733)+16)+4,2)),VALUE(MID(H1733,FIND("15",H1733,FIND("01",H1733)+16)+6,2))),"")</f>
        <v/>
      </c>
      <c r="F1733" s="5">
        <f>IFERROR(MID(H1733,FIND("10",H1733,FIND("15",H1733,FIND("01",H1733)+16)+8)+2,50),"")</f>
        <v/>
      </c>
      <c r="G1733" s="5" t="n"/>
      <c r="H1733" s="5">
        <f>SUBSTITUTE(SUBSTITUTE(SUBSTITUTE(SUBSTITUTE(A1733,"(",""),")","")," ",""),CHAR(29),"")</f>
        <v/>
      </c>
    </row>
    <row r="1734">
      <c r="A1734" s="7" t="n"/>
      <c r="B1734" s="8">
        <f>IFERROR(MID(H1734,FIND("01",H1734)+2,14),"")</f>
        <v/>
      </c>
      <c r="C1734" s="7">
        <f>IF(A1734="","",IFERROR(VLOOKUP(B1734,TblArticles,2,FALSE),"GTIN inconnu"))</f>
        <v/>
      </c>
      <c r="D1734" s="8">
        <f>IF(A1734="","",IFERROR(VLOOKUP(B1734,TblArticles,3,FALSE),""))</f>
        <v/>
      </c>
      <c r="E1734" s="9">
        <f>IFERROR(DATE(2000+VALUE(MID(H1734,FIND("15",H1734,FIND("01",H1734)+16)+2,2)),VALUE(MID(H1734,FIND("15",H1734,FIND("01",H1734)+16)+4,2)),VALUE(MID(H1734,FIND("15",H1734,FIND("01",H1734)+16)+6,2))),"")</f>
        <v/>
      </c>
      <c r="F1734" s="8">
        <f>IFERROR(MID(H1734,FIND("10",H1734,FIND("15",H1734,FIND("01",H1734)+16)+8)+2,50),"")</f>
        <v/>
      </c>
      <c r="G1734" s="8" t="n"/>
      <c r="H1734" s="8">
        <f>SUBSTITUTE(SUBSTITUTE(SUBSTITUTE(SUBSTITUTE(A1734,"(",""),")","")," ",""),CHAR(29),"")</f>
        <v/>
      </c>
    </row>
    <row r="1735">
      <c r="A1735" s="4" t="n"/>
      <c r="B1735" s="5">
        <f>IFERROR(MID(H1735,FIND("01",H1735)+2,14),"")</f>
        <v/>
      </c>
      <c r="C1735" s="4">
        <f>IF(A1735="","",IFERROR(VLOOKUP(B1735,TblArticles,2,FALSE),"GTIN inconnu"))</f>
        <v/>
      </c>
      <c r="D1735" s="5">
        <f>IF(A1735="","",IFERROR(VLOOKUP(B1735,TblArticles,3,FALSE),""))</f>
        <v/>
      </c>
      <c r="E1735" s="6">
        <f>IFERROR(DATE(2000+VALUE(MID(H1735,FIND("15",H1735,FIND("01",H1735)+16)+2,2)),VALUE(MID(H1735,FIND("15",H1735,FIND("01",H1735)+16)+4,2)),VALUE(MID(H1735,FIND("15",H1735,FIND("01",H1735)+16)+6,2))),"")</f>
        <v/>
      </c>
      <c r="F1735" s="5">
        <f>IFERROR(MID(H1735,FIND("10",H1735,FIND("15",H1735,FIND("01",H1735)+16)+8)+2,50),"")</f>
        <v/>
      </c>
      <c r="G1735" s="5" t="n"/>
      <c r="H1735" s="5">
        <f>SUBSTITUTE(SUBSTITUTE(SUBSTITUTE(SUBSTITUTE(A1735,"(",""),")","")," ",""),CHAR(29),"")</f>
        <v/>
      </c>
    </row>
    <row r="1736">
      <c r="A1736" s="7" t="n"/>
      <c r="B1736" s="8">
        <f>IFERROR(MID(H1736,FIND("01",H1736)+2,14),"")</f>
        <v/>
      </c>
      <c r="C1736" s="7">
        <f>IF(A1736="","",IFERROR(VLOOKUP(B1736,TblArticles,2,FALSE),"GTIN inconnu"))</f>
        <v/>
      </c>
      <c r="D1736" s="8">
        <f>IF(A1736="","",IFERROR(VLOOKUP(B1736,TblArticles,3,FALSE),""))</f>
        <v/>
      </c>
      <c r="E1736" s="9">
        <f>IFERROR(DATE(2000+VALUE(MID(H1736,FIND("15",H1736,FIND("01",H1736)+16)+2,2)),VALUE(MID(H1736,FIND("15",H1736,FIND("01",H1736)+16)+4,2)),VALUE(MID(H1736,FIND("15",H1736,FIND("01",H1736)+16)+6,2))),"")</f>
        <v/>
      </c>
      <c r="F1736" s="8">
        <f>IFERROR(MID(H1736,FIND("10",H1736,FIND("15",H1736,FIND("01",H1736)+16)+8)+2,50),"")</f>
        <v/>
      </c>
      <c r="G1736" s="8" t="n"/>
      <c r="H1736" s="8">
        <f>SUBSTITUTE(SUBSTITUTE(SUBSTITUTE(SUBSTITUTE(A1736,"(",""),")","")," ",""),CHAR(29),"")</f>
        <v/>
      </c>
    </row>
    <row r="1737">
      <c r="A1737" s="4" t="n"/>
      <c r="B1737" s="5">
        <f>IFERROR(MID(H1737,FIND("01",H1737)+2,14),"")</f>
        <v/>
      </c>
      <c r="C1737" s="4">
        <f>IF(A1737="","",IFERROR(VLOOKUP(B1737,TblArticles,2,FALSE),"GTIN inconnu"))</f>
        <v/>
      </c>
      <c r="D1737" s="5">
        <f>IF(A1737="","",IFERROR(VLOOKUP(B1737,TblArticles,3,FALSE),""))</f>
        <v/>
      </c>
      <c r="E1737" s="6">
        <f>IFERROR(DATE(2000+VALUE(MID(H1737,FIND("15",H1737,FIND("01",H1737)+16)+2,2)),VALUE(MID(H1737,FIND("15",H1737,FIND("01",H1737)+16)+4,2)),VALUE(MID(H1737,FIND("15",H1737,FIND("01",H1737)+16)+6,2))),"")</f>
        <v/>
      </c>
      <c r="F1737" s="5">
        <f>IFERROR(MID(H1737,FIND("10",H1737,FIND("15",H1737,FIND("01",H1737)+16)+8)+2,50),"")</f>
        <v/>
      </c>
      <c r="G1737" s="5" t="n"/>
      <c r="H1737" s="5">
        <f>SUBSTITUTE(SUBSTITUTE(SUBSTITUTE(SUBSTITUTE(A1737,"(",""),")","")," ",""),CHAR(29),"")</f>
        <v/>
      </c>
    </row>
    <row r="1738">
      <c r="A1738" s="7" t="n"/>
      <c r="B1738" s="8">
        <f>IFERROR(MID(H1738,FIND("01",H1738)+2,14),"")</f>
        <v/>
      </c>
      <c r="C1738" s="7">
        <f>IF(A1738="","",IFERROR(VLOOKUP(B1738,TblArticles,2,FALSE),"GTIN inconnu"))</f>
        <v/>
      </c>
      <c r="D1738" s="8">
        <f>IF(A1738="","",IFERROR(VLOOKUP(B1738,TblArticles,3,FALSE),""))</f>
        <v/>
      </c>
      <c r="E1738" s="9">
        <f>IFERROR(DATE(2000+VALUE(MID(H1738,FIND("15",H1738,FIND("01",H1738)+16)+2,2)),VALUE(MID(H1738,FIND("15",H1738,FIND("01",H1738)+16)+4,2)),VALUE(MID(H1738,FIND("15",H1738,FIND("01",H1738)+16)+6,2))),"")</f>
        <v/>
      </c>
      <c r="F1738" s="8">
        <f>IFERROR(MID(H1738,FIND("10",H1738,FIND("15",H1738,FIND("01",H1738)+16)+8)+2,50),"")</f>
        <v/>
      </c>
      <c r="G1738" s="8" t="n"/>
      <c r="H1738" s="8">
        <f>SUBSTITUTE(SUBSTITUTE(SUBSTITUTE(SUBSTITUTE(A1738,"(",""),")","")," ",""),CHAR(29),"")</f>
        <v/>
      </c>
    </row>
    <row r="1739">
      <c r="A1739" s="4" t="n"/>
      <c r="B1739" s="5">
        <f>IFERROR(MID(H1739,FIND("01",H1739)+2,14),"")</f>
        <v/>
      </c>
      <c r="C1739" s="4">
        <f>IF(A1739="","",IFERROR(VLOOKUP(B1739,TblArticles,2,FALSE),"GTIN inconnu"))</f>
        <v/>
      </c>
      <c r="D1739" s="5">
        <f>IF(A1739="","",IFERROR(VLOOKUP(B1739,TblArticles,3,FALSE),""))</f>
        <v/>
      </c>
      <c r="E1739" s="6">
        <f>IFERROR(DATE(2000+VALUE(MID(H1739,FIND("15",H1739,FIND("01",H1739)+16)+2,2)),VALUE(MID(H1739,FIND("15",H1739,FIND("01",H1739)+16)+4,2)),VALUE(MID(H1739,FIND("15",H1739,FIND("01",H1739)+16)+6,2))),"")</f>
        <v/>
      </c>
      <c r="F1739" s="5">
        <f>IFERROR(MID(H1739,FIND("10",H1739,FIND("15",H1739,FIND("01",H1739)+16)+8)+2,50),"")</f>
        <v/>
      </c>
      <c r="G1739" s="5" t="n"/>
      <c r="H1739" s="5">
        <f>SUBSTITUTE(SUBSTITUTE(SUBSTITUTE(SUBSTITUTE(A1739,"(",""),")","")," ",""),CHAR(29),"")</f>
        <v/>
      </c>
    </row>
    <row r="1740">
      <c r="A1740" s="7" t="n"/>
      <c r="B1740" s="8">
        <f>IFERROR(MID(H1740,FIND("01",H1740)+2,14),"")</f>
        <v/>
      </c>
      <c r="C1740" s="7">
        <f>IF(A1740="","",IFERROR(VLOOKUP(B1740,TblArticles,2,FALSE),"GTIN inconnu"))</f>
        <v/>
      </c>
      <c r="D1740" s="8">
        <f>IF(A1740="","",IFERROR(VLOOKUP(B1740,TblArticles,3,FALSE),""))</f>
        <v/>
      </c>
      <c r="E1740" s="9">
        <f>IFERROR(DATE(2000+VALUE(MID(H1740,FIND("15",H1740,FIND("01",H1740)+16)+2,2)),VALUE(MID(H1740,FIND("15",H1740,FIND("01",H1740)+16)+4,2)),VALUE(MID(H1740,FIND("15",H1740,FIND("01",H1740)+16)+6,2))),"")</f>
        <v/>
      </c>
      <c r="F1740" s="8">
        <f>IFERROR(MID(H1740,FIND("10",H1740,FIND("15",H1740,FIND("01",H1740)+16)+8)+2,50),"")</f>
        <v/>
      </c>
      <c r="G1740" s="8" t="n"/>
      <c r="H1740" s="8">
        <f>SUBSTITUTE(SUBSTITUTE(SUBSTITUTE(SUBSTITUTE(A1740,"(",""),")","")," ",""),CHAR(29),"")</f>
        <v/>
      </c>
    </row>
    <row r="1741">
      <c r="A1741" s="4" t="n"/>
      <c r="B1741" s="5">
        <f>IFERROR(MID(H1741,FIND("01",H1741)+2,14),"")</f>
        <v/>
      </c>
      <c r="C1741" s="4">
        <f>IF(A1741="","",IFERROR(VLOOKUP(B1741,TblArticles,2,FALSE),"GTIN inconnu"))</f>
        <v/>
      </c>
      <c r="D1741" s="5">
        <f>IF(A1741="","",IFERROR(VLOOKUP(B1741,TblArticles,3,FALSE),""))</f>
        <v/>
      </c>
      <c r="E1741" s="6">
        <f>IFERROR(DATE(2000+VALUE(MID(H1741,FIND("15",H1741,FIND("01",H1741)+16)+2,2)),VALUE(MID(H1741,FIND("15",H1741,FIND("01",H1741)+16)+4,2)),VALUE(MID(H1741,FIND("15",H1741,FIND("01",H1741)+16)+6,2))),"")</f>
        <v/>
      </c>
      <c r="F1741" s="5">
        <f>IFERROR(MID(H1741,FIND("10",H1741,FIND("15",H1741,FIND("01",H1741)+16)+8)+2,50),"")</f>
        <v/>
      </c>
      <c r="G1741" s="5" t="n"/>
      <c r="H1741" s="5">
        <f>SUBSTITUTE(SUBSTITUTE(SUBSTITUTE(SUBSTITUTE(A1741,"(",""),")","")," ",""),CHAR(29),"")</f>
        <v/>
      </c>
    </row>
    <row r="1742">
      <c r="A1742" s="7" t="n"/>
      <c r="B1742" s="8">
        <f>IFERROR(MID(H1742,FIND("01",H1742)+2,14),"")</f>
        <v/>
      </c>
      <c r="C1742" s="7">
        <f>IF(A1742="","",IFERROR(VLOOKUP(B1742,TblArticles,2,FALSE),"GTIN inconnu"))</f>
        <v/>
      </c>
      <c r="D1742" s="8">
        <f>IF(A1742="","",IFERROR(VLOOKUP(B1742,TblArticles,3,FALSE),""))</f>
        <v/>
      </c>
      <c r="E1742" s="9">
        <f>IFERROR(DATE(2000+VALUE(MID(H1742,FIND("15",H1742,FIND("01",H1742)+16)+2,2)),VALUE(MID(H1742,FIND("15",H1742,FIND("01",H1742)+16)+4,2)),VALUE(MID(H1742,FIND("15",H1742,FIND("01",H1742)+16)+6,2))),"")</f>
        <v/>
      </c>
      <c r="F1742" s="8">
        <f>IFERROR(MID(H1742,FIND("10",H1742,FIND("15",H1742,FIND("01",H1742)+16)+8)+2,50),"")</f>
        <v/>
      </c>
      <c r="G1742" s="8" t="n"/>
      <c r="H1742" s="8">
        <f>SUBSTITUTE(SUBSTITUTE(SUBSTITUTE(SUBSTITUTE(A1742,"(",""),")","")," ",""),CHAR(29),"")</f>
        <v/>
      </c>
    </row>
    <row r="1743">
      <c r="A1743" s="4" t="n"/>
      <c r="B1743" s="5">
        <f>IFERROR(MID(H1743,FIND("01",H1743)+2,14),"")</f>
        <v/>
      </c>
      <c r="C1743" s="4">
        <f>IF(A1743="","",IFERROR(VLOOKUP(B1743,TblArticles,2,FALSE),"GTIN inconnu"))</f>
        <v/>
      </c>
      <c r="D1743" s="5">
        <f>IF(A1743="","",IFERROR(VLOOKUP(B1743,TblArticles,3,FALSE),""))</f>
        <v/>
      </c>
      <c r="E1743" s="6">
        <f>IFERROR(DATE(2000+VALUE(MID(H1743,FIND("15",H1743,FIND("01",H1743)+16)+2,2)),VALUE(MID(H1743,FIND("15",H1743,FIND("01",H1743)+16)+4,2)),VALUE(MID(H1743,FIND("15",H1743,FIND("01",H1743)+16)+6,2))),"")</f>
        <v/>
      </c>
      <c r="F1743" s="5">
        <f>IFERROR(MID(H1743,FIND("10",H1743,FIND("15",H1743,FIND("01",H1743)+16)+8)+2,50),"")</f>
        <v/>
      </c>
      <c r="G1743" s="5" t="n"/>
      <c r="H1743" s="5">
        <f>SUBSTITUTE(SUBSTITUTE(SUBSTITUTE(SUBSTITUTE(A1743,"(",""),")","")," ",""),CHAR(29),"")</f>
        <v/>
      </c>
    </row>
    <row r="1744">
      <c r="A1744" s="7" t="n"/>
      <c r="B1744" s="8">
        <f>IFERROR(MID(H1744,FIND("01",H1744)+2,14),"")</f>
        <v/>
      </c>
      <c r="C1744" s="7">
        <f>IF(A1744="","",IFERROR(VLOOKUP(B1744,TblArticles,2,FALSE),"GTIN inconnu"))</f>
        <v/>
      </c>
      <c r="D1744" s="8">
        <f>IF(A1744="","",IFERROR(VLOOKUP(B1744,TblArticles,3,FALSE),""))</f>
        <v/>
      </c>
      <c r="E1744" s="9">
        <f>IFERROR(DATE(2000+VALUE(MID(H1744,FIND("15",H1744,FIND("01",H1744)+16)+2,2)),VALUE(MID(H1744,FIND("15",H1744,FIND("01",H1744)+16)+4,2)),VALUE(MID(H1744,FIND("15",H1744,FIND("01",H1744)+16)+6,2))),"")</f>
        <v/>
      </c>
      <c r="F1744" s="8">
        <f>IFERROR(MID(H1744,FIND("10",H1744,FIND("15",H1744,FIND("01",H1744)+16)+8)+2,50),"")</f>
        <v/>
      </c>
      <c r="G1744" s="8" t="n"/>
      <c r="H1744" s="8">
        <f>SUBSTITUTE(SUBSTITUTE(SUBSTITUTE(SUBSTITUTE(A1744,"(",""),")","")," ",""),CHAR(29),"")</f>
        <v/>
      </c>
    </row>
    <row r="1745">
      <c r="A1745" s="4" t="n"/>
      <c r="B1745" s="5">
        <f>IFERROR(MID(H1745,FIND("01",H1745)+2,14),"")</f>
        <v/>
      </c>
      <c r="C1745" s="4">
        <f>IF(A1745="","",IFERROR(VLOOKUP(B1745,TblArticles,2,FALSE),"GTIN inconnu"))</f>
        <v/>
      </c>
      <c r="D1745" s="5">
        <f>IF(A1745="","",IFERROR(VLOOKUP(B1745,TblArticles,3,FALSE),""))</f>
        <v/>
      </c>
      <c r="E1745" s="6">
        <f>IFERROR(DATE(2000+VALUE(MID(H1745,FIND("15",H1745,FIND("01",H1745)+16)+2,2)),VALUE(MID(H1745,FIND("15",H1745,FIND("01",H1745)+16)+4,2)),VALUE(MID(H1745,FIND("15",H1745,FIND("01",H1745)+16)+6,2))),"")</f>
        <v/>
      </c>
      <c r="F1745" s="5">
        <f>IFERROR(MID(H1745,FIND("10",H1745,FIND("15",H1745,FIND("01",H1745)+16)+8)+2,50),"")</f>
        <v/>
      </c>
      <c r="G1745" s="5" t="n"/>
      <c r="H1745" s="5">
        <f>SUBSTITUTE(SUBSTITUTE(SUBSTITUTE(SUBSTITUTE(A1745,"(",""),")","")," ",""),CHAR(29),"")</f>
        <v/>
      </c>
    </row>
    <row r="1746">
      <c r="A1746" s="7" t="n"/>
      <c r="B1746" s="8">
        <f>IFERROR(MID(H1746,FIND("01",H1746)+2,14),"")</f>
        <v/>
      </c>
      <c r="C1746" s="7">
        <f>IF(A1746="","",IFERROR(VLOOKUP(B1746,TblArticles,2,FALSE),"GTIN inconnu"))</f>
        <v/>
      </c>
      <c r="D1746" s="8">
        <f>IF(A1746="","",IFERROR(VLOOKUP(B1746,TblArticles,3,FALSE),""))</f>
        <v/>
      </c>
      <c r="E1746" s="9">
        <f>IFERROR(DATE(2000+VALUE(MID(H1746,FIND("15",H1746,FIND("01",H1746)+16)+2,2)),VALUE(MID(H1746,FIND("15",H1746,FIND("01",H1746)+16)+4,2)),VALUE(MID(H1746,FIND("15",H1746,FIND("01",H1746)+16)+6,2))),"")</f>
        <v/>
      </c>
      <c r="F1746" s="8">
        <f>IFERROR(MID(H1746,FIND("10",H1746,FIND("15",H1746,FIND("01",H1746)+16)+8)+2,50),"")</f>
        <v/>
      </c>
      <c r="G1746" s="8" t="n"/>
      <c r="H1746" s="8">
        <f>SUBSTITUTE(SUBSTITUTE(SUBSTITUTE(SUBSTITUTE(A1746,"(",""),")","")," ",""),CHAR(29),"")</f>
        <v/>
      </c>
    </row>
    <row r="1747">
      <c r="A1747" s="4" t="n"/>
      <c r="B1747" s="5">
        <f>IFERROR(MID(H1747,FIND("01",H1747)+2,14),"")</f>
        <v/>
      </c>
      <c r="C1747" s="4">
        <f>IF(A1747="","",IFERROR(VLOOKUP(B1747,TblArticles,2,FALSE),"GTIN inconnu"))</f>
        <v/>
      </c>
      <c r="D1747" s="5">
        <f>IF(A1747="","",IFERROR(VLOOKUP(B1747,TblArticles,3,FALSE),""))</f>
        <v/>
      </c>
      <c r="E1747" s="6">
        <f>IFERROR(DATE(2000+VALUE(MID(H1747,FIND("15",H1747,FIND("01",H1747)+16)+2,2)),VALUE(MID(H1747,FIND("15",H1747,FIND("01",H1747)+16)+4,2)),VALUE(MID(H1747,FIND("15",H1747,FIND("01",H1747)+16)+6,2))),"")</f>
        <v/>
      </c>
      <c r="F1747" s="5">
        <f>IFERROR(MID(H1747,FIND("10",H1747,FIND("15",H1747,FIND("01",H1747)+16)+8)+2,50),"")</f>
        <v/>
      </c>
      <c r="G1747" s="5" t="n"/>
      <c r="H1747" s="5">
        <f>SUBSTITUTE(SUBSTITUTE(SUBSTITUTE(SUBSTITUTE(A1747,"(",""),")","")," ",""),CHAR(29),"")</f>
        <v/>
      </c>
    </row>
    <row r="1748">
      <c r="A1748" s="7" t="n"/>
      <c r="B1748" s="8">
        <f>IFERROR(MID(H1748,FIND("01",H1748)+2,14),"")</f>
        <v/>
      </c>
      <c r="C1748" s="7">
        <f>IF(A1748="","",IFERROR(VLOOKUP(B1748,TblArticles,2,FALSE),"GTIN inconnu"))</f>
        <v/>
      </c>
      <c r="D1748" s="8">
        <f>IF(A1748="","",IFERROR(VLOOKUP(B1748,TblArticles,3,FALSE),""))</f>
        <v/>
      </c>
      <c r="E1748" s="9">
        <f>IFERROR(DATE(2000+VALUE(MID(H1748,FIND("15",H1748,FIND("01",H1748)+16)+2,2)),VALUE(MID(H1748,FIND("15",H1748,FIND("01",H1748)+16)+4,2)),VALUE(MID(H1748,FIND("15",H1748,FIND("01",H1748)+16)+6,2))),"")</f>
        <v/>
      </c>
      <c r="F1748" s="8">
        <f>IFERROR(MID(H1748,FIND("10",H1748,FIND("15",H1748,FIND("01",H1748)+16)+8)+2,50),"")</f>
        <v/>
      </c>
      <c r="G1748" s="8" t="n"/>
      <c r="H1748" s="8">
        <f>SUBSTITUTE(SUBSTITUTE(SUBSTITUTE(SUBSTITUTE(A1748,"(",""),")","")," ",""),CHAR(29),"")</f>
        <v/>
      </c>
    </row>
    <row r="1749">
      <c r="A1749" s="4" t="n"/>
      <c r="B1749" s="5">
        <f>IFERROR(MID(H1749,FIND("01",H1749)+2,14),"")</f>
        <v/>
      </c>
      <c r="C1749" s="4">
        <f>IF(A1749="","",IFERROR(VLOOKUP(B1749,TblArticles,2,FALSE),"GTIN inconnu"))</f>
        <v/>
      </c>
      <c r="D1749" s="5">
        <f>IF(A1749="","",IFERROR(VLOOKUP(B1749,TblArticles,3,FALSE),""))</f>
        <v/>
      </c>
      <c r="E1749" s="6">
        <f>IFERROR(DATE(2000+VALUE(MID(H1749,FIND("15",H1749,FIND("01",H1749)+16)+2,2)),VALUE(MID(H1749,FIND("15",H1749,FIND("01",H1749)+16)+4,2)),VALUE(MID(H1749,FIND("15",H1749,FIND("01",H1749)+16)+6,2))),"")</f>
        <v/>
      </c>
      <c r="F1749" s="5">
        <f>IFERROR(MID(H1749,FIND("10",H1749,FIND("15",H1749,FIND("01",H1749)+16)+8)+2,50),"")</f>
        <v/>
      </c>
      <c r="G1749" s="5" t="n"/>
      <c r="H1749" s="5">
        <f>SUBSTITUTE(SUBSTITUTE(SUBSTITUTE(SUBSTITUTE(A1749,"(",""),")","")," ",""),CHAR(29),"")</f>
        <v/>
      </c>
    </row>
    <row r="1750">
      <c r="A1750" s="7" t="n"/>
      <c r="B1750" s="8">
        <f>IFERROR(MID(H1750,FIND("01",H1750)+2,14),"")</f>
        <v/>
      </c>
      <c r="C1750" s="7">
        <f>IF(A1750="","",IFERROR(VLOOKUP(B1750,TblArticles,2,FALSE),"GTIN inconnu"))</f>
        <v/>
      </c>
      <c r="D1750" s="8">
        <f>IF(A1750="","",IFERROR(VLOOKUP(B1750,TblArticles,3,FALSE),""))</f>
        <v/>
      </c>
      <c r="E1750" s="9">
        <f>IFERROR(DATE(2000+VALUE(MID(H1750,FIND("15",H1750,FIND("01",H1750)+16)+2,2)),VALUE(MID(H1750,FIND("15",H1750,FIND("01",H1750)+16)+4,2)),VALUE(MID(H1750,FIND("15",H1750,FIND("01",H1750)+16)+6,2))),"")</f>
        <v/>
      </c>
      <c r="F1750" s="8">
        <f>IFERROR(MID(H1750,FIND("10",H1750,FIND("15",H1750,FIND("01",H1750)+16)+8)+2,50),"")</f>
        <v/>
      </c>
      <c r="G1750" s="8" t="n"/>
      <c r="H1750" s="8">
        <f>SUBSTITUTE(SUBSTITUTE(SUBSTITUTE(SUBSTITUTE(A1750,"(",""),")","")," ",""),CHAR(29),"")</f>
        <v/>
      </c>
    </row>
    <row r="1751">
      <c r="A1751" s="4" t="n"/>
      <c r="B1751" s="5">
        <f>IFERROR(MID(H1751,FIND("01",H1751)+2,14),"")</f>
        <v/>
      </c>
      <c r="C1751" s="4">
        <f>IF(A1751="","",IFERROR(VLOOKUP(B1751,TblArticles,2,FALSE),"GTIN inconnu"))</f>
        <v/>
      </c>
      <c r="D1751" s="5">
        <f>IF(A1751="","",IFERROR(VLOOKUP(B1751,TblArticles,3,FALSE),""))</f>
        <v/>
      </c>
      <c r="E1751" s="6">
        <f>IFERROR(DATE(2000+VALUE(MID(H1751,FIND("15",H1751,FIND("01",H1751)+16)+2,2)),VALUE(MID(H1751,FIND("15",H1751,FIND("01",H1751)+16)+4,2)),VALUE(MID(H1751,FIND("15",H1751,FIND("01",H1751)+16)+6,2))),"")</f>
        <v/>
      </c>
      <c r="F1751" s="5">
        <f>IFERROR(MID(H1751,FIND("10",H1751,FIND("15",H1751,FIND("01",H1751)+16)+8)+2,50),"")</f>
        <v/>
      </c>
      <c r="G1751" s="5" t="n"/>
      <c r="H1751" s="5">
        <f>SUBSTITUTE(SUBSTITUTE(SUBSTITUTE(SUBSTITUTE(A1751,"(",""),")","")," ",""),CHAR(29),"")</f>
        <v/>
      </c>
    </row>
    <row r="1752">
      <c r="A1752" s="7" t="n"/>
      <c r="B1752" s="8">
        <f>IFERROR(MID(H1752,FIND("01",H1752)+2,14),"")</f>
        <v/>
      </c>
      <c r="C1752" s="7">
        <f>IF(A1752="","",IFERROR(VLOOKUP(B1752,TblArticles,2,FALSE),"GTIN inconnu"))</f>
        <v/>
      </c>
      <c r="D1752" s="8">
        <f>IF(A1752="","",IFERROR(VLOOKUP(B1752,TblArticles,3,FALSE),""))</f>
        <v/>
      </c>
      <c r="E1752" s="9">
        <f>IFERROR(DATE(2000+VALUE(MID(H1752,FIND("15",H1752,FIND("01",H1752)+16)+2,2)),VALUE(MID(H1752,FIND("15",H1752,FIND("01",H1752)+16)+4,2)),VALUE(MID(H1752,FIND("15",H1752,FIND("01",H1752)+16)+6,2))),"")</f>
        <v/>
      </c>
      <c r="F1752" s="8">
        <f>IFERROR(MID(H1752,FIND("10",H1752,FIND("15",H1752,FIND("01",H1752)+16)+8)+2,50),"")</f>
        <v/>
      </c>
      <c r="G1752" s="8" t="n"/>
      <c r="H1752" s="8">
        <f>SUBSTITUTE(SUBSTITUTE(SUBSTITUTE(SUBSTITUTE(A1752,"(",""),")","")," ",""),CHAR(29),"")</f>
        <v/>
      </c>
    </row>
    <row r="1753">
      <c r="A1753" s="4" t="n"/>
      <c r="B1753" s="5">
        <f>IFERROR(MID(H1753,FIND("01",H1753)+2,14),"")</f>
        <v/>
      </c>
      <c r="C1753" s="4">
        <f>IF(A1753="","",IFERROR(VLOOKUP(B1753,TblArticles,2,FALSE),"GTIN inconnu"))</f>
        <v/>
      </c>
      <c r="D1753" s="5">
        <f>IF(A1753="","",IFERROR(VLOOKUP(B1753,TblArticles,3,FALSE),""))</f>
        <v/>
      </c>
      <c r="E1753" s="6">
        <f>IFERROR(DATE(2000+VALUE(MID(H1753,FIND("15",H1753,FIND("01",H1753)+16)+2,2)),VALUE(MID(H1753,FIND("15",H1753,FIND("01",H1753)+16)+4,2)),VALUE(MID(H1753,FIND("15",H1753,FIND("01",H1753)+16)+6,2))),"")</f>
        <v/>
      </c>
      <c r="F1753" s="5">
        <f>IFERROR(MID(H1753,FIND("10",H1753,FIND("15",H1753,FIND("01",H1753)+16)+8)+2,50),"")</f>
        <v/>
      </c>
      <c r="G1753" s="5" t="n"/>
      <c r="H1753" s="5">
        <f>SUBSTITUTE(SUBSTITUTE(SUBSTITUTE(SUBSTITUTE(A1753,"(",""),")","")," ",""),CHAR(29),"")</f>
        <v/>
      </c>
    </row>
    <row r="1754">
      <c r="A1754" s="7" t="n"/>
      <c r="B1754" s="8">
        <f>IFERROR(MID(H1754,FIND("01",H1754)+2,14),"")</f>
        <v/>
      </c>
      <c r="C1754" s="7">
        <f>IF(A1754="","",IFERROR(VLOOKUP(B1754,TblArticles,2,FALSE),"GTIN inconnu"))</f>
        <v/>
      </c>
      <c r="D1754" s="8">
        <f>IF(A1754="","",IFERROR(VLOOKUP(B1754,TblArticles,3,FALSE),""))</f>
        <v/>
      </c>
      <c r="E1754" s="9">
        <f>IFERROR(DATE(2000+VALUE(MID(H1754,FIND("15",H1754,FIND("01",H1754)+16)+2,2)),VALUE(MID(H1754,FIND("15",H1754,FIND("01",H1754)+16)+4,2)),VALUE(MID(H1754,FIND("15",H1754,FIND("01",H1754)+16)+6,2))),"")</f>
        <v/>
      </c>
      <c r="F1754" s="8">
        <f>IFERROR(MID(H1754,FIND("10",H1754,FIND("15",H1754,FIND("01",H1754)+16)+8)+2,50),"")</f>
        <v/>
      </c>
      <c r="G1754" s="8" t="n"/>
      <c r="H1754" s="8">
        <f>SUBSTITUTE(SUBSTITUTE(SUBSTITUTE(SUBSTITUTE(A1754,"(",""),")","")," ",""),CHAR(29),"")</f>
        <v/>
      </c>
    </row>
    <row r="1755">
      <c r="A1755" s="4" t="n"/>
      <c r="B1755" s="5">
        <f>IFERROR(MID(H1755,FIND("01",H1755)+2,14),"")</f>
        <v/>
      </c>
      <c r="C1755" s="4">
        <f>IF(A1755="","",IFERROR(VLOOKUP(B1755,TblArticles,2,FALSE),"GTIN inconnu"))</f>
        <v/>
      </c>
      <c r="D1755" s="5">
        <f>IF(A1755="","",IFERROR(VLOOKUP(B1755,TblArticles,3,FALSE),""))</f>
        <v/>
      </c>
      <c r="E1755" s="6">
        <f>IFERROR(DATE(2000+VALUE(MID(H1755,FIND("15",H1755,FIND("01",H1755)+16)+2,2)),VALUE(MID(H1755,FIND("15",H1755,FIND("01",H1755)+16)+4,2)),VALUE(MID(H1755,FIND("15",H1755,FIND("01",H1755)+16)+6,2))),"")</f>
        <v/>
      </c>
      <c r="F1755" s="5">
        <f>IFERROR(MID(H1755,FIND("10",H1755,FIND("15",H1755,FIND("01",H1755)+16)+8)+2,50),"")</f>
        <v/>
      </c>
      <c r="G1755" s="5" t="n"/>
      <c r="H1755" s="5">
        <f>SUBSTITUTE(SUBSTITUTE(SUBSTITUTE(SUBSTITUTE(A1755,"(",""),")","")," ",""),CHAR(29),"")</f>
        <v/>
      </c>
    </row>
    <row r="1756">
      <c r="A1756" s="7" t="n"/>
      <c r="B1756" s="8">
        <f>IFERROR(MID(H1756,FIND("01",H1756)+2,14),"")</f>
        <v/>
      </c>
      <c r="C1756" s="7">
        <f>IF(A1756="","",IFERROR(VLOOKUP(B1756,TblArticles,2,FALSE),"GTIN inconnu"))</f>
        <v/>
      </c>
      <c r="D1756" s="8">
        <f>IF(A1756="","",IFERROR(VLOOKUP(B1756,TblArticles,3,FALSE),""))</f>
        <v/>
      </c>
      <c r="E1756" s="9">
        <f>IFERROR(DATE(2000+VALUE(MID(H1756,FIND("15",H1756,FIND("01",H1756)+16)+2,2)),VALUE(MID(H1756,FIND("15",H1756,FIND("01",H1756)+16)+4,2)),VALUE(MID(H1756,FIND("15",H1756,FIND("01",H1756)+16)+6,2))),"")</f>
        <v/>
      </c>
      <c r="F1756" s="8">
        <f>IFERROR(MID(H1756,FIND("10",H1756,FIND("15",H1756,FIND("01",H1756)+16)+8)+2,50),"")</f>
        <v/>
      </c>
      <c r="G1756" s="8" t="n"/>
      <c r="H1756" s="8">
        <f>SUBSTITUTE(SUBSTITUTE(SUBSTITUTE(SUBSTITUTE(A1756,"(",""),")","")," ",""),CHAR(29),"")</f>
        <v/>
      </c>
    </row>
    <row r="1757">
      <c r="A1757" s="4" t="n"/>
      <c r="B1757" s="5">
        <f>IFERROR(MID(H1757,FIND("01",H1757)+2,14),"")</f>
        <v/>
      </c>
      <c r="C1757" s="4">
        <f>IF(A1757="","",IFERROR(VLOOKUP(B1757,TblArticles,2,FALSE),"GTIN inconnu"))</f>
        <v/>
      </c>
      <c r="D1757" s="5">
        <f>IF(A1757="","",IFERROR(VLOOKUP(B1757,TblArticles,3,FALSE),""))</f>
        <v/>
      </c>
      <c r="E1757" s="6">
        <f>IFERROR(DATE(2000+VALUE(MID(H1757,FIND("15",H1757,FIND("01",H1757)+16)+2,2)),VALUE(MID(H1757,FIND("15",H1757,FIND("01",H1757)+16)+4,2)),VALUE(MID(H1757,FIND("15",H1757,FIND("01",H1757)+16)+6,2))),"")</f>
        <v/>
      </c>
      <c r="F1757" s="5">
        <f>IFERROR(MID(H1757,FIND("10",H1757,FIND("15",H1757,FIND("01",H1757)+16)+8)+2,50),"")</f>
        <v/>
      </c>
      <c r="G1757" s="5" t="n"/>
      <c r="H1757" s="5">
        <f>SUBSTITUTE(SUBSTITUTE(SUBSTITUTE(SUBSTITUTE(A1757,"(",""),")","")," ",""),CHAR(29),"")</f>
        <v/>
      </c>
    </row>
    <row r="1758">
      <c r="A1758" s="7" t="n"/>
      <c r="B1758" s="8">
        <f>IFERROR(MID(H1758,FIND("01",H1758)+2,14),"")</f>
        <v/>
      </c>
      <c r="C1758" s="7">
        <f>IF(A1758="","",IFERROR(VLOOKUP(B1758,TblArticles,2,FALSE),"GTIN inconnu"))</f>
        <v/>
      </c>
      <c r="D1758" s="8">
        <f>IF(A1758="","",IFERROR(VLOOKUP(B1758,TblArticles,3,FALSE),""))</f>
        <v/>
      </c>
      <c r="E1758" s="9">
        <f>IFERROR(DATE(2000+VALUE(MID(H1758,FIND("15",H1758,FIND("01",H1758)+16)+2,2)),VALUE(MID(H1758,FIND("15",H1758,FIND("01",H1758)+16)+4,2)),VALUE(MID(H1758,FIND("15",H1758,FIND("01",H1758)+16)+6,2))),"")</f>
        <v/>
      </c>
      <c r="F1758" s="8">
        <f>IFERROR(MID(H1758,FIND("10",H1758,FIND("15",H1758,FIND("01",H1758)+16)+8)+2,50),"")</f>
        <v/>
      </c>
      <c r="G1758" s="8" t="n"/>
      <c r="H1758" s="8">
        <f>SUBSTITUTE(SUBSTITUTE(SUBSTITUTE(SUBSTITUTE(A1758,"(",""),")","")," ",""),CHAR(29),"")</f>
        <v/>
      </c>
    </row>
    <row r="1759">
      <c r="A1759" s="4" t="n"/>
      <c r="B1759" s="5">
        <f>IFERROR(MID(H1759,FIND("01",H1759)+2,14),"")</f>
        <v/>
      </c>
      <c r="C1759" s="4">
        <f>IF(A1759="","",IFERROR(VLOOKUP(B1759,TblArticles,2,FALSE),"GTIN inconnu"))</f>
        <v/>
      </c>
      <c r="D1759" s="5">
        <f>IF(A1759="","",IFERROR(VLOOKUP(B1759,TblArticles,3,FALSE),""))</f>
        <v/>
      </c>
      <c r="E1759" s="6">
        <f>IFERROR(DATE(2000+VALUE(MID(H1759,FIND("15",H1759,FIND("01",H1759)+16)+2,2)),VALUE(MID(H1759,FIND("15",H1759,FIND("01",H1759)+16)+4,2)),VALUE(MID(H1759,FIND("15",H1759,FIND("01",H1759)+16)+6,2))),"")</f>
        <v/>
      </c>
      <c r="F1759" s="5">
        <f>IFERROR(MID(H1759,FIND("10",H1759,FIND("15",H1759,FIND("01",H1759)+16)+8)+2,50),"")</f>
        <v/>
      </c>
      <c r="G1759" s="5" t="n"/>
      <c r="H1759" s="5">
        <f>SUBSTITUTE(SUBSTITUTE(SUBSTITUTE(SUBSTITUTE(A1759,"(",""),")","")," ",""),CHAR(29),"")</f>
        <v/>
      </c>
    </row>
    <row r="1760">
      <c r="A1760" s="7" t="n"/>
      <c r="B1760" s="8">
        <f>IFERROR(MID(H1760,FIND("01",H1760)+2,14),"")</f>
        <v/>
      </c>
      <c r="C1760" s="7">
        <f>IF(A1760="","",IFERROR(VLOOKUP(B1760,TblArticles,2,FALSE),"GTIN inconnu"))</f>
        <v/>
      </c>
      <c r="D1760" s="8">
        <f>IF(A1760="","",IFERROR(VLOOKUP(B1760,TblArticles,3,FALSE),""))</f>
        <v/>
      </c>
      <c r="E1760" s="9">
        <f>IFERROR(DATE(2000+VALUE(MID(H1760,FIND("15",H1760,FIND("01",H1760)+16)+2,2)),VALUE(MID(H1760,FIND("15",H1760,FIND("01",H1760)+16)+4,2)),VALUE(MID(H1760,FIND("15",H1760,FIND("01",H1760)+16)+6,2))),"")</f>
        <v/>
      </c>
      <c r="F1760" s="8">
        <f>IFERROR(MID(H1760,FIND("10",H1760,FIND("15",H1760,FIND("01",H1760)+16)+8)+2,50),"")</f>
        <v/>
      </c>
      <c r="G1760" s="8" t="n"/>
      <c r="H1760" s="8">
        <f>SUBSTITUTE(SUBSTITUTE(SUBSTITUTE(SUBSTITUTE(A1760,"(",""),")","")," ",""),CHAR(29),"")</f>
        <v/>
      </c>
    </row>
    <row r="1761">
      <c r="A1761" s="4" t="n"/>
      <c r="B1761" s="5">
        <f>IFERROR(MID(H1761,FIND("01",H1761)+2,14),"")</f>
        <v/>
      </c>
      <c r="C1761" s="4">
        <f>IF(A1761="","",IFERROR(VLOOKUP(B1761,TblArticles,2,FALSE),"GTIN inconnu"))</f>
        <v/>
      </c>
      <c r="D1761" s="5">
        <f>IF(A1761="","",IFERROR(VLOOKUP(B1761,TblArticles,3,FALSE),""))</f>
        <v/>
      </c>
      <c r="E1761" s="6">
        <f>IFERROR(DATE(2000+VALUE(MID(H1761,FIND("15",H1761,FIND("01",H1761)+16)+2,2)),VALUE(MID(H1761,FIND("15",H1761,FIND("01",H1761)+16)+4,2)),VALUE(MID(H1761,FIND("15",H1761,FIND("01",H1761)+16)+6,2))),"")</f>
        <v/>
      </c>
      <c r="F1761" s="5">
        <f>IFERROR(MID(H1761,FIND("10",H1761,FIND("15",H1761,FIND("01",H1761)+16)+8)+2,50),"")</f>
        <v/>
      </c>
      <c r="G1761" s="5" t="n"/>
      <c r="H1761" s="5">
        <f>SUBSTITUTE(SUBSTITUTE(SUBSTITUTE(SUBSTITUTE(A1761,"(",""),")","")," ",""),CHAR(29),"")</f>
        <v/>
      </c>
    </row>
    <row r="1762">
      <c r="A1762" s="7" t="n"/>
      <c r="B1762" s="8">
        <f>IFERROR(MID(H1762,FIND("01",H1762)+2,14),"")</f>
        <v/>
      </c>
      <c r="C1762" s="7">
        <f>IF(A1762="","",IFERROR(VLOOKUP(B1762,TblArticles,2,FALSE),"GTIN inconnu"))</f>
        <v/>
      </c>
      <c r="D1762" s="8">
        <f>IF(A1762="","",IFERROR(VLOOKUP(B1762,TblArticles,3,FALSE),""))</f>
        <v/>
      </c>
      <c r="E1762" s="9">
        <f>IFERROR(DATE(2000+VALUE(MID(H1762,FIND("15",H1762,FIND("01",H1762)+16)+2,2)),VALUE(MID(H1762,FIND("15",H1762,FIND("01",H1762)+16)+4,2)),VALUE(MID(H1762,FIND("15",H1762,FIND("01",H1762)+16)+6,2))),"")</f>
        <v/>
      </c>
      <c r="F1762" s="8">
        <f>IFERROR(MID(H1762,FIND("10",H1762,FIND("15",H1762,FIND("01",H1762)+16)+8)+2,50),"")</f>
        <v/>
      </c>
      <c r="G1762" s="8" t="n"/>
      <c r="H1762" s="8">
        <f>SUBSTITUTE(SUBSTITUTE(SUBSTITUTE(SUBSTITUTE(A1762,"(",""),")","")," ",""),CHAR(29),"")</f>
        <v/>
      </c>
    </row>
    <row r="1763">
      <c r="A1763" s="4" t="n"/>
      <c r="B1763" s="5">
        <f>IFERROR(MID(H1763,FIND("01",H1763)+2,14),"")</f>
        <v/>
      </c>
      <c r="C1763" s="4">
        <f>IF(A1763="","",IFERROR(VLOOKUP(B1763,TblArticles,2,FALSE),"GTIN inconnu"))</f>
        <v/>
      </c>
      <c r="D1763" s="5">
        <f>IF(A1763="","",IFERROR(VLOOKUP(B1763,TblArticles,3,FALSE),""))</f>
        <v/>
      </c>
      <c r="E1763" s="6">
        <f>IFERROR(DATE(2000+VALUE(MID(H1763,FIND("15",H1763,FIND("01",H1763)+16)+2,2)),VALUE(MID(H1763,FIND("15",H1763,FIND("01",H1763)+16)+4,2)),VALUE(MID(H1763,FIND("15",H1763,FIND("01",H1763)+16)+6,2))),"")</f>
        <v/>
      </c>
      <c r="F1763" s="5">
        <f>IFERROR(MID(H1763,FIND("10",H1763,FIND("15",H1763,FIND("01",H1763)+16)+8)+2,50),"")</f>
        <v/>
      </c>
      <c r="G1763" s="5" t="n"/>
      <c r="H1763" s="5">
        <f>SUBSTITUTE(SUBSTITUTE(SUBSTITUTE(SUBSTITUTE(A1763,"(",""),")","")," ",""),CHAR(29),"")</f>
        <v/>
      </c>
    </row>
    <row r="1764">
      <c r="A1764" s="7" t="n"/>
      <c r="B1764" s="8">
        <f>IFERROR(MID(H1764,FIND("01",H1764)+2,14),"")</f>
        <v/>
      </c>
      <c r="C1764" s="7">
        <f>IF(A1764="","",IFERROR(VLOOKUP(B1764,TblArticles,2,FALSE),"GTIN inconnu"))</f>
        <v/>
      </c>
      <c r="D1764" s="8">
        <f>IF(A1764="","",IFERROR(VLOOKUP(B1764,TblArticles,3,FALSE),""))</f>
        <v/>
      </c>
      <c r="E1764" s="9">
        <f>IFERROR(DATE(2000+VALUE(MID(H1764,FIND("15",H1764,FIND("01",H1764)+16)+2,2)),VALUE(MID(H1764,FIND("15",H1764,FIND("01",H1764)+16)+4,2)),VALUE(MID(H1764,FIND("15",H1764,FIND("01",H1764)+16)+6,2))),"")</f>
        <v/>
      </c>
      <c r="F1764" s="8">
        <f>IFERROR(MID(H1764,FIND("10",H1764,FIND("15",H1764,FIND("01",H1764)+16)+8)+2,50),"")</f>
        <v/>
      </c>
      <c r="G1764" s="8" t="n"/>
      <c r="H1764" s="8">
        <f>SUBSTITUTE(SUBSTITUTE(SUBSTITUTE(SUBSTITUTE(A1764,"(",""),")","")," ",""),CHAR(29),"")</f>
        <v/>
      </c>
    </row>
    <row r="1765">
      <c r="A1765" s="4" t="n"/>
      <c r="B1765" s="5">
        <f>IFERROR(MID(H1765,FIND("01",H1765)+2,14),"")</f>
        <v/>
      </c>
      <c r="C1765" s="4">
        <f>IF(A1765="","",IFERROR(VLOOKUP(B1765,TblArticles,2,FALSE),"GTIN inconnu"))</f>
        <v/>
      </c>
      <c r="D1765" s="5">
        <f>IF(A1765="","",IFERROR(VLOOKUP(B1765,TblArticles,3,FALSE),""))</f>
        <v/>
      </c>
      <c r="E1765" s="6">
        <f>IFERROR(DATE(2000+VALUE(MID(H1765,FIND("15",H1765,FIND("01",H1765)+16)+2,2)),VALUE(MID(H1765,FIND("15",H1765,FIND("01",H1765)+16)+4,2)),VALUE(MID(H1765,FIND("15",H1765,FIND("01",H1765)+16)+6,2))),"")</f>
        <v/>
      </c>
      <c r="F1765" s="5">
        <f>IFERROR(MID(H1765,FIND("10",H1765,FIND("15",H1765,FIND("01",H1765)+16)+8)+2,50),"")</f>
        <v/>
      </c>
      <c r="G1765" s="5" t="n"/>
      <c r="H1765" s="5">
        <f>SUBSTITUTE(SUBSTITUTE(SUBSTITUTE(SUBSTITUTE(A1765,"(",""),")","")," ",""),CHAR(29),"")</f>
        <v/>
      </c>
    </row>
    <row r="1766">
      <c r="A1766" s="7" t="n"/>
      <c r="B1766" s="8">
        <f>IFERROR(MID(H1766,FIND("01",H1766)+2,14),"")</f>
        <v/>
      </c>
      <c r="C1766" s="7">
        <f>IF(A1766="","",IFERROR(VLOOKUP(B1766,TblArticles,2,FALSE),"GTIN inconnu"))</f>
        <v/>
      </c>
      <c r="D1766" s="8">
        <f>IF(A1766="","",IFERROR(VLOOKUP(B1766,TblArticles,3,FALSE),""))</f>
        <v/>
      </c>
      <c r="E1766" s="9">
        <f>IFERROR(DATE(2000+VALUE(MID(H1766,FIND("15",H1766,FIND("01",H1766)+16)+2,2)),VALUE(MID(H1766,FIND("15",H1766,FIND("01",H1766)+16)+4,2)),VALUE(MID(H1766,FIND("15",H1766,FIND("01",H1766)+16)+6,2))),"")</f>
        <v/>
      </c>
      <c r="F1766" s="8">
        <f>IFERROR(MID(H1766,FIND("10",H1766,FIND("15",H1766,FIND("01",H1766)+16)+8)+2,50),"")</f>
        <v/>
      </c>
      <c r="G1766" s="8" t="n"/>
      <c r="H1766" s="8">
        <f>SUBSTITUTE(SUBSTITUTE(SUBSTITUTE(SUBSTITUTE(A1766,"(",""),")","")," ",""),CHAR(29),"")</f>
        <v/>
      </c>
    </row>
    <row r="1767">
      <c r="A1767" s="4" t="n"/>
      <c r="B1767" s="5">
        <f>IFERROR(MID(H1767,FIND("01",H1767)+2,14),"")</f>
        <v/>
      </c>
      <c r="C1767" s="4">
        <f>IF(A1767="","",IFERROR(VLOOKUP(B1767,TblArticles,2,FALSE),"GTIN inconnu"))</f>
        <v/>
      </c>
      <c r="D1767" s="5">
        <f>IF(A1767="","",IFERROR(VLOOKUP(B1767,TblArticles,3,FALSE),""))</f>
        <v/>
      </c>
      <c r="E1767" s="6">
        <f>IFERROR(DATE(2000+VALUE(MID(H1767,FIND("15",H1767,FIND("01",H1767)+16)+2,2)),VALUE(MID(H1767,FIND("15",H1767,FIND("01",H1767)+16)+4,2)),VALUE(MID(H1767,FIND("15",H1767,FIND("01",H1767)+16)+6,2))),"")</f>
        <v/>
      </c>
      <c r="F1767" s="5">
        <f>IFERROR(MID(H1767,FIND("10",H1767,FIND("15",H1767,FIND("01",H1767)+16)+8)+2,50),"")</f>
        <v/>
      </c>
      <c r="G1767" s="5" t="n"/>
      <c r="H1767" s="5">
        <f>SUBSTITUTE(SUBSTITUTE(SUBSTITUTE(SUBSTITUTE(A1767,"(",""),")","")," ",""),CHAR(29),"")</f>
        <v/>
      </c>
    </row>
    <row r="1768">
      <c r="A1768" s="7" t="n"/>
      <c r="B1768" s="8">
        <f>IFERROR(MID(H1768,FIND("01",H1768)+2,14),"")</f>
        <v/>
      </c>
      <c r="C1768" s="7">
        <f>IF(A1768="","",IFERROR(VLOOKUP(B1768,TblArticles,2,FALSE),"GTIN inconnu"))</f>
        <v/>
      </c>
      <c r="D1768" s="8">
        <f>IF(A1768="","",IFERROR(VLOOKUP(B1768,TblArticles,3,FALSE),""))</f>
        <v/>
      </c>
      <c r="E1768" s="9">
        <f>IFERROR(DATE(2000+VALUE(MID(H1768,FIND("15",H1768,FIND("01",H1768)+16)+2,2)),VALUE(MID(H1768,FIND("15",H1768,FIND("01",H1768)+16)+4,2)),VALUE(MID(H1768,FIND("15",H1768,FIND("01",H1768)+16)+6,2))),"")</f>
        <v/>
      </c>
      <c r="F1768" s="8">
        <f>IFERROR(MID(H1768,FIND("10",H1768,FIND("15",H1768,FIND("01",H1768)+16)+8)+2,50),"")</f>
        <v/>
      </c>
      <c r="G1768" s="8" t="n"/>
      <c r="H1768" s="8">
        <f>SUBSTITUTE(SUBSTITUTE(SUBSTITUTE(SUBSTITUTE(A1768,"(",""),")","")," ",""),CHAR(29),"")</f>
        <v/>
      </c>
    </row>
    <row r="1769">
      <c r="A1769" s="4" t="n"/>
      <c r="B1769" s="5">
        <f>IFERROR(MID(H1769,FIND("01",H1769)+2,14),"")</f>
        <v/>
      </c>
      <c r="C1769" s="4">
        <f>IF(A1769="","",IFERROR(VLOOKUP(B1769,TblArticles,2,FALSE),"GTIN inconnu"))</f>
        <v/>
      </c>
      <c r="D1769" s="5">
        <f>IF(A1769="","",IFERROR(VLOOKUP(B1769,TblArticles,3,FALSE),""))</f>
        <v/>
      </c>
      <c r="E1769" s="6">
        <f>IFERROR(DATE(2000+VALUE(MID(H1769,FIND("15",H1769,FIND("01",H1769)+16)+2,2)),VALUE(MID(H1769,FIND("15",H1769,FIND("01",H1769)+16)+4,2)),VALUE(MID(H1769,FIND("15",H1769,FIND("01",H1769)+16)+6,2))),"")</f>
        <v/>
      </c>
      <c r="F1769" s="5">
        <f>IFERROR(MID(H1769,FIND("10",H1769,FIND("15",H1769,FIND("01",H1769)+16)+8)+2,50),"")</f>
        <v/>
      </c>
      <c r="G1769" s="5" t="n"/>
      <c r="H1769" s="5">
        <f>SUBSTITUTE(SUBSTITUTE(SUBSTITUTE(SUBSTITUTE(A1769,"(",""),")","")," ",""),CHAR(29),"")</f>
        <v/>
      </c>
    </row>
    <row r="1770">
      <c r="A1770" s="7" t="n"/>
      <c r="B1770" s="8">
        <f>IFERROR(MID(H1770,FIND("01",H1770)+2,14),"")</f>
        <v/>
      </c>
      <c r="C1770" s="7">
        <f>IF(A1770="","",IFERROR(VLOOKUP(B1770,TblArticles,2,FALSE),"GTIN inconnu"))</f>
        <v/>
      </c>
      <c r="D1770" s="8">
        <f>IF(A1770="","",IFERROR(VLOOKUP(B1770,TblArticles,3,FALSE),""))</f>
        <v/>
      </c>
      <c r="E1770" s="9">
        <f>IFERROR(DATE(2000+VALUE(MID(H1770,FIND("15",H1770,FIND("01",H1770)+16)+2,2)),VALUE(MID(H1770,FIND("15",H1770,FIND("01",H1770)+16)+4,2)),VALUE(MID(H1770,FIND("15",H1770,FIND("01",H1770)+16)+6,2))),"")</f>
        <v/>
      </c>
      <c r="F1770" s="8">
        <f>IFERROR(MID(H1770,FIND("10",H1770,FIND("15",H1770,FIND("01",H1770)+16)+8)+2,50),"")</f>
        <v/>
      </c>
      <c r="G1770" s="8" t="n"/>
      <c r="H1770" s="8">
        <f>SUBSTITUTE(SUBSTITUTE(SUBSTITUTE(SUBSTITUTE(A1770,"(",""),")","")," ",""),CHAR(29),"")</f>
        <v/>
      </c>
    </row>
    <row r="1771">
      <c r="A1771" s="4" t="n"/>
      <c r="B1771" s="5">
        <f>IFERROR(MID(H1771,FIND("01",H1771)+2,14),"")</f>
        <v/>
      </c>
      <c r="C1771" s="4">
        <f>IF(A1771="","",IFERROR(VLOOKUP(B1771,TblArticles,2,FALSE),"GTIN inconnu"))</f>
        <v/>
      </c>
      <c r="D1771" s="5">
        <f>IF(A1771="","",IFERROR(VLOOKUP(B1771,TblArticles,3,FALSE),""))</f>
        <v/>
      </c>
      <c r="E1771" s="6">
        <f>IFERROR(DATE(2000+VALUE(MID(H1771,FIND("15",H1771,FIND("01",H1771)+16)+2,2)),VALUE(MID(H1771,FIND("15",H1771,FIND("01",H1771)+16)+4,2)),VALUE(MID(H1771,FIND("15",H1771,FIND("01",H1771)+16)+6,2))),"")</f>
        <v/>
      </c>
      <c r="F1771" s="5">
        <f>IFERROR(MID(H1771,FIND("10",H1771,FIND("15",H1771,FIND("01",H1771)+16)+8)+2,50),"")</f>
        <v/>
      </c>
      <c r="G1771" s="5" t="n"/>
      <c r="H1771" s="5">
        <f>SUBSTITUTE(SUBSTITUTE(SUBSTITUTE(SUBSTITUTE(A1771,"(",""),")","")," ",""),CHAR(29),"")</f>
        <v/>
      </c>
    </row>
    <row r="1772">
      <c r="A1772" s="7" t="n"/>
      <c r="B1772" s="8">
        <f>IFERROR(MID(H1772,FIND("01",H1772)+2,14),"")</f>
        <v/>
      </c>
      <c r="C1772" s="7">
        <f>IF(A1772="","",IFERROR(VLOOKUP(B1772,TblArticles,2,FALSE),"GTIN inconnu"))</f>
        <v/>
      </c>
      <c r="D1772" s="8">
        <f>IF(A1772="","",IFERROR(VLOOKUP(B1772,TblArticles,3,FALSE),""))</f>
        <v/>
      </c>
      <c r="E1772" s="9">
        <f>IFERROR(DATE(2000+VALUE(MID(H1772,FIND("15",H1772,FIND("01",H1772)+16)+2,2)),VALUE(MID(H1772,FIND("15",H1772,FIND("01",H1772)+16)+4,2)),VALUE(MID(H1772,FIND("15",H1772,FIND("01",H1772)+16)+6,2))),"")</f>
        <v/>
      </c>
      <c r="F1772" s="8">
        <f>IFERROR(MID(H1772,FIND("10",H1772,FIND("15",H1772,FIND("01",H1772)+16)+8)+2,50),"")</f>
        <v/>
      </c>
      <c r="G1772" s="8" t="n"/>
      <c r="H1772" s="8">
        <f>SUBSTITUTE(SUBSTITUTE(SUBSTITUTE(SUBSTITUTE(A1772,"(",""),")","")," ",""),CHAR(29),"")</f>
        <v/>
      </c>
    </row>
    <row r="1773">
      <c r="A1773" s="4" t="n"/>
      <c r="B1773" s="5">
        <f>IFERROR(MID(H1773,FIND("01",H1773)+2,14),"")</f>
        <v/>
      </c>
      <c r="C1773" s="4">
        <f>IF(A1773="","",IFERROR(VLOOKUP(B1773,TblArticles,2,FALSE),"GTIN inconnu"))</f>
        <v/>
      </c>
      <c r="D1773" s="5">
        <f>IF(A1773="","",IFERROR(VLOOKUP(B1773,TblArticles,3,FALSE),""))</f>
        <v/>
      </c>
      <c r="E1773" s="6">
        <f>IFERROR(DATE(2000+VALUE(MID(H1773,FIND("15",H1773,FIND("01",H1773)+16)+2,2)),VALUE(MID(H1773,FIND("15",H1773,FIND("01",H1773)+16)+4,2)),VALUE(MID(H1773,FIND("15",H1773,FIND("01",H1773)+16)+6,2))),"")</f>
        <v/>
      </c>
      <c r="F1773" s="5">
        <f>IFERROR(MID(H1773,FIND("10",H1773,FIND("15",H1773,FIND("01",H1773)+16)+8)+2,50),"")</f>
        <v/>
      </c>
      <c r="G1773" s="5" t="n"/>
      <c r="H1773" s="5">
        <f>SUBSTITUTE(SUBSTITUTE(SUBSTITUTE(SUBSTITUTE(A1773,"(",""),")","")," ",""),CHAR(29),"")</f>
        <v/>
      </c>
    </row>
    <row r="1774">
      <c r="A1774" s="7" t="n"/>
      <c r="B1774" s="8">
        <f>IFERROR(MID(H1774,FIND("01",H1774)+2,14),"")</f>
        <v/>
      </c>
      <c r="C1774" s="7">
        <f>IF(A1774="","",IFERROR(VLOOKUP(B1774,TblArticles,2,FALSE),"GTIN inconnu"))</f>
        <v/>
      </c>
      <c r="D1774" s="8">
        <f>IF(A1774="","",IFERROR(VLOOKUP(B1774,TblArticles,3,FALSE),""))</f>
        <v/>
      </c>
      <c r="E1774" s="9">
        <f>IFERROR(DATE(2000+VALUE(MID(H1774,FIND("15",H1774,FIND("01",H1774)+16)+2,2)),VALUE(MID(H1774,FIND("15",H1774,FIND("01",H1774)+16)+4,2)),VALUE(MID(H1774,FIND("15",H1774,FIND("01",H1774)+16)+6,2))),"")</f>
        <v/>
      </c>
      <c r="F1774" s="8">
        <f>IFERROR(MID(H1774,FIND("10",H1774,FIND("15",H1774,FIND("01",H1774)+16)+8)+2,50),"")</f>
        <v/>
      </c>
      <c r="G1774" s="8" t="n"/>
      <c r="H1774" s="8">
        <f>SUBSTITUTE(SUBSTITUTE(SUBSTITUTE(SUBSTITUTE(A1774,"(",""),")","")," ",""),CHAR(29),"")</f>
        <v/>
      </c>
    </row>
    <row r="1775">
      <c r="A1775" s="4" t="n"/>
      <c r="B1775" s="5">
        <f>IFERROR(MID(H1775,FIND("01",H1775)+2,14),"")</f>
        <v/>
      </c>
      <c r="C1775" s="4">
        <f>IF(A1775="","",IFERROR(VLOOKUP(B1775,TblArticles,2,FALSE),"GTIN inconnu"))</f>
        <v/>
      </c>
      <c r="D1775" s="5">
        <f>IF(A1775="","",IFERROR(VLOOKUP(B1775,TblArticles,3,FALSE),""))</f>
        <v/>
      </c>
      <c r="E1775" s="6">
        <f>IFERROR(DATE(2000+VALUE(MID(H1775,FIND("15",H1775,FIND("01",H1775)+16)+2,2)),VALUE(MID(H1775,FIND("15",H1775,FIND("01",H1775)+16)+4,2)),VALUE(MID(H1775,FIND("15",H1775,FIND("01",H1775)+16)+6,2))),"")</f>
        <v/>
      </c>
      <c r="F1775" s="5">
        <f>IFERROR(MID(H1775,FIND("10",H1775,FIND("15",H1775,FIND("01",H1775)+16)+8)+2,50),"")</f>
        <v/>
      </c>
      <c r="G1775" s="5" t="n"/>
      <c r="H1775" s="5">
        <f>SUBSTITUTE(SUBSTITUTE(SUBSTITUTE(SUBSTITUTE(A1775,"(",""),")","")," ",""),CHAR(29),"")</f>
        <v/>
      </c>
    </row>
    <row r="1776">
      <c r="A1776" s="7" t="n"/>
      <c r="B1776" s="8">
        <f>IFERROR(MID(H1776,FIND("01",H1776)+2,14),"")</f>
        <v/>
      </c>
      <c r="C1776" s="7">
        <f>IF(A1776="","",IFERROR(VLOOKUP(B1776,TblArticles,2,FALSE),"GTIN inconnu"))</f>
        <v/>
      </c>
      <c r="D1776" s="8">
        <f>IF(A1776="","",IFERROR(VLOOKUP(B1776,TblArticles,3,FALSE),""))</f>
        <v/>
      </c>
      <c r="E1776" s="9">
        <f>IFERROR(DATE(2000+VALUE(MID(H1776,FIND("15",H1776,FIND("01",H1776)+16)+2,2)),VALUE(MID(H1776,FIND("15",H1776,FIND("01",H1776)+16)+4,2)),VALUE(MID(H1776,FIND("15",H1776,FIND("01",H1776)+16)+6,2))),"")</f>
        <v/>
      </c>
      <c r="F1776" s="8">
        <f>IFERROR(MID(H1776,FIND("10",H1776,FIND("15",H1776,FIND("01",H1776)+16)+8)+2,50),"")</f>
        <v/>
      </c>
      <c r="G1776" s="8" t="n"/>
      <c r="H1776" s="8">
        <f>SUBSTITUTE(SUBSTITUTE(SUBSTITUTE(SUBSTITUTE(A1776,"(",""),")","")," ",""),CHAR(29),"")</f>
        <v/>
      </c>
    </row>
    <row r="1777">
      <c r="A1777" s="4" t="n"/>
      <c r="B1777" s="5">
        <f>IFERROR(MID(H1777,FIND("01",H1777)+2,14),"")</f>
        <v/>
      </c>
      <c r="C1777" s="4">
        <f>IF(A1777="","",IFERROR(VLOOKUP(B1777,TblArticles,2,FALSE),"GTIN inconnu"))</f>
        <v/>
      </c>
      <c r="D1777" s="5">
        <f>IF(A1777="","",IFERROR(VLOOKUP(B1777,TblArticles,3,FALSE),""))</f>
        <v/>
      </c>
      <c r="E1777" s="6">
        <f>IFERROR(DATE(2000+VALUE(MID(H1777,FIND("15",H1777,FIND("01",H1777)+16)+2,2)),VALUE(MID(H1777,FIND("15",H1777,FIND("01",H1777)+16)+4,2)),VALUE(MID(H1777,FIND("15",H1777,FIND("01",H1777)+16)+6,2))),"")</f>
        <v/>
      </c>
      <c r="F1777" s="5">
        <f>IFERROR(MID(H1777,FIND("10",H1777,FIND("15",H1777,FIND("01",H1777)+16)+8)+2,50),"")</f>
        <v/>
      </c>
      <c r="G1777" s="5" t="n"/>
      <c r="H1777" s="5">
        <f>SUBSTITUTE(SUBSTITUTE(SUBSTITUTE(SUBSTITUTE(A1777,"(",""),")","")," ",""),CHAR(29),"")</f>
        <v/>
      </c>
    </row>
    <row r="1778">
      <c r="A1778" s="7" t="n"/>
      <c r="B1778" s="8">
        <f>IFERROR(MID(H1778,FIND("01",H1778)+2,14),"")</f>
        <v/>
      </c>
      <c r="C1778" s="7">
        <f>IF(A1778="","",IFERROR(VLOOKUP(B1778,TblArticles,2,FALSE),"GTIN inconnu"))</f>
        <v/>
      </c>
      <c r="D1778" s="8">
        <f>IF(A1778="","",IFERROR(VLOOKUP(B1778,TblArticles,3,FALSE),""))</f>
        <v/>
      </c>
      <c r="E1778" s="9">
        <f>IFERROR(DATE(2000+VALUE(MID(H1778,FIND("15",H1778,FIND("01",H1778)+16)+2,2)),VALUE(MID(H1778,FIND("15",H1778,FIND("01",H1778)+16)+4,2)),VALUE(MID(H1778,FIND("15",H1778,FIND("01",H1778)+16)+6,2))),"")</f>
        <v/>
      </c>
      <c r="F1778" s="8">
        <f>IFERROR(MID(H1778,FIND("10",H1778,FIND("15",H1778,FIND("01",H1778)+16)+8)+2,50),"")</f>
        <v/>
      </c>
      <c r="G1778" s="8" t="n"/>
      <c r="H1778" s="8">
        <f>SUBSTITUTE(SUBSTITUTE(SUBSTITUTE(SUBSTITUTE(A1778,"(",""),")","")," ",""),CHAR(29),"")</f>
        <v/>
      </c>
    </row>
    <row r="1779">
      <c r="A1779" s="4" t="n"/>
      <c r="B1779" s="5">
        <f>IFERROR(MID(H1779,FIND("01",H1779)+2,14),"")</f>
        <v/>
      </c>
      <c r="C1779" s="4">
        <f>IF(A1779="","",IFERROR(VLOOKUP(B1779,TblArticles,2,FALSE),"GTIN inconnu"))</f>
        <v/>
      </c>
      <c r="D1779" s="5">
        <f>IF(A1779="","",IFERROR(VLOOKUP(B1779,TblArticles,3,FALSE),""))</f>
        <v/>
      </c>
      <c r="E1779" s="6">
        <f>IFERROR(DATE(2000+VALUE(MID(H1779,FIND("15",H1779,FIND("01",H1779)+16)+2,2)),VALUE(MID(H1779,FIND("15",H1779,FIND("01",H1779)+16)+4,2)),VALUE(MID(H1779,FIND("15",H1779,FIND("01",H1779)+16)+6,2))),"")</f>
        <v/>
      </c>
      <c r="F1779" s="5">
        <f>IFERROR(MID(H1779,FIND("10",H1779,FIND("15",H1779,FIND("01",H1779)+16)+8)+2,50),"")</f>
        <v/>
      </c>
      <c r="G1779" s="5" t="n"/>
      <c r="H1779" s="5">
        <f>SUBSTITUTE(SUBSTITUTE(SUBSTITUTE(SUBSTITUTE(A1779,"(",""),")","")," ",""),CHAR(29),"")</f>
        <v/>
      </c>
    </row>
    <row r="1780">
      <c r="A1780" s="7" t="n"/>
      <c r="B1780" s="8">
        <f>IFERROR(MID(H1780,FIND("01",H1780)+2,14),"")</f>
        <v/>
      </c>
      <c r="C1780" s="7">
        <f>IF(A1780="","",IFERROR(VLOOKUP(B1780,TblArticles,2,FALSE),"GTIN inconnu"))</f>
        <v/>
      </c>
      <c r="D1780" s="8">
        <f>IF(A1780="","",IFERROR(VLOOKUP(B1780,TblArticles,3,FALSE),""))</f>
        <v/>
      </c>
      <c r="E1780" s="9">
        <f>IFERROR(DATE(2000+VALUE(MID(H1780,FIND("15",H1780,FIND("01",H1780)+16)+2,2)),VALUE(MID(H1780,FIND("15",H1780,FIND("01",H1780)+16)+4,2)),VALUE(MID(H1780,FIND("15",H1780,FIND("01",H1780)+16)+6,2))),"")</f>
        <v/>
      </c>
      <c r="F1780" s="8">
        <f>IFERROR(MID(H1780,FIND("10",H1780,FIND("15",H1780,FIND("01",H1780)+16)+8)+2,50),"")</f>
        <v/>
      </c>
      <c r="G1780" s="8" t="n"/>
      <c r="H1780" s="8">
        <f>SUBSTITUTE(SUBSTITUTE(SUBSTITUTE(SUBSTITUTE(A1780,"(",""),")","")," ",""),CHAR(29),"")</f>
        <v/>
      </c>
    </row>
    <row r="1781">
      <c r="A1781" s="4" t="n"/>
      <c r="B1781" s="5">
        <f>IFERROR(MID(H1781,FIND("01",H1781)+2,14),"")</f>
        <v/>
      </c>
      <c r="C1781" s="4">
        <f>IF(A1781="","",IFERROR(VLOOKUP(B1781,TblArticles,2,FALSE),"GTIN inconnu"))</f>
        <v/>
      </c>
      <c r="D1781" s="5">
        <f>IF(A1781="","",IFERROR(VLOOKUP(B1781,TblArticles,3,FALSE),""))</f>
        <v/>
      </c>
      <c r="E1781" s="6">
        <f>IFERROR(DATE(2000+VALUE(MID(H1781,FIND("15",H1781,FIND("01",H1781)+16)+2,2)),VALUE(MID(H1781,FIND("15",H1781,FIND("01",H1781)+16)+4,2)),VALUE(MID(H1781,FIND("15",H1781,FIND("01",H1781)+16)+6,2))),"")</f>
        <v/>
      </c>
      <c r="F1781" s="5">
        <f>IFERROR(MID(H1781,FIND("10",H1781,FIND("15",H1781,FIND("01",H1781)+16)+8)+2,50),"")</f>
        <v/>
      </c>
      <c r="G1781" s="5" t="n"/>
      <c r="H1781" s="5">
        <f>SUBSTITUTE(SUBSTITUTE(SUBSTITUTE(SUBSTITUTE(A1781,"(",""),")","")," ",""),CHAR(29),"")</f>
        <v/>
      </c>
    </row>
    <row r="1782">
      <c r="A1782" s="7" t="n"/>
      <c r="B1782" s="8">
        <f>IFERROR(MID(H1782,FIND("01",H1782)+2,14),"")</f>
        <v/>
      </c>
      <c r="C1782" s="7">
        <f>IF(A1782="","",IFERROR(VLOOKUP(B1782,TblArticles,2,FALSE),"GTIN inconnu"))</f>
        <v/>
      </c>
      <c r="D1782" s="8">
        <f>IF(A1782="","",IFERROR(VLOOKUP(B1782,TblArticles,3,FALSE),""))</f>
        <v/>
      </c>
      <c r="E1782" s="9">
        <f>IFERROR(DATE(2000+VALUE(MID(H1782,FIND("15",H1782,FIND("01",H1782)+16)+2,2)),VALUE(MID(H1782,FIND("15",H1782,FIND("01",H1782)+16)+4,2)),VALUE(MID(H1782,FIND("15",H1782,FIND("01",H1782)+16)+6,2))),"")</f>
        <v/>
      </c>
      <c r="F1782" s="8">
        <f>IFERROR(MID(H1782,FIND("10",H1782,FIND("15",H1782,FIND("01",H1782)+16)+8)+2,50),"")</f>
        <v/>
      </c>
      <c r="G1782" s="8" t="n"/>
      <c r="H1782" s="8">
        <f>SUBSTITUTE(SUBSTITUTE(SUBSTITUTE(SUBSTITUTE(A1782,"(",""),")","")," ",""),CHAR(29),"")</f>
        <v/>
      </c>
    </row>
    <row r="1783">
      <c r="A1783" s="4" t="n"/>
      <c r="B1783" s="5">
        <f>IFERROR(MID(H1783,FIND("01",H1783)+2,14),"")</f>
        <v/>
      </c>
      <c r="C1783" s="4">
        <f>IF(A1783="","",IFERROR(VLOOKUP(B1783,TblArticles,2,FALSE),"GTIN inconnu"))</f>
        <v/>
      </c>
      <c r="D1783" s="5">
        <f>IF(A1783="","",IFERROR(VLOOKUP(B1783,TblArticles,3,FALSE),""))</f>
        <v/>
      </c>
      <c r="E1783" s="6">
        <f>IFERROR(DATE(2000+VALUE(MID(H1783,FIND("15",H1783,FIND("01",H1783)+16)+2,2)),VALUE(MID(H1783,FIND("15",H1783,FIND("01",H1783)+16)+4,2)),VALUE(MID(H1783,FIND("15",H1783,FIND("01",H1783)+16)+6,2))),"")</f>
        <v/>
      </c>
      <c r="F1783" s="5">
        <f>IFERROR(MID(H1783,FIND("10",H1783,FIND("15",H1783,FIND("01",H1783)+16)+8)+2,50),"")</f>
        <v/>
      </c>
      <c r="G1783" s="5" t="n"/>
      <c r="H1783" s="5">
        <f>SUBSTITUTE(SUBSTITUTE(SUBSTITUTE(SUBSTITUTE(A1783,"(",""),")","")," ",""),CHAR(29),"")</f>
        <v/>
      </c>
    </row>
    <row r="1784">
      <c r="A1784" s="7" t="n"/>
      <c r="B1784" s="8">
        <f>IFERROR(MID(H1784,FIND("01",H1784)+2,14),"")</f>
        <v/>
      </c>
      <c r="C1784" s="7">
        <f>IF(A1784="","",IFERROR(VLOOKUP(B1784,TblArticles,2,FALSE),"GTIN inconnu"))</f>
        <v/>
      </c>
      <c r="D1784" s="8">
        <f>IF(A1784="","",IFERROR(VLOOKUP(B1784,TblArticles,3,FALSE),""))</f>
        <v/>
      </c>
      <c r="E1784" s="9">
        <f>IFERROR(DATE(2000+VALUE(MID(H1784,FIND("15",H1784,FIND("01",H1784)+16)+2,2)),VALUE(MID(H1784,FIND("15",H1784,FIND("01",H1784)+16)+4,2)),VALUE(MID(H1784,FIND("15",H1784,FIND("01",H1784)+16)+6,2))),"")</f>
        <v/>
      </c>
      <c r="F1784" s="8">
        <f>IFERROR(MID(H1784,FIND("10",H1784,FIND("15",H1784,FIND("01",H1784)+16)+8)+2,50),"")</f>
        <v/>
      </c>
      <c r="G1784" s="8" t="n"/>
      <c r="H1784" s="8">
        <f>SUBSTITUTE(SUBSTITUTE(SUBSTITUTE(SUBSTITUTE(A1784,"(",""),")","")," ",""),CHAR(29),"")</f>
        <v/>
      </c>
    </row>
    <row r="1785">
      <c r="A1785" s="4" t="n"/>
      <c r="B1785" s="5">
        <f>IFERROR(MID(H1785,FIND("01",H1785)+2,14),"")</f>
        <v/>
      </c>
      <c r="C1785" s="4">
        <f>IF(A1785="","",IFERROR(VLOOKUP(B1785,TblArticles,2,FALSE),"GTIN inconnu"))</f>
        <v/>
      </c>
      <c r="D1785" s="5">
        <f>IF(A1785="","",IFERROR(VLOOKUP(B1785,TblArticles,3,FALSE),""))</f>
        <v/>
      </c>
      <c r="E1785" s="6">
        <f>IFERROR(DATE(2000+VALUE(MID(H1785,FIND("15",H1785,FIND("01",H1785)+16)+2,2)),VALUE(MID(H1785,FIND("15",H1785,FIND("01",H1785)+16)+4,2)),VALUE(MID(H1785,FIND("15",H1785,FIND("01",H1785)+16)+6,2))),"")</f>
        <v/>
      </c>
      <c r="F1785" s="5">
        <f>IFERROR(MID(H1785,FIND("10",H1785,FIND("15",H1785,FIND("01",H1785)+16)+8)+2,50),"")</f>
        <v/>
      </c>
      <c r="G1785" s="5" t="n"/>
      <c r="H1785" s="5">
        <f>SUBSTITUTE(SUBSTITUTE(SUBSTITUTE(SUBSTITUTE(A1785,"(",""),")","")," ",""),CHAR(29),"")</f>
        <v/>
      </c>
    </row>
    <row r="1786">
      <c r="A1786" s="7" t="n"/>
      <c r="B1786" s="8">
        <f>IFERROR(MID(H1786,FIND("01",H1786)+2,14),"")</f>
        <v/>
      </c>
      <c r="C1786" s="7">
        <f>IF(A1786="","",IFERROR(VLOOKUP(B1786,TblArticles,2,FALSE),"GTIN inconnu"))</f>
        <v/>
      </c>
      <c r="D1786" s="8">
        <f>IF(A1786="","",IFERROR(VLOOKUP(B1786,TblArticles,3,FALSE),""))</f>
        <v/>
      </c>
      <c r="E1786" s="9">
        <f>IFERROR(DATE(2000+VALUE(MID(H1786,FIND("15",H1786,FIND("01",H1786)+16)+2,2)),VALUE(MID(H1786,FIND("15",H1786,FIND("01",H1786)+16)+4,2)),VALUE(MID(H1786,FIND("15",H1786,FIND("01",H1786)+16)+6,2))),"")</f>
        <v/>
      </c>
      <c r="F1786" s="8">
        <f>IFERROR(MID(H1786,FIND("10",H1786,FIND("15",H1786,FIND("01",H1786)+16)+8)+2,50),"")</f>
        <v/>
      </c>
      <c r="G1786" s="8" t="n"/>
      <c r="H1786" s="8">
        <f>SUBSTITUTE(SUBSTITUTE(SUBSTITUTE(SUBSTITUTE(A1786,"(",""),")","")," ",""),CHAR(29),"")</f>
        <v/>
      </c>
    </row>
    <row r="1787">
      <c r="A1787" s="4" t="n"/>
      <c r="B1787" s="5">
        <f>IFERROR(MID(H1787,FIND("01",H1787)+2,14),"")</f>
        <v/>
      </c>
      <c r="C1787" s="4">
        <f>IF(A1787="","",IFERROR(VLOOKUP(B1787,TblArticles,2,FALSE),"GTIN inconnu"))</f>
        <v/>
      </c>
      <c r="D1787" s="5">
        <f>IF(A1787="","",IFERROR(VLOOKUP(B1787,TblArticles,3,FALSE),""))</f>
        <v/>
      </c>
      <c r="E1787" s="6">
        <f>IFERROR(DATE(2000+VALUE(MID(H1787,FIND("15",H1787,FIND("01",H1787)+16)+2,2)),VALUE(MID(H1787,FIND("15",H1787,FIND("01",H1787)+16)+4,2)),VALUE(MID(H1787,FIND("15",H1787,FIND("01",H1787)+16)+6,2))),"")</f>
        <v/>
      </c>
      <c r="F1787" s="5">
        <f>IFERROR(MID(H1787,FIND("10",H1787,FIND("15",H1787,FIND("01",H1787)+16)+8)+2,50),"")</f>
        <v/>
      </c>
      <c r="G1787" s="5" t="n"/>
      <c r="H1787" s="5">
        <f>SUBSTITUTE(SUBSTITUTE(SUBSTITUTE(SUBSTITUTE(A1787,"(",""),")","")," ",""),CHAR(29),"")</f>
        <v/>
      </c>
    </row>
    <row r="1788">
      <c r="A1788" s="7" t="n"/>
      <c r="B1788" s="8">
        <f>IFERROR(MID(H1788,FIND("01",H1788)+2,14),"")</f>
        <v/>
      </c>
      <c r="C1788" s="7">
        <f>IF(A1788="","",IFERROR(VLOOKUP(B1788,TblArticles,2,FALSE),"GTIN inconnu"))</f>
        <v/>
      </c>
      <c r="D1788" s="8">
        <f>IF(A1788="","",IFERROR(VLOOKUP(B1788,TblArticles,3,FALSE),""))</f>
        <v/>
      </c>
      <c r="E1788" s="9">
        <f>IFERROR(DATE(2000+VALUE(MID(H1788,FIND("15",H1788,FIND("01",H1788)+16)+2,2)),VALUE(MID(H1788,FIND("15",H1788,FIND("01",H1788)+16)+4,2)),VALUE(MID(H1788,FIND("15",H1788,FIND("01",H1788)+16)+6,2))),"")</f>
        <v/>
      </c>
      <c r="F1788" s="8">
        <f>IFERROR(MID(H1788,FIND("10",H1788,FIND("15",H1788,FIND("01",H1788)+16)+8)+2,50),"")</f>
        <v/>
      </c>
      <c r="G1788" s="8" t="n"/>
      <c r="H1788" s="8">
        <f>SUBSTITUTE(SUBSTITUTE(SUBSTITUTE(SUBSTITUTE(A1788,"(",""),")","")," ",""),CHAR(29),"")</f>
        <v/>
      </c>
    </row>
    <row r="1789">
      <c r="A1789" s="4" t="n"/>
      <c r="B1789" s="5">
        <f>IFERROR(MID(H1789,FIND("01",H1789)+2,14),"")</f>
        <v/>
      </c>
      <c r="C1789" s="4">
        <f>IF(A1789="","",IFERROR(VLOOKUP(B1789,TblArticles,2,FALSE),"GTIN inconnu"))</f>
        <v/>
      </c>
      <c r="D1789" s="5">
        <f>IF(A1789="","",IFERROR(VLOOKUP(B1789,TblArticles,3,FALSE),""))</f>
        <v/>
      </c>
      <c r="E1789" s="6">
        <f>IFERROR(DATE(2000+VALUE(MID(H1789,FIND("15",H1789,FIND("01",H1789)+16)+2,2)),VALUE(MID(H1789,FIND("15",H1789,FIND("01",H1789)+16)+4,2)),VALUE(MID(H1789,FIND("15",H1789,FIND("01",H1789)+16)+6,2))),"")</f>
        <v/>
      </c>
      <c r="F1789" s="5">
        <f>IFERROR(MID(H1789,FIND("10",H1789,FIND("15",H1789,FIND("01",H1789)+16)+8)+2,50),"")</f>
        <v/>
      </c>
      <c r="G1789" s="5" t="n"/>
      <c r="H1789" s="5">
        <f>SUBSTITUTE(SUBSTITUTE(SUBSTITUTE(SUBSTITUTE(A1789,"(",""),")","")," ",""),CHAR(29),"")</f>
        <v/>
      </c>
    </row>
    <row r="1790">
      <c r="A1790" s="7" t="n"/>
      <c r="B1790" s="8">
        <f>IFERROR(MID(H1790,FIND("01",H1790)+2,14),"")</f>
        <v/>
      </c>
      <c r="C1790" s="7">
        <f>IF(A1790="","",IFERROR(VLOOKUP(B1790,TblArticles,2,FALSE),"GTIN inconnu"))</f>
        <v/>
      </c>
      <c r="D1790" s="8">
        <f>IF(A1790="","",IFERROR(VLOOKUP(B1790,TblArticles,3,FALSE),""))</f>
        <v/>
      </c>
      <c r="E1790" s="9">
        <f>IFERROR(DATE(2000+VALUE(MID(H1790,FIND("15",H1790,FIND("01",H1790)+16)+2,2)),VALUE(MID(H1790,FIND("15",H1790,FIND("01",H1790)+16)+4,2)),VALUE(MID(H1790,FIND("15",H1790,FIND("01",H1790)+16)+6,2))),"")</f>
        <v/>
      </c>
      <c r="F1790" s="8">
        <f>IFERROR(MID(H1790,FIND("10",H1790,FIND("15",H1790,FIND("01",H1790)+16)+8)+2,50),"")</f>
        <v/>
      </c>
      <c r="G1790" s="8" t="n"/>
      <c r="H1790" s="8">
        <f>SUBSTITUTE(SUBSTITUTE(SUBSTITUTE(SUBSTITUTE(A1790,"(",""),")","")," ",""),CHAR(29),"")</f>
        <v/>
      </c>
    </row>
    <row r="1791">
      <c r="A1791" s="4" t="n"/>
      <c r="B1791" s="5">
        <f>IFERROR(MID(H1791,FIND("01",H1791)+2,14),"")</f>
        <v/>
      </c>
      <c r="C1791" s="4">
        <f>IF(A1791="","",IFERROR(VLOOKUP(B1791,TblArticles,2,FALSE),"GTIN inconnu"))</f>
        <v/>
      </c>
      <c r="D1791" s="5">
        <f>IF(A1791="","",IFERROR(VLOOKUP(B1791,TblArticles,3,FALSE),""))</f>
        <v/>
      </c>
      <c r="E1791" s="6">
        <f>IFERROR(DATE(2000+VALUE(MID(H1791,FIND("15",H1791,FIND("01",H1791)+16)+2,2)),VALUE(MID(H1791,FIND("15",H1791,FIND("01",H1791)+16)+4,2)),VALUE(MID(H1791,FIND("15",H1791,FIND("01",H1791)+16)+6,2))),"")</f>
        <v/>
      </c>
      <c r="F1791" s="5">
        <f>IFERROR(MID(H1791,FIND("10",H1791,FIND("15",H1791,FIND("01",H1791)+16)+8)+2,50),"")</f>
        <v/>
      </c>
      <c r="G1791" s="5" t="n"/>
      <c r="H1791" s="5">
        <f>SUBSTITUTE(SUBSTITUTE(SUBSTITUTE(SUBSTITUTE(A1791,"(",""),")","")," ",""),CHAR(29),"")</f>
        <v/>
      </c>
    </row>
    <row r="1792">
      <c r="A1792" s="7" t="n"/>
      <c r="B1792" s="8">
        <f>IFERROR(MID(H1792,FIND("01",H1792)+2,14),"")</f>
        <v/>
      </c>
      <c r="C1792" s="7">
        <f>IF(A1792="","",IFERROR(VLOOKUP(B1792,TblArticles,2,FALSE),"GTIN inconnu"))</f>
        <v/>
      </c>
      <c r="D1792" s="8">
        <f>IF(A1792="","",IFERROR(VLOOKUP(B1792,TblArticles,3,FALSE),""))</f>
        <v/>
      </c>
      <c r="E1792" s="9">
        <f>IFERROR(DATE(2000+VALUE(MID(H1792,FIND("15",H1792,FIND("01",H1792)+16)+2,2)),VALUE(MID(H1792,FIND("15",H1792,FIND("01",H1792)+16)+4,2)),VALUE(MID(H1792,FIND("15",H1792,FIND("01",H1792)+16)+6,2))),"")</f>
        <v/>
      </c>
      <c r="F1792" s="8">
        <f>IFERROR(MID(H1792,FIND("10",H1792,FIND("15",H1792,FIND("01",H1792)+16)+8)+2,50),"")</f>
        <v/>
      </c>
      <c r="G1792" s="8" t="n"/>
      <c r="H1792" s="8">
        <f>SUBSTITUTE(SUBSTITUTE(SUBSTITUTE(SUBSTITUTE(A1792,"(",""),")","")," ",""),CHAR(29),"")</f>
        <v/>
      </c>
    </row>
    <row r="1793">
      <c r="A1793" s="4" t="n"/>
      <c r="B1793" s="5">
        <f>IFERROR(MID(H1793,FIND("01",H1793)+2,14),"")</f>
        <v/>
      </c>
      <c r="C1793" s="4">
        <f>IF(A1793="","",IFERROR(VLOOKUP(B1793,TblArticles,2,FALSE),"GTIN inconnu"))</f>
        <v/>
      </c>
      <c r="D1793" s="5">
        <f>IF(A1793="","",IFERROR(VLOOKUP(B1793,TblArticles,3,FALSE),""))</f>
        <v/>
      </c>
      <c r="E1793" s="6">
        <f>IFERROR(DATE(2000+VALUE(MID(H1793,FIND("15",H1793,FIND("01",H1793)+16)+2,2)),VALUE(MID(H1793,FIND("15",H1793,FIND("01",H1793)+16)+4,2)),VALUE(MID(H1793,FIND("15",H1793,FIND("01",H1793)+16)+6,2))),"")</f>
        <v/>
      </c>
      <c r="F1793" s="5">
        <f>IFERROR(MID(H1793,FIND("10",H1793,FIND("15",H1793,FIND("01",H1793)+16)+8)+2,50),"")</f>
        <v/>
      </c>
      <c r="G1793" s="5" t="n"/>
      <c r="H1793" s="5">
        <f>SUBSTITUTE(SUBSTITUTE(SUBSTITUTE(SUBSTITUTE(A1793,"(",""),")","")," ",""),CHAR(29),"")</f>
        <v/>
      </c>
    </row>
    <row r="1794">
      <c r="A1794" s="7" t="n"/>
      <c r="B1794" s="8">
        <f>IFERROR(MID(H1794,FIND("01",H1794)+2,14),"")</f>
        <v/>
      </c>
      <c r="C1794" s="7">
        <f>IF(A1794="","",IFERROR(VLOOKUP(B1794,TblArticles,2,FALSE),"GTIN inconnu"))</f>
        <v/>
      </c>
      <c r="D1794" s="8">
        <f>IF(A1794="","",IFERROR(VLOOKUP(B1794,TblArticles,3,FALSE),""))</f>
        <v/>
      </c>
      <c r="E1794" s="9">
        <f>IFERROR(DATE(2000+VALUE(MID(H1794,FIND("15",H1794,FIND("01",H1794)+16)+2,2)),VALUE(MID(H1794,FIND("15",H1794,FIND("01",H1794)+16)+4,2)),VALUE(MID(H1794,FIND("15",H1794,FIND("01",H1794)+16)+6,2))),"")</f>
        <v/>
      </c>
      <c r="F1794" s="8">
        <f>IFERROR(MID(H1794,FIND("10",H1794,FIND("15",H1794,FIND("01",H1794)+16)+8)+2,50),"")</f>
        <v/>
      </c>
      <c r="G1794" s="8" t="n"/>
      <c r="H1794" s="8">
        <f>SUBSTITUTE(SUBSTITUTE(SUBSTITUTE(SUBSTITUTE(A1794,"(",""),")","")," ",""),CHAR(29),"")</f>
        <v/>
      </c>
    </row>
    <row r="1795">
      <c r="A1795" s="4" t="n"/>
      <c r="B1795" s="5">
        <f>IFERROR(MID(H1795,FIND("01",H1795)+2,14),"")</f>
        <v/>
      </c>
      <c r="C1795" s="4">
        <f>IF(A1795="","",IFERROR(VLOOKUP(B1795,TblArticles,2,FALSE),"GTIN inconnu"))</f>
        <v/>
      </c>
      <c r="D1795" s="5">
        <f>IF(A1795="","",IFERROR(VLOOKUP(B1795,TblArticles,3,FALSE),""))</f>
        <v/>
      </c>
      <c r="E1795" s="6">
        <f>IFERROR(DATE(2000+VALUE(MID(H1795,FIND("15",H1795,FIND("01",H1795)+16)+2,2)),VALUE(MID(H1795,FIND("15",H1795,FIND("01",H1795)+16)+4,2)),VALUE(MID(H1795,FIND("15",H1795,FIND("01",H1795)+16)+6,2))),"")</f>
        <v/>
      </c>
      <c r="F1795" s="5">
        <f>IFERROR(MID(H1795,FIND("10",H1795,FIND("15",H1795,FIND("01",H1795)+16)+8)+2,50),"")</f>
        <v/>
      </c>
      <c r="G1795" s="5" t="n"/>
      <c r="H1795" s="5">
        <f>SUBSTITUTE(SUBSTITUTE(SUBSTITUTE(SUBSTITUTE(A1795,"(",""),")","")," ",""),CHAR(29),"")</f>
        <v/>
      </c>
    </row>
    <row r="1796">
      <c r="A1796" s="7" t="n"/>
      <c r="B1796" s="8">
        <f>IFERROR(MID(H1796,FIND("01",H1796)+2,14),"")</f>
        <v/>
      </c>
      <c r="C1796" s="7">
        <f>IF(A1796="","",IFERROR(VLOOKUP(B1796,TblArticles,2,FALSE),"GTIN inconnu"))</f>
        <v/>
      </c>
      <c r="D1796" s="8">
        <f>IF(A1796="","",IFERROR(VLOOKUP(B1796,TblArticles,3,FALSE),""))</f>
        <v/>
      </c>
      <c r="E1796" s="9">
        <f>IFERROR(DATE(2000+VALUE(MID(H1796,FIND("15",H1796,FIND("01",H1796)+16)+2,2)),VALUE(MID(H1796,FIND("15",H1796,FIND("01",H1796)+16)+4,2)),VALUE(MID(H1796,FIND("15",H1796,FIND("01",H1796)+16)+6,2))),"")</f>
        <v/>
      </c>
      <c r="F1796" s="8">
        <f>IFERROR(MID(H1796,FIND("10",H1796,FIND("15",H1796,FIND("01",H1796)+16)+8)+2,50),"")</f>
        <v/>
      </c>
      <c r="G1796" s="8" t="n"/>
      <c r="H1796" s="8">
        <f>SUBSTITUTE(SUBSTITUTE(SUBSTITUTE(SUBSTITUTE(A1796,"(",""),")","")," ",""),CHAR(29),"")</f>
        <v/>
      </c>
    </row>
    <row r="1797">
      <c r="A1797" s="4" t="n"/>
      <c r="B1797" s="5">
        <f>IFERROR(MID(H1797,FIND("01",H1797)+2,14),"")</f>
        <v/>
      </c>
      <c r="C1797" s="4">
        <f>IF(A1797="","",IFERROR(VLOOKUP(B1797,TblArticles,2,FALSE),"GTIN inconnu"))</f>
        <v/>
      </c>
      <c r="D1797" s="5">
        <f>IF(A1797="","",IFERROR(VLOOKUP(B1797,TblArticles,3,FALSE),""))</f>
        <v/>
      </c>
      <c r="E1797" s="6">
        <f>IFERROR(DATE(2000+VALUE(MID(H1797,FIND("15",H1797,FIND("01",H1797)+16)+2,2)),VALUE(MID(H1797,FIND("15",H1797,FIND("01",H1797)+16)+4,2)),VALUE(MID(H1797,FIND("15",H1797,FIND("01",H1797)+16)+6,2))),"")</f>
        <v/>
      </c>
      <c r="F1797" s="5">
        <f>IFERROR(MID(H1797,FIND("10",H1797,FIND("15",H1797,FIND("01",H1797)+16)+8)+2,50),"")</f>
        <v/>
      </c>
      <c r="G1797" s="5" t="n"/>
      <c r="H1797" s="5">
        <f>SUBSTITUTE(SUBSTITUTE(SUBSTITUTE(SUBSTITUTE(A1797,"(",""),")","")," ",""),CHAR(29),"")</f>
        <v/>
      </c>
    </row>
    <row r="1798">
      <c r="A1798" s="7" t="n"/>
      <c r="B1798" s="8">
        <f>IFERROR(MID(H1798,FIND("01",H1798)+2,14),"")</f>
        <v/>
      </c>
      <c r="C1798" s="7">
        <f>IF(A1798="","",IFERROR(VLOOKUP(B1798,TblArticles,2,FALSE),"GTIN inconnu"))</f>
        <v/>
      </c>
      <c r="D1798" s="8">
        <f>IF(A1798="","",IFERROR(VLOOKUP(B1798,TblArticles,3,FALSE),""))</f>
        <v/>
      </c>
      <c r="E1798" s="9">
        <f>IFERROR(DATE(2000+VALUE(MID(H1798,FIND("15",H1798,FIND("01",H1798)+16)+2,2)),VALUE(MID(H1798,FIND("15",H1798,FIND("01",H1798)+16)+4,2)),VALUE(MID(H1798,FIND("15",H1798,FIND("01",H1798)+16)+6,2))),"")</f>
        <v/>
      </c>
      <c r="F1798" s="8">
        <f>IFERROR(MID(H1798,FIND("10",H1798,FIND("15",H1798,FIND("01",H1798)+16)+8)+2,50),"")</f>
        <v/>
      </c>
      <c r="G1798" s="8" t="n"/>
      <c r="H1798" s="8">
        <f>SUBSTITUTE(SUBSTITUTE(SUBSTITUTE(SUBSTITUTE(A1798,"(",""),")","")," ",""),CHAR(29),"")</f>
        <v/>
      </c>
    </row>
    <row r="1799">
      <c r="A1799" s="4" t="n"/>
      <c r="B1799" s="5">
        <f>IFERROR(MID(H1799,FIND("01",H1799)+2,14),"")</f>
        <v/>
      </c>
      <c r="C1799" s="4">
        <f>IF(A1799="","",IFERROR(VLOOKUP(B1799,TblArticles,2,FALSE),"GTIN inconnu"))</f>
        <v/>
      </c>
      <c r="D1799" s="5">
        <f>IF(A1799="","",IFERROR(VLOOKUP(B1799,TblArticles,3,FALSE),""))</f>
        <v/>
      </c>
      <c r="E1799" s="6">
        <f>IFERROR(DATE(2000+VALUE(MID(H1799,FIND("15",H1799,FIND("01",H1799)+16)+2,2)),VALUE(MID(H1799,FIND("15",H1799,FIND("01",H1799)+16)+4,2)),VALUE(MID(H1799,FIND("15",H1799,FIND("01",H1799)+16)+6,2))),"")</f>
        <v/>
      </c>
      <c r="F1799" s="5">
        <f>IFERROR(MID(H1799,FIND("10",H1799,FIND("15",H1799,FIND("01",H1799)+16)+8)+2,50),"")</f>
        <v/>
      </c>
      <c r="G1799" s="5" t="n"/>
      <c r="H1799" s="5">
        <f>SUBSTITUTE(SUBSTITUTE(SUBSTITUTE(SUBSTITUTE(A1799,"(",""),")","")," ",""),CHAR(29),"")</f>
        <v/>
      </c>
    </row>
    <row r="1800">
      <c r="A1800" s="7" t="n"/>
      <c r="B1800" s="8">
        <f>IFERROR(MID(H1800,FIND("01",H1800)+2,14),"")</f>
        <v/>
      </c>
      <c r="C1800" s="7">
        <f>IF(A1800="","",IFERROR(VLOOKUP(B1800,TblArticles,2,FALSE),"GTIN inconnu"))</f>
        <v/>
      </c>
      <c r="D1800" s="8">
        <f>IF(A1800="","",IFERROR(VLOOKUP(B1800,TblArticles,3,FALSE),""))</f>
        <v/>
      </c>
      <c r="E1800" s="9">
        <f>IFERROR(DATE(2000+VALUE(MID(H1800,FIND("15",H1800,FIND("01",H1800)+16)+2,2)),VALUE(MID(H1800,FIND("15",H1800,FIND("01",H1800)+16)+4,2)),VALUE(MID(H1800,FIND("15",H1800,FIND("01",H1800)+16)+6,2))),"")</f>
        <v/>
      </c>
      <c r="F1800" s="8">
        <f>IFERROR(MID(H1800,FIND("10",H1800,FIND("15",H1800,FIND("01",H1800)+16)+8)+2,50),"")</f>
        <v/>
      </c>
      <c r="G1800" s="8" t="n"/>
      <c r="H1800" s="8">
        <f>SUBSTITUTE(SUBSTITUTE(SUBSTITUTE(SUBSTITUTE(A1800,"(",""),")","")," ",""),CHAR(29),"")</f>
        <v/>
      </c>
    </row>
    <row r="1801">
      <c r="A1801" s="4" t="n"/>
      <c r="B1801" s="5">
        <f>IFERROR(MID(H1801,FIND("01",H1801)+2,14),"")</f>
        <v/>
      </c>
      <c r="C1801" s="4">
        <f>IF(A1801="","",IFERROR(VLOOKUP(B1801,TblArticles,2,FALSE),"GTIN inconnu"))</f>
        <v/>
      </c>
      <c r="D1801" s="5">
        <f>IF(A1801="","",IFERROR(VLOOKUP(B1801,TblArticles,3,FALSE),""))</f>
        <v/>
      </c>
      <c r="E1801" s="6">
        <f>IFERROR(DATE(2000+VALUE(MID(H1801,FIND("15",H1801,FIND("01",H1801)+16)+2,2)),VALUE(MID(H1801,FIND("15",H1801,FIND("01",H1801)+16)+4,2)),VALUE(MID(H1801,FIND("15",H1801,FIND("01",H1801)+16)+6,2))),"")</f>
        <v/>
      </c>
      <c r="F1801" s="5">
        <f>IFERROR(MID(H1801,FIND("10",H1801,FIND("15",H1801,FIND("01",H1801)+16)+8)+2,50),"")</f>
        <v/>
      </c>
      <c r="G1801" s="5" t="n"/>
      <c r="H1801" s="5">
        <f>SUBSTITUTE(SUBSTITUTE(SUBSTITUTE(SUBSTITUTE(A1801,"(",""),")","")," ",""),CHAR(29),"")</f>
        <v/>
      </c>
    </row>
    <row r="1802">
      <c r="A1802" s="7" t="n"/>
      <c r="B1802" s="8">
        <f>IFERROR(MID(H1802,FIND("01",H1802)+2,14),"")</f>
        <v/>
      </c>
      <c r="C1802" s="7">
        <f>IF(A1802="","",IFERROR(VLOOKUP(B1802,TblArticles,2,FALSE),"GTIN inconnu"))</f>
        <v/>
      </c>
      <c r="D1802" s="8">
        <f>IF(A1802="","",IFERROR(VLOOKUP(B1802,TblArticles,3,FALSE),""))</f>
        <v/>
      </c>
      <c r="E1802" s="9">
        <f>IFERROR(DATE(2000+VALUE(MID(H1802,FIND("15",H1802,FIND("01",H1802)+16)+2,2)),VALUE(MID(H1802,FIND("15",H1802,FIND("01",H1802)+16)+4,2)),VALUE(MID(H1802,FIND("15",H1802,FIND("01",H1802)+16)+6,2))),"")</f>
        <v/>
      </c>
      <c r="F1802" s="8">
        <f>IFERROR(MID(H1802,FIND("10",H1802,FIND("15",H1802,FIND("01",H1802)+16)+8)+2,50),"")</f>
        <v/>
      </c>
      <c r="G1802" s="8" t="n"/>
      <c r="H1802" s="8">
        <f>SUBSTITUTE(SUBSTITUTE(SUBSTITUTE(SUBSTITUTE(A1802,"(",""),")","")," ",""),CHAR(29),"")</f>
        <v/>
      </c>
    </row>
    <row r="1803">
      <c r="A1803" s="4" t="n"/>
      <c r="B1803" s="5">
        <f>IFERROR(MID(H1803,FIND("01",H1803)+2,14),"")</f>
        <v/>
      </c>
      <c r="C1803" s="4">
        <f>IF(A1803="","",IFERROR(VLOOKUP(B1803,TblArticles,2,FALSE),"GTIN inconnu"))</f>
        <v/>
      </c>
      <c r="D1803" s="5">
        <f>IF(A1803="","",IFERROR(VLOOKUP(B1803,TblArticles,3,FALSE),""))</f>
        <v/>
      </c>
      <c r="E1803" s="6">
        <f>IFERROR(DATE(2000+VALUE(MID(H1803,FIND("15",H1803,FIND("01",H1803)+16)+2,2)),VALUE(MID(H1803,FIND("15",H1803,FIND("01",H1803)+16)+4,2)),VALUE(MID(H1803,FIND("15",H1803,FIND("01",H1803)+16)+6,2))),"")</f>
        <v/>
      </c>
      <c r="F1803" s="5">
        <f>IFERROR(MID(H1803,FIND("10",H1803,FIND("15",H1803,FIND("01",H1803)+16)+8)+2,50),"")</f>
        <v/>
      </c>
      <c r="G1803" s="5" t="n"/>
      <c r="H1803" s="5">
        <f>SUBSTITUTE(SUBSTITUTE(SUBSTITUTE(SUBSTITUTE(A1803,"(",""),")","")," ",""),CHAR(29),"")</f>
        <v/>
      </c>
    </row>
    <row r="1804">
      <c r="A1804" s="7" t="n"/>
      <c r="B1804" s="8">
        <f>IFERROR(MID(H1804,FIND("01",H1804)+2,14),"")</f>
        <v/>
      </c>
      <c r="C1804" s="7">
        <f>IF(A1804="","",IFERROR(VLOOKUP(B1804,TblArticles,2,FALSE),"GTIN inconnu"))</f>
        <v/>
      </c>
      <c r="D1804" s="8">
        <f>IF(A1804="","",IFERROR(VLOOKUP(B1804,TblArticles,3,FALSE),""))</f>
        <v/>
      </c>
      <c r="E1804" s="9">
        <f>IFERROR(DATE(2000+VALUE(MID(H1804,FIND("15",H1804,FIND("01",H1804)+16)+2,2)),VALUE(MID(H1804,FIND("15",H1804,FIND("01",H1804)+16)+4,2)),VALUE(MID(H1804,FIND("15",H1804,FIND("01",H1804)+16)+6,2))),"")</f>
        <v/>
      </c>
      <c r="F1804" s="8">
        <f>IFERROR(MID(H1804,FIND("10",H1804,FIND("15",H1804,FIND("01",H1804)+16)+8)+2,50),"")</f>
        <v/>
      </c>
      <c r="G1804" s="8" t="n"/>
      <c r="H1804" s="8">
        <f>SUBSTITUTE(SUBSTITUTE(SUBSTITUTE(SUBSTITUTE(A1804,"(",""),")","")," ",""),CHAR(29),"")</f>
        <v/>
      </c>
    </row>
    <row r="1805">
      <c r="A1805" s="4" t="n"/>
      <c r="B1805" s="5">
        <f>IFERROR(MID(H1805,FIND("01",H1805)+2,14),"")</f>
        <v/>
      </c>
      <c r="C1805" s="4">
        <f>IF(A1805="","",IFERROR(VLOOKUP(B1805,TblArticles,2,FALSE),"GTIN inconnu"))</f>
        <v/>
      </c>
      <c r="D1805" s="5">
        <f>IF(A1805="","",IFERROR(VLOOKUP(B1805,TblArticles,3,FALSE),""))</f>
        <v/>
      </c>
      <c r="E1805" s="6">
        <f>IFERROR(DATE(2000+VALUE(MID(H1805,FIND("15",H1805,FIND("01",H1805)+16)+2,2)),VALUE(MID(H1805,FIND("15",H1805,FIND("01",H1805)+16)+4,2)),VALUE(MID(H1805,FIND("15",H1805,FIND("01",H1805)+16)+6,2))),"")</f>
        <v/>
      </c>
      <c r="F1805" s="5">
        <f>IFERROR(MID(H1805,FIND("10",H1805,FIND("15",H1805,FIND("01",H1805)+16)+8)+2,50),"")</f>
        <v/>
      </c>
      <c r="G1805" s="5" t="n"/>
      <c r="H1805" s="5">
        <f>SUBSTITUTE(SUBSTITUTE(SUBSTITUTE(SUBSTITUTE(A1805,"(",""),")","")," ",""),CHAR(29),"")</f>
        <v/>
      </c>
    </row>
    <row r="1806">
      <c r="A1806" s="7" t="n"/>
      <c r="B1806" s="8">
        <f>IFERROR(MID(H1806,FIND("01",H1806)+2,14),"")</f>
        <v/>
      </c>
      <c r="C1806" s="7">
        <f>IF(A1806="","",IFERROR(VLOOKUP(B1806,TblArticles,2,FALSE),"GTIN inconnu"))</f>
        <v/>
      </c>
      <c r="D1806" s="8">
        <f>IF(A1806="","",IFERROR(VLOOKUP(B1806,TblArticles,3,FALSE),""))</f>
        <v/>
      </c>
      <c r="E1806" s="9">
        <f>IFERROR(DATE(2000+VALUE(MID(H1806,FIND("15",H1806,FIND("01",H1806)+16)+2,2)),VALUE(MID(H1806,FIND("15",H1806,FIND("01",H1806)+16)+4,2)),VALUE(MID(H1806,FIND("15",H1806,FIND("01",H1806)+16)+6,2))),"")</f>
        <v/>
      </c>
      <c r="F1806" s="8">
        <f>IFERROR(MID(H1806,FIND("10",H1806,FIND("15",H1806,FIND("01",H1806)+16)+8)+2,50),"")</f>
        <v/>
      </c>
      <c r="G1806" s="8" t="n"/>
      <c r="H1806" s="8">
        <f>SUBSTITUTE(SUBSTITUTE(SUBSTITUTE(SUBSTITUTE(A1806,"(",""),")","")," ",""),CHAR(29),"")</f>
        <v/>
      </c>
    </row>
    <row r="1807">
      <c r="A1807" s="4" t="n"/>
      <c r="B1807" s="5">
        <f>IFERROR(MID(H1807,FIND("01",H1807)+2,14),"")</f>
        <v/>
      </c>
      <c r="C1807" s="4">
        <f>IF(A1807="","",IFERROR(VLOOKUP(B1807,TblArticles,2,FALSE),"GTIN inconnu"))</f>
        <v/>
      </c>
      <c r="D1807" s="5">
        <f>IF(A1807="","",IFERROR(VLOOKUP(B1807,TblArticles,3,FALSE),""))</f>
        <v/>
      </c>
      <c r="E1807" s="6">
        <f>IFERROR(DATE(2000+VALUE(MID(H1807,FIND("15",H1807,FIND("01",H1807)+16)+2,2)),VALUE(MID(H1807,FIND("15",H1807,FIND("01",H1807)+16)+4,2)),VALUE(MID(H1807,FIND("15",H1807,FIND("01",H1807)+16)+6,2))),"")</f>
        <v/>
      </c>
      <c r="F1807" s="5">
        <f>IFERROR(MID(H1807,FIND("10",H1807,FIND("15",H1807,FIND("01",H1807)+16)+8)+2,50),"")</f>
        <v/>
      </c>
      <c r="G1807" s="5" t="n"/>
      <c r="H1807" s="5">
        <f>SUBSTITUTE(SUBSTITUTE(SUBSTITUTE(SUBSTITUTE(A1807,"(",""),")","")," ",""),CHAR(29),"")</f>
        <v/>
      </c>
    </row>
    <row r="1808">
      <c r="A1808" s="7" t="n"/>
      <c r="B1808" s="8">
        <f>IFERROR(MID(H1808,FIND("01",H1808)+2,14),"")</f>
        <v/>
      </c>
      <c r="C1808" s="7">
        <f>IF(A1808="","",IFERROR(VLOOKUP(B1808,TblArticles,2,FALSE),"GTIN inconnu"))</f>
        <v/>
      </c>
      <c r="D1808" s="8">
        <f>IF(A1808="","",IFERROR(VLOOKUP(B1808,TblArticles,3,FALSE),""))</f>
        <v/>
      </c>
      <c r="E1808" s="9">
        <f>IFERROR(DATE(2000+VALUE(MID(H1808,FIND("15",H1808,FIND("01",H1808)+16)+2,2)),VALUE(MID(H1808,FIND("15",H1808,FIND("01",H1808)+16)+4,2)),VALUE(MID(H1808,FIND("15",H1808,FIND("01",H1808)+16)+6,2))),"")</f>
        <v/>
      </c>
      <c r="F1808" s="8">
        <f>IFERROR(MID(H1808,FIND("10",H1808,FIND("15",H1808,FIND("01",H1808)+16)+8)+2,50),"")</f>
        <v/>
      </c>
      <c r="G1808" s="8" t="n"/>
      <c r="H1808" s="8">
        <f>SUBSTITUTE(SUBSTITUTE(SUBSTITUTE(SUBSTITUTE(A1808,"(",""),")","")," ",""),CHAR(29),"")</f>
        <v/>
      </c>
    </row>
    <row r="1809">
      <c r="A1809" s="4" t="n"/>
      <c r="B1809" s="5">
        <f>IFERROR(MID(H1809,FIND("01",H1809)+2,14),"")</f>
        <v/>
      </c>
      <c r="C1809" s="4">
        <f>IF(A1809="","",IFERROR(VLOOKUP(B1809,TblArticles,2,FALSE),"GTIN inconnu"))</f>
        <v/>
      </c>
      <c r="D1809" s="5">
        <f>IF(A1809="","",IFERROR(VLOOKUP(B1809,TblArticles,3,FALSE),""))</f>
        <v/>
      </c>
      <c r="E1809" s="6">
        <f>IFERROR(DATE(2000+VALUE(MID(H1809,FIND("15",H1809,FIND("01",H1809)+16)+2,2)),VALUE(MID(H1809,FIND("15",H1809,FIND("01",H1809)+16)+4,2)),VALUE(MID(H1809,FIND("15",H1809,FIND("01",H1809)+16)+6,2))),"")</f>
        <v/>
      </c>
      <c r="F1809" s="5">
        <f>IFERROR(MID(H1809,FIND("10",H1809,FIND("15",H1809,FIND("01",H1809)+16)+8)+2,50),"")</f>
        <v/>
      </c>
      <c r="G1809" s="5" t="n"/>
      <c r="H1809" s="5">
        <f>SUBSTITUTE(SUBSTITUTE(SUBSTITUTE(SUBSTITUTE(A1809,"(",""),")","")," ",""),CHAR(29),"")</f>
        <v/>
      </c>
    </row>
    <row r="1810">
      <c r="A1810" s="7" t="n"/>
      <c r="B1810" s="8">
        <f>IFERROR(MID(H1810,FIND("01",H1810)+2,14),"")</f>
        <v/>
      </c>
      <c r="C1810" s="7">
        <f>IF(A1810="","",IFERROR(VLOOKUP(B1810,TblArticles,2,FALSE),"GTIN inconnu"))</f>
        <v/>
      </c>
      <c r="D1810" s="8">
        <f>IF(A1810="","",IFERROR(VLOOKUP(B1810,TblArticles,3,FALSE),""))</f>
        <v/>
      </c>
      <c r="E1810" s="9">
        <f>IFERROR(DATE(2000+VALUE(MID(H1810,FIND("15",H1810,FIND("01",H1810)+16)+2,2)),VALUE(MID(H1810,FIND("15",H1810,FIND("01",H1810)+16)+4,2)),VALUE(MID(H1810,FIND("15",H1810,FIND("01",H1810)+16)+6,2))),"")</f>
        <v/>
      </c>
      <c r="F1810" s="8">
        <f>IFERROR(MID(H1810,FIND("10",H1810,FIND("15",H1810,FIND("01",H1810)+16)+8)+2,50),"")</f>
        <v/>
      </c>
      <c r="G1810" s="8" t="n"/>
      <c r="H1810" s="8">
        <f>SUBSTITUTE(SUBSTITUTE(SUBSTITUTE(SUBSTITUTE(A1810,"(",""),")","")," ",""),CHAR(29),"")</f>
        <v/>
      </c>
    </row>
    <row r="1811">
      <c r="A1811" s="4" t="n"/>
      <c r="B1811" s="5">
        <f>IFERROR(MID(H1811,FIND("01",H1811)+2,14),"")</f>
        <v/>
      </c>
      <c r="C1811" s="4">
        <f>IF(A1811="","",IFERROR(VLOOKUP(B1811,TblArticles,2,FALSE),"GTIN inconnu"))</f>
        <v/>
      </c>
      <c r="D1811" s="5">
        <f>IF(A1811="","",IFERROR(VLOOKUP(B1811,TblArticles,3,FALSE),""))</f>
        <v/>
      </c>
      <c r="E1811" s="6">
        <f>IFERROR(DATE(2000+VALUE(MID(H1811,FIND("15",H1811,FIND("01",H1811)+16)+2,2)),VALUE(MID(H1811,FIND("15",H1811,FIND("01",H1811)+16)+4,2)),VALUE(MID(H1811,FIND("15",H1811,FIND("01",H1811)+16)+6,2))),"")</f>
        <v/>
      </c>
      <c r="F1811" s="5">
        <f>IFERROR(MID(H1811,FIND("10",H1811,FIND("15",H1811,FIND("01",H1811)+16)+8)+2,50),"")</f>
        <v/>
      </c>
      <c r="G1811" s="5" t="n"/>
      <c r="H1811" s="5">
        <f>SUBSTITUTE(SUBSTITUTE(SUBSTITUTE(SUBSTITUTE(A1811,"(",""),")","")," ",""),CHAR(29),"")</f>
        <v/>
      </c>
    </row>
    <row r="1812">
      <c r="A1812" s="7" t="n"/>
      <c r="B1812" s="8">
        <f>IFERROR(MID(H1812,FIND("01",H1812)+2,14),"")</f>
        <v/>
      </c>
      <c r="C1812" s="7">
        <f>IF(A1812="","",IFERROR(VLOOKUP(B1812,TblArticles,2,FALSE),"GTIN inconnu"))</f>
        <v/>
      </c>
      <c r="D1812" s="8">
        <f>IF(A1812="","",IFERROR(VLOOKUP(B1812,TblArticles,3,FALSE),""))</f>
        <v/>
      </c>
      <c r="E1812" s="9">
        <f>IFERROR(DATE(2000+VALUE(MID(H1812,FIND("15",H1812,FIND("01",H1812)+16)+2,2)),VALUE(MID(H1812,FIND("15",H1812,FIND("01",H1812)+16)+4,2)),VALUE(MID(H1812,FIND("15",H1812,FIND("01",H1812)+16)+6,2))),"")</f>
        <v/>
      </c>
      <c r="F1812" s="8">
        <f>IFERROR(MID(H1812,FIND("10",H1812,FIND("15",H1812,FIND("01",H1812)+16)+8)+2,50),"")</f>
        <v/>
      </c>
      <c r="G1812" s="8" t="n"/>
      <c r="H1812" s="8">
        <f>SUBSTITUTE(SUBSTITUTE(SUBSTITUTE(SUBSTITUTE(A1812,"(",""),")","")," ",""),CHAR(29),"")</f>
        <v/>
      </c>
    </row>
    <row r="1813">
      <c r="A1813" s="4" t="n"/>
      <c r="B1813" s="5">
        <f>IFERROR(MID(H1813,FIND("01",H1813)+2,14),"")</f>
        <v/>
      </c>
      <c r="C1813" s="4">
        <f>IF(A1813="","",IFERROR(VLOOKUP(B1813,TblArticles,2,FALSE),"GTIN inconnu"))</f>
        <v/>
      </c>
      <c r="D1813" s="5">
        <f>IF(A1813="","",IFERROR(VLOOKUP(B1813,TblArticles,3,FALSE),""))</f>
        <v/>
      </c>
      <c r="E1813" s="6">
        <f>IFERROR(DATE(2000+VALUE(MID(H1813,FIND("15",H1813,FIND("01",H1813)+16)+2,2)),VALUE(MID(H1813,FIND("15",H1813,FIND("01",H1813)+16)+4,2)),VALUE(MID(H1813,FIND("15",H1813,FIND("01",H1813)+16)+6,2))),"")</f>
        <v/>
      </c>
      <c r="F1813" s="5">
        <f>IFERROR(MID(H1813,FIND("10",H1813,FIND("15",H1813,FIND("01",H1813)+16)+8)+2,50),"")</f>
        <v/>
      </c>
      <c r="G1813" s="5" t="n"/>
      <c r="H1813" s="5">
        <f>SUBSTITUTE(SUBSTITUTE(SUBSTITUTE(SUBSTITUTE(A1813,"(",""),")","")," ",""),CHAR(29),"")</f>
        <v/>
      </c>
    </row>
    <row r="1814">
      <c r="A1814" s="7" t="n"/>
      <c r="B1814" s="8">
        <f>IFERROR(MID(H1814,FIND("01",H1814)+2,14),"")</f>
        <v/>
      </c>
      <c r="C1814" s="7">
        <f>IF(A1814="","",IFERROR(VLOOKUP(B1814,TblArticles,2,FALSE),"GTIN inconnu"))</f>
        <v/>
      </c>
      <c r="D1814" s="8">
        <f>IF(A1814="","",IFERROR(VLOOKUP(B1814,TblArticles,3,FALSE),""))</f>
        <v/>
      </c>
      <c r="E1814" s="9">
        <f>IFERROR(DATE(2000+VALUE(MID(H1814,FIND("15",H1814,FIND("01",H1814)+16)+2,2)),VALUE(MID(H1814,FIND("15",H1814,FIND("01",H1814)+16)+4,2)),VALUE(MID(H1814,FIND("15",H1814,FIND("01",H1814)+16)+6,2))),"")</f>
        <v/>
      </c>
      <c r="F1814" s="8">
        <f>IFERROR(MID(H1814,FIND("10",H1814,FIND("15",H1814,FIND("01",H1814)+16)+8)+2,50),"")</f>
        <v/>
      </c>
      <c r="G1814" s="8" t="n"/>
      <c r="H1814" s="8">
        <f>SUBSTITUTE(SUBSTITUTE(SUBSTITUTE(SUBSTITUTE(A1814,"(",""),")","")," ",""),CHAR(29),"")</f>
        <v/>
      </c>
    </row>
    <row r="1815">
      <c r="A1815" s="4" t="n"/>
      <c r="B1815" s="5">
        <f>IFERROR(MID(H1815,FIND("01",H1815)+2,14),"")</f>
        <v/>
      </c>
      <c r="C1815" s="4">
        <f>IF(A1815="","",IFERROR(VLOOKUP(B1815,TblArticles,2,FALSE),"GTIN inconnu"))</f>
        <v/>
      </c>
      <c r="D1815" s="5">
        <f>IF(A1815="","",IFERROR(VLOOKUP(B1815,TblArticles,3,FALSE),""))</f>
        <v/>
      </c>
      <c r="E1815" s="6">
        <f>IFERROR(DATE(2000+VALUE(MID(H1815,FIND("15",H1815,FIND("01",H1815)+16)+2,2)),VALUE(MID(H1815,FIND("15",H1815,FIND("01",H1815)+16)+4,2)),VALUE(MID(H1815,FIND("15",H1815,FIND("01",H1815)+16)+6,2))),"")</f>
        <v/>
      </c>
      <c r="F1815" s="5">
        <f>IFERROR(MID(H1815,FIND("10",H1815,FIND("15",H1815,FIND("01",H1815)+16)+8)+2,50),"")</f>
        <v/>
      </c>
      <c r="G1815" s="5" t="n"/>
      <c r="H1815" s="5">
        <f>SUBSTITUTE(SUBSTITUTE(SUBSTITUTE(SUBSTITUTE(A1815,"(",""),")","")," ",""),CHAR(29),"")</f>
        <v/>
      </c>
    </row>
    <row r="1816">
      <c r="A1816" s="7" t="n"/>
      <c r="B1816" s="8">
        <f>IFERROR(MID(H1816,FIND("01",H1816)+2,14),"")</f>
        <v/>
      </c>
      <c r="C1816" s="7">
        <f>IF(A1816="","",IFERROR(VLOOKUP(B1816,TblArticles,2,FALSE),"GTIN inconnu"))</f>
        <v/>
      </c>
      <c r="D1816" s="8">
        <f>IF(A1816="","",IFERROR(VLOOKUP(B1816,TblArticles,3,FALSE),""))</f>
        <v/>
      </c>
      <c r="E1816" s="9">
        <f>IFERROR(DATE(2000+VALUE(MID(H1816,FIND("15",H1816,FIND("01",H1816)+16)+2,2)),VALUE(MID(H1816,FIND("15",H1816,FIND("01",H1816)+16)+4,2)),VALUE(MID(H1816,FIND("15",H1816,FIND("01",H1816)+16)+6,2))),"")</f>
        <v/>
      </c>
      <c r="F1816" s="8">
        <f>IFERROR(MID(H1816,FIND("10",H1816,FIND("15",H1816,FIND("01",H1816)+16)+8)+2,50),"")</f>
        <v/>
      </c>
      <c r="G1816" s="8" t="n"/>
      <c r="H1816" s="8">
        <f>SUBSTITUTE(SUBSTITUTE(SUBSTITUTE(SUBSTITUTE(A1816,"(",""),")","")," ",""),CHAR(29),"")</f>
        <v/>
      </c>
    </row>
    <row r="1817">
      <c r="A1817" s="4" t="n"/>
      <c r="B1817" s="5">
        <f>IFERROR(MID(H1817,FIND("01",H1817)+2,14),"")</f>
        <v/>
      </c>
      <c r="C1817" s="4">
        <f>IF(A1817="","",IFERROR(VLOOKUP(B1817,TblArticles,2,FALSE),"GTIN inconnu"))</f>
        <v/>
      </c>
      <c r="D1817" s="5">
        <f>IF(A1817="","",IFERROR(VLOOKUP(B1817,TblArticles,3,FALSE),""))</f>
        <v/>
      </c>
      <c r="E1817" s="6">
        <f>IFERROR(DATE(2000+VALUE(MID(H1817,FIND("15",H1817,FIND("01",H1817)+16)+2,2)),VALUE(MID(H1817,FIND("15",H1817,FIND("01",H1817)+16)+4,2)),VALUE(MID(H1817,FIND("15",H1817,FIND("01",H1817)+16)+6,2))),"")</f>
        <v/>
      </c>
      <c r="F1817" s="5">
        <f>IFERROR(MID(H1817,FIND("10",H1817,FIND("15",H1817,FIND("01",H1817)+16)+8)+2,50),"")</f>
        <v/>
      </c>
      <c r="G1817" s="5" t="n"/>
      <c r="H1817" s="5">
        <f>SUBSTITUTE(SUBSTITUTE(SUBSTITUTE(SUBSTITUTE(A1817,"(",""),")","")," ",""),CHAR(29),"")</f>
        <v/>
      </c>
    </row>
    <row r="1818">
      <c r="A1818" s="7" t="n"/>
      <c r="B1818" s="8">
        <f>IFERROR(MID(H1818,FIND("01",H1818)+2,14),"")</f>
        <v/>
      </c>
      <c r="C1818" s="7">
        <f>IF(A1818="","",IFERROR(VLOOKUP(B1818,TblArticles,2,FALSE),"GTIN inconnu"))</f>
        <v/>
      </c>
      <c r="D1818" s="8">
        <f>IF(A1818="","",IFERROR(VLOOKUP(B1818,TblArticles,3,FALSE),""))</f>
        <v/>
      </c>
      <c r="E1818" s="9">
        <f>IFERROR(DATE(2000+VALUE(MID(H1818,FIND("15",H1818,FIND("01",H1818)+16)+2,2)),VALUE(MID(H1818,FIND("15",H1818,FIND("01",H1818)+16)+4,2)),VALUE(MID(H1818,FIND("15",H1818,FIND("01",H1818)+16)+6,2))),"")</f>
        <v/>
      </c>
      <c r="F1818" s="8">
        <f>IFERROR(MID(H1818,FIND("10",H1818,FIND("15",H1818,FIND("01",H1818)+16)+8)+2,50),"")</f>
        <v/>
      </c>
      <c r="G1818" s="8" t="n"/>
      <c r="H1818" s="8">
        <f>SUBSTITUTE(SUBSTITUTE(SUBSTITUTE(SUBSTITUTE(A1818,"(",""),")","")," ",""),CHAR(29),"")</f>
        <v/>
      </c>
    </row>
    <row r="1819">
      <c r="A1819" s="4" t="n"/>
      <c r="B1819" s="5">
        <f>IFERROR(MID(H1819,FIND("01",H1819)+2,14),"")</f>
        <v/>
      </c>
      <c r="C1819" s="4">
        <f>IF(A1819="","",IFERROR(VLOOKUP(B1819,TblArticles,2,FALSE),"GTIN inconnu"))</f>
        <v/>
      </c>
      <c r="D1819" s="5">
        <f>IF(A1819="","",IFERROR(VLOOKUP(B1819,TblArticles,3,FALSE),""))</f>
        <v/>
      </c>
      <c r="E1819" s="6">
        <f>IFERROR(DATE(2000+VALUE(MID(H1819,FIND("15",H1819,FIND("01",H1819)+16)+2,2)),VALUE(MID(H1819,FIND("15",H1819,FIND("01",H1819)+16)+4,2)),VALUE(MID(H1819,FIND("15",H1819,FIND("01",H1819)+16)+6,2))),"")</f>
        <v/>
      </c>
      <c r="F1819" s="5">
        <f>IFERROR(MID(H1819,FIND("10",H1819,FIND("15",H1819,FIND("01",H1819)+16)+8)+2,50),"")</f>
        <v/>
      </c>
      <c r="G1819" s="5" t="n"/>
      <c r="H1819" s="5">
        <f>SUBSTITUTE(SUBSTITUTE(SUBSTITUTE(SUBSTITUTE(A1819,"(",""),")","")," ",""),CHAR(29),"")</f>
        <v/>
      </c>
    </row>
    <row r="1820">
      <c r="A1820" s="7" t="n"/>
      <c r="B1820" s="8">
        <f>IFERROR(MID(H1820,FIND("01",H1820)+2,14),"")</f>
        <v/>
      </c>
      <c r="C1820" s="7">
        <f>IF(A1820="","",IFERROR(VLOOKUP(B1820,TblArticles,2,FALSE),"GTIN inconnu"))</f>
        <v/>
      </c>
      <c r="D1820" s="8">
        <f>IF(A1820="","",IFERROR(VLOOKUP(B1820,TblArticles,3,FALSE),""))</f>
        <v/>
      </c>
      <c r="E1820" s="9">
        <f>IFERROR(DATE(2000+VALUE(MID(H1820,FIND("15",H1820,FIND("01",H1820)+16)+2,2)),VALUE(MID(H1820,FIND("15",H1820,FIND("01",H1820)+16)+4,2)),VALUE(MID(H1820,FIND("15",H1820,FIND("01",H1820)+16)+6,2))),"")</f>
        <v/>
      </c>
      <c r="F1820" s="8">
        <f>IFERROR(MID(H1820,FIND("10",H1820,FIND("15",H1820,FIND("01",H1820)+16)+8)+2,50),"")</f>
        <v/>
      </c>
      <c r="G1820" s="8" t="n"/>
      <c r="H1820" s="8">
        <f>SUBSTITUTE(SUBSTITUTE(SUBSTITUTE(SUBSTITUTE(A1820,"(",""),")","")," ",""),CHAR(29),"")</f>
        <v/>
      </c>
    </row>
    <row r="1821">
      <c r="A1821" s="4" t="n"/>
      <c r="B1821" s="5">
        <f>IFERROR(MID(H1821,FIND("01",H1821)+2,14),"")</f>
        <v/>
      </c>
      <c r="C1821" s="4">
        <f>IF(A1821="","",IFERROR(VLOOKUP(B1821,TblArticles,2,FALSE),"GTIN inconnu"))</f>
        <v/>
      </c>
      <c r="D1821" s="5">
        <f>IF(A1821="","",IFERROR(VLOOKUP(B1821,TblArticles,3,FALSE),""))</f>
        <v/>
      </c>
      <c r="E1821" s="6">
        <f>IFERROR(DATE(2000+VALUE(MID(H1821,FIND("15",H1821,FIND("01",H1821)+16)+2,2)),VALUE(MID(H1821,FIND("15",H1821,FIND("01",H1821)+16)+4,2)),VALUE(MID(H1821,FIND("15",H1821,FIND("01",H1821)+16)+6,2))),"")</f>
        <v/>
      </c>
      <c r="F1821" s="5">
        <f>IFERROR(MID(H1821,FIND("10",H1821,FIND("15",H1821,FIND("01",H1821)+16)+8)+2,50),"")</f>
        <v/>
      </c>
      <c r="G1821" s="5" t="n"/>
      <c r="H1821" s="5">
        <f>SUBSTITUTE(SUBSTITUTE(SUBSTITUTE(SUBSTITUTE(A1821,"(",""),")","")," ",""),CHAR(29),"")</f>
        <v/>
      </c>
    </row>
    <row r="1822">
      <c r="A1822" s="7" t="n"/>
      <c r="B1822" s="8">
        <f>IFERROR(MID(H1822,FIND("01",H1822)+2,14),"")</f>
        <v/>
      </c>
      <c r="C1822" s="7">
        <f>IF(A1822="","",IFERROR(VLOOKUP(B1822,TblArticles,2,FALSE),"GTIN inconnu"))</f>
        <v/>
      </c>
      <c r="D1822" s="8">
        <f>IF(A1822="","",IFERROR(VLOOKUP(B1822,TblArticles,3,FALSE),""))</f>
        <v/>
      </c>
      <c r="E1822" s="9">
        <f>IFERROR(DATE(2000+VALUE(MID(H1822,FIND("15",H1822,FIND("01",H1822)+16)+2,2)),VALUE(MID(H1822,FIND("15",H1822,FIND("01",H1822)+16)+4,2)),VALUE(MID(H1822,FIND("15",H1822,FIND("01",H1822)+16)+6,2))),"")</f>
        <v/>
      </c>
      <c r="F1822" s="8">
        <f>IFERROR(MID(H1822,FIND("10",H1822,FIND("15",H1822,FIND("01",H1822)+16)+8)+2,50),"")</f>
        <v/>
      </c>
      <c r="G1822" s="8" t="n"/>
      <c r="H1822" s="8">
        <f>SUBSTITUTE(SUBSTITUTE(SUBSTITUTE(SUBSTITUTE(A1822,"(",""),")","")," ",""),CHAR(29),"")</f>
        <v/>
      </c>
    </row>
    <row r="1823">
      <c r="A1823" s="4" t="n"/>
      <c r="B1823" s="5">
        <f>IFERROR(MID(H1823,FIND("01",H1823)+2,14),"")</f>
        <v/>
      </c>
      <c r="C1823" s="4">
        <f>IF(A1823="","",IFERROR(VLOOKUP(B1823,TblArticles,2,FALSE),"GTIN inconnu"))</f>
        <v/>
      </c>
      <c r="D1823" s="5">
        <f>IF(A1823="","",IFERROR(VLOOKUP(B1823,TblArticles,3,FALSE),""))</f>
        <v/>
      </c>
      <c r="E1823" s="6">
        <f>IFERROR(DATE(2000+VALUE(MID(H1823,FIND("15",H1823,FIND("01",H1823)+16)+2,2)),VALUE(MID(H1823,FIND("15",H1823,FIND("01",H1823)+16)+4,2)),VALUE(MID(H1823,FIND("15",H1823,FIND("01",H1823)+16)+6,2))),"")</f>
        <v/>
      </c>
      <c r="F1823" s="5">
        <f>IFERROR(MID(H1823,FIND("10",H1823,FIND("15",H1823,FIND("01",H1823)+16)+8)+2,50),"")</f>
        <v/>
      </c>
      <c r="G1823" s="5" t="n"/>
      <c r="H1823" s="5">
        <f>SUBSTITUTE(SUBSTITUTE(SUBSTITUTE(SUBSTITUTE(A1823,"(",""),")","")," ",""),CHAR(29),"")</f>
        <v/>
      </c>
    </row>
    <row r="1824">
      <c r="A1824" s="7" t="n"/>
      <c r="B1824" s="8">
        <f>IFERROR(MID(H1824,FIND("01",H1824)+2,14),"")</f>
        <v/>
      </c>
      <c r="C1824" s="7">
        <f>IF(A1824="","",IFERROR(VLOOKUP(B1824,TblArticles,2,FALSE),"GTIN inconnu"))</f>
        <v/>
      </c>
      <c r="D1824" s="8">
        <f>IF(A1824="","",IFERROR(VLOOKUP(B1824,TblArticles,3,FALSE),""))</f>
        <v/>
      </c>
      <c r="E1824" s="9">
        <f>IFERROR(DATE(2000+VALUE(MID(H1824,FIND("15",H1824,FIND("01",H1824)+16)+2,2)),VALUE(MID(H1824,FIND("15",H1824,FIND("01",H1824)+16)+4,2)),VALUE(MID(H1824,FIND("15",H1824,FIND("01",H1824)+16)+6,2))),"")</f>
        <v/>
      </c>
      <c r="F1824" s="8">
        <f>IFERROR(MID(H1824,FIND("10",H1824,FIND("15",H1824,FIND("01",H1824)+16)+8)+2,50),"")</f>
        <v/>
      </c>
      <c r="G1824" s="8" t="n"/>
      <c r="H1824" s="8">
        <f>SUBSTITUTE(SUBSTITUTE(SUBSTITUTE(SUBSTITUTE(A1824,"(",""),")","")," ",""),CHAR(29),"")</f>
        <v/>
      </c>
    </row>
    <row r="1825">
      <c r="A1825" s="4" t="n"/>
      <c r="B1825" s="5">
        <f>IFERROR(MID(H1825,FIND("01",H1825)+2,14),"")</f>
        <v/>
      </c>
      <c r="C1825" s="4">
        <f>IF(A1825="","",IFERROR(VLOOKUP(B1825,TblArticles,2,FALSE),"GTIN inconnu"))</f>
        <v/>
      </c>
      <c r="D1825" s="5">
        <f>IF(A1825="","",IFERROR(VLOOKUP(B1825,TblArticles,3,FALSE),""))</f>
        <v/>
      </c>
      <c r="E1825" s="6">
        <f>IFERROR(DATE(2000+VALUE(MID(H1825,FIND("15",H1825,FIND("01",H1825)+16)+2,2)),VALUE(MID(H1825,FIND("15",H1825,FIND("01",H1825)+16)+4,2)),VALUE(MID(H1825,FIND("15",H1825,FIND("01",H1825)+16)+6,2))),"")</f>
        <v/>
      </c>
      <c r="F1825" s="5">
        <f>IFERROR(MID(H1825,FIND("10",H1825,FIND("15",H1825,FIND("01",H1825)+16)+8)+2,50),"")</f>
        <v/>
      </c>
      <c r="G1825" s="5" t="n"/>
      <c r="H1825" s="5">
        <f>SUBSTITUTE(SUBSTITUTE(SUBSTITUTE(SUBSTITUTE(A1825,"(",""),")","")," ",""),CHAR(29),"")</f>
        <v/>
      </c>
    </row>
    <row r="1826">
      <c r="A1826" s="7" t="n"/>
      <c r="B1826" s="8">
        <f>IFERROR(MID(H1826,FIND("01",H1826)+2,14),"")</f>
        <v/>
      </c>
      <c r="C1826" s="7">
        <f>IF(A1826="","",IFERROR(VLOOKUP(B1826,TblArticles,2,FALSE),"GTIN inconnu"))</f>
        <v/>
      </c>
      <c r="D1826" s="8">
        <f>IF(A1826="","",IFERROR(VLOOKUP(B1826,TblArticles,3,FALSE),""))</f>
        <v/>
      </c>
      <c r="E1826" s="9">
        <f>IFERROR(DATE(2000+VALUE(MID(H1826,FIND("15",H1826,FIND("01",H1826)+16)+2,2)),VALUE(MID(H1826,FIND("15",H1826,FIND("01",H1826)+16)+4,2)),VALUE(MID(H1826,FIND("15",H1826,FIND("01",H1826)+16)+6,2))),"")</f>
        <v/>
      </c>
      <c r="F1826" s="8">
        <f>IFERROR(MID(H1826,FIND("10",H1826,FIND("15",H1826,FIND("01",H1826)+16)+8)+2,50),"")</f>
        <v/>
      </c>
      <c r="G1826" s="8" t="n"/>
      <c r="H1826" s="8">
        <f>SUBSTITUTE(SUBSTITUTE(SUBSTITUTE(SUBSTITUTE(A1826,"(",""),")","")," ",""),CHAR(29),"")</f>
        <v/>
      </c>
    </row>
    <row r="1827">
      <c r="A1827" s="4" t="n"/>
      <c r="B1827" s="5">
        <f>IFERROR(MID(H1827,FIND("01",H1827)+2,14),"")</f>
        <v/>
      </c>
      <c r="C1827" s="4">
        <f>IF(A1827="","",IFERROR(VLOOKUP(B1827,TblArticles,2,FALSE),"GTIN inconnu"))</f>
        <v/>
      </c>
      <c r="D1827" s="5">
        <f>IF(A1827="","",IFERROR(VLOOKUP(B1827,TblArticles,3,FALSE),""))</f>
        <v/>
      </c>
      <c r="E1827" s="6">
        <f>IFERROR(DATE(2000+VALUE(MID(H1827,FIND("15",H1827,FIND("01",H1827)+16)+2,2)),VALUE(MID(H1827,FIND("15",H1827,FIND("01",H1827)+16)+4,2)),VALUE(MID(H1827,FIND("15",H1827,FIND("01",H1827)+16)+6,2))),"")</f>
        <v/>
      </c>
      <c r="F1827" s="5">
        <f>IFERROR(MID(H1827,FIND("10",H1827,FIND("15",H1827,FIND("01",H1827)+16)+8)+2,50),"")</f>
        <v/>
      </c>
      <c r="G1827" s="5" t="n"/>
      <c r="H1827" s="5">
        <f>SUBSTITUTE(SUBSTITUTE(SUBSTITUTE(SUBSTITUTE(A1827,"(",""),")","")," ",""),CHAR(29),"")</f>
        <v/>
      </c>
    </row>
    <row r="1828">
      <c r="A1828" s="7" t="n"/>
      <c r="B1828" s="8">
        <f>IFERROR(MID(H1828,FIND("01",H1828)+2,14),"")</f>
        <v/>
      </c>
      <c r="C1828" s="7">
        <f>IF(A1828="","",IFERROR(VLOOKUP(B1828,TblArticles,2,FALSE),"GTIN inconnu"))</f>
        <v/>
      </c>
      <c r="D1828" s="8">
        <f>IF(A1828="","",IFERROR(VLOOKUP(B1828,TblArticles,3,FALSE),""))</f>
        <v/>
      </c>
      <c r="E1828" s="9">
        <f>IFERROR(DATE(2000+VALUE(MID(H1828,FIND("15",H1828,FIND("01",H1828)+16)+2,2)),VALUE(MID(H1828,FIND("15",H1828,FIND("01",H1828)+16)+4,2)),VALUE(MID(H1828,FIND("15",H1828,FIND("01",H1828)+16)+6,2))),"")</f>
        <v/>
      </c>
      <c r="F1828" s="8">
        <f>IFERROR(MID(H1828,FIND("10",H1828,FIND("15",H1828,FIND("01",H1828)+16)+8)+2,50),"")</f>
        <v/>
      </c>
      <c r="G1828" s="8" t="n"/>
      <c r="H1828" s="8">
        <f>SUBSTITUTE(SUBSTITUTE(SUBSTITUTE(SUBSTITUTE(A1828,"(",""),")","")," ",""),CHAR(29),"")</f>
        <v/>
      </c>
    </row>
    <row r="1829">
      <c r="A1829" s="4" t="n"/>
      <c r="B1829" s="5">
        <f>IFERROR(MID(H1829,FIND("01",H1829)+2,14),"")</f>
        <v/>
      </c>
      <c r="C1829" s="4">
        <f>IF(A1829="","",IFERROR(VLOOKUP(B1829,TblArticles,2,FALSE),"GTIN inconnu"))</f>
        <v/>
      </c>
      <c r="D1829" s="5">
        <f>IF(A1829="","",IFERROR(VLOOKUP(B1829,TblArticles,3,FALSE),""))</f>
        <v/>
      </c>
      <c r="E1829" s="6">
        <f>IFERROR(DATE(2000+VALUE(MID(H1829,FIND("15",H1829,FIND("01",H1829)+16)+2,2)),VALUE(MID(H1829,FIND("15",H1829,FIND("01",H1829)+16)+4,2)),VALUE(MID(H1829,FIND("15",H1829,FIND("01",H1829)+16)+6,2))),"")</f>
        <v/>
      </c>
      <c r="F1829" s="5">
        <f>IFERROR(MID(H1829,FIND("10",H1829,FIND("15",H1829,FIND("01",H1829)+16)+8)+2,50),"")</f>
        <v/>
      </c>
      <c r="G1829" s="5" t="n"/>
      <c r="H1829" s="5">
        <f>SUBSTITUTE(SUBSTITUTE(SUBSTITUTE(SUBSTITUTE(A1829,"(",""),")","")," ",""),CHAR(29),"")</f>
        <v/>
      </c>
    </row>
    <row r="1830">
      <c r="A1830" s="7" t="n"/>
      <c r="B1830" s="8">
        <f>IFERROR(MID(H1830,FIND("01",H1830)+2,14),"")</f>
        <v/>
      </c>
      <c r="C1830" s="7">
        <f>IF(A1830="","",IFERROR(VLOOKUP(B1830,TblArticles,2,FALSE),"GTIN inconnu"))</f>
        <v/>
      </c>
      <c r="D1830" s="8">
        <f>IF(A1830="","",IFERROR(VLOOKUP(B1830,TblArticles,3,FALSE),""))</f>
        <v/>
      </c>
      <c r="E1830" s="9">
        <f>IFERROR(DATE(2000+VALUE(MID(H1830,FIND("15",H1830,FIND("01",H1830)+16)+2,2)),VALUE(MID(H1830,FIND("15",H1830,FIND("01",H1830)+16)+4,2)),VALUE(MID(H1830,FIND("15",H1830,FIND("01",H1830)+16)+6,2))),"")</f>
        <v/>
      </c>
      <c r="F1830" s="8">
        <f>IFERROR(MID(H1830,FIND("10",H1830,FIND("15",H1830,FIND("01",H1830)+16)+8)+2,50),"")</f>
        <v/>
      </c>
      <c r="G1830" s="8" t="n"/>
      <c r="H1830" s="8">
        <f>SUBSTITUTE(SUBSTITUTE(SUBSTITUTE(SUBSTITUTE(A1830,"(",""),")","")," ",""),CHAR(29),"")</f>
        <v/>
      </c>
    </row>
    <row r="1831">
      <c r="A1831" s="4" t="n"/>
      <c r="B1831" s="5">
        <f>IFERROR(MID(H1831,FIND("01",H1831)+2,14),"")</f>
        <v/>
      </c>
      <c r="C1831" s="4">
        <f>IF(A1831="","",IFERROR(VLOOKUP(B1831,TblArticles,2,FALSE),"GTIN inconnu"))</f>
        <v/>
      </c>
      <c r="D1831" s="5">
        <f>IF(A1831="","",IFERROR(VLOOKUP(B1831,TblArticles,3,FALSE),""))</f>
        <v/>
      </c>
      <c r="E1831" s="6">
        <f>IFERROR(DATE(2000+VALUE(MID(H1831,FIND("15",H1831,FIND("01",H1831)+16)+2,2)),VALUE(MID(H1831,FIND("15",H1831,FIND("01",H1831)+16)+4,2)),VALUE(MID(H1831,FIND("15",H1831,FIND("01",H1831)+16)+6,2))),"")</f>
        <v/>
      </c>
      <c r="F1831" s="5">
        <f>IFERROR(MID(H1831,FIND("10",H1831,FIND("15",H1831,FIND("01",H1831)+16)+8)+2,50),"")</f>
        <v/>
      </c>
      <c r="G1831" s="5" t="n"/>
      <c r="H1831" s="5">
        <f>SUBSTITUTE(SUBSTITUTE(SUBSTITUTE(SUBSTITUTE(A1831,"(",""),")","")," ",""),CHAR(29),"")</f>
        <v/>
      </c>
    </row>
    <row r="1832">
      <c r="A1832" s="7" t="n"/>
      <c r="B1832" s="8">
        <f>IFERROR(MID(H1832,FIND("01",H1832)+2,14),"")</f>
        <v/>
      </c>
      <c r="C1832" s="7">
        <f>IF(A1832="","",IFERROR(VLOOKUP(B1832,TblArticles,2,FALSE),"GTIN inconnu"))</f>
        <v/>
      </c>
      <c r="D1832" s="8">
        <f>IF(A1832="","",IFERROR(VLOOKUP(B1832,TblArticles,3,FALSE),""))</f>
        <v/>
      </c>
      <c r="E1832" s="9">
        <f>IFERROR(DATE(2000+VALUE(MID(H1832,FIND("15",H1832,FIND("01",H1832)+16)+2,2)),VALUE(MID(H1832,FIND("15",H1832,FIND("01",H1832)+16)+4,2)),VALUE(MID(H1832,FIND("15",H1832,FIND("01",H1832)+16)+6,2))),"")</f>
        <v/>
      </c>
      <c r="F1832" s="8">
        <f>IFERROR(MID(H1832,FIND("10",H1832,FIND("15",H1832,FIND("01",H1832)+16)+8)+2,50),"")</f>
        <v/>
      </c>
      <c r="G1832" s="8" t="n"/>
      <c r="H1832" s="8">
        <f>SUBSTITUTE(SUBSTITUTE(SUBSTITUTE(SUBSTITUTE(A1832,"(",""),")","")," ",""),CHAR(29),"")</f>
        <v/>
      </c>
    </row>
    <row r="1833">
      <c r="A1833" s="4" t="n"/>
      <c r="B1833" s="5">
        <f>IFERROR(MID(H1833,FIND("01",H1833)+2,14),"")</f>
        <v/>
      </c>
      <c r="C1833" s="4">
        <f>IF(A1833="","",IFERROR(VLOOKUP(B1833,TblArticles,2,FALSE),"GTIN inconnu"))</f>
        <v/>
      </c>
      <c r="D1833" s="5">
        <f>IF(A1833="","",IFERROR(VLOOKUP(B1833,TblArticles,3,FALSE),""))</f>
        <v/>
      </c>
      <c r="E1833" s="6">
        <f>IFERROR(DATE(2000+VALUE(MID(H1833,FIND("15",H1833,FIND("01",H1833)+16)+2,2)),VALUE(MID(H1833,FIND("15",H1833,FIND("01",H1833)+16)+4,2)),VALUE(MID(H1833,FIND("15",H1833,FIND("01",H1833)+16)+6,2))),"")</f>
        <v/>
      </c>
      <c r="F1833" s="5">
        <f>IFERROR(MID(H1833,FIND("10",H1833,FIND("15",H1833,FIND("01",H1833)+16)+8)+2,50),"")</f>
        <v/>
      </c>
      <c r="G1833" s="5" t="n"/>
      <c r="H1833" s="5">
        <f>SUBSTITUTE(SUBSTITUTE(SUBSTITUTE(SUBSTITUTE(A1833,"(",""),")","")," ",""),CHAR(29),"")</f>
        <v/>
      </c>
    </row>
    <row r="1834">
      <c r="A1834" s="7" t="n"/>
      <c r="B1834" s="8">
        <f>IFERROR(MID(H1834,FIND("01",H1834)+2,14),"")</f>
        <v/>
      </c>
      <c r="C1834" s="7">
        <f>IF(A1834="","",IFERROR(VLOOKUP(B1834,TblArticles,2,FALSE),"GTIN inconnu"))</f>
        <v/>
      </c>
      <c r="D1834" s="8">
        <f>IF(A1834="","",IFERROR(VLOOKUP(B1834,TblArticles,3,FALSE),""))</f>
        <v/>
      </c>
      <c r="E1834" s="9">
        <f>IFERROR(DATE(2000+VALUE(MID(H1834,FIND("15",H1834,FIND("01",H1834)+16)+2,2)),VALUE(MID(H1834,FIND("15",H1834,FIND("01",H1834)+16)+4,2)),VALUE(MID(H1834,FIND("15",H1834,FIND("01",H1834)+16)+6,2))),"")</f>
        <v/>
      </c>
      <c r="F1834" s="8">
        <f>IFERROR(MID(H1834,FIND("10",H1834,FIND("15",H1834,FIND("01",H1834)+16)+8)+2,50),"")</f>
        <v/>
      </c>
      <c r="G1834" s="8" t="n"/>
      <c r="H1834" s="8">
        <f>SUBSTITUTE(SUBSTITUTE(SUBSTITUTE(SUBSTITUTE(A1834,"(",""),")","")," ",""),CHAR(29),"")</f>
        <v/>
      </c>
    </row>
    <row r="1835">
      <c r="A1835" s="4" t="n"/>
      <c r="B1835" s="5">
        <f>IFERROR(MID(H1835,FIND("01",H1835)+2,14),"")</f>
        <v/>
      </c>
      <c r="C1835" s="4">
        <f>IF(A1835="","",IFERROR(VLOOKUP(B1835,TblArticles,2,FALSE),"GTIN inconnu"))</f>
        <v/>
      </c>
      <c r="D1835" s="5">
        <f>IF(A1835="","",IFERROR(VLOOKUP(B1835,TblArticles,3,FALSE),""))</f>
        <v/>
      </c>
      <c r="E1835" s="6">
        <f>IFERROR(DATE(2000+VALUE(MID(H1835,FIND("15",H1835,FIND("01",H1835)+16)+2,2)),VALUE(MID(H1835,FIND("15",H1835,FIND("01",H1835)+16)+4,2)),VALUE(MID(H1835,FIND("15",H1835,FIND("01",H1835)+16)+6,2))),"")</f>
        <v/>
      </c>
      <c r="F1835" s="5">
        <f>IFERROR(MID(H1835,FIND("10",H1835,FIND("15",H1835,FIND("01",H1835)+16)+8)+2,50),"")</f>
        <v/>
      </c>
      <c r="G1835" s="5" t="n"/>
      <c r="H1835" s="5">
        <f>SUBSTITUTE(SUBSTITUTE(SUBSTITUTE(SUBSTITUTE(A1835,"(",""),")","")," ",""),CHAR(29),"")</f>
        <v/>
      </c>
    </row>
    <row r="1836">
      <c r="A1836" s="7" t="n"/>
      <c r="B1836" s="8">
        <f>IFERROR(MID(H1836,FIND("01",H1836)+2,14),"")</f>
        <v/>
      </c>
      <c r="C1836" s="7">
        <f>IF(A1836="","",IFERROR(VLOOKUP(B1836,TblArticles,2,FALSE),"GTIN inconnu"))</f>
        <v/>
      </c>
      <c r="D1836" s="8">
        <f>IF(A1836="","",IFERROR(VLOOKUP(B1836,TblArticles,3,FALSE),""))</f>
        <v/>
      </c>
      <c r="E1836" s="9">
        <f>IFERROR(DATE(2000+VALUE(MID(H1836,FIND("15",H1836,FIND("01",H1836)+16)+2,2)),VALUE(MID(H1836,FIND("15",H1836,FIND("01",H1836)+16)+4,2)),VALUE(MID(H1836,FIND("15",H1836,FIND("01",H1836)+16)+6,2))),"")</f>
        <v/>
      </c>
      <c r="F1836" s="8">
        <f>IFERROR(MID(H1836,FIND("10",H1836,FIND("15",H1836,FIND("01",H1836)+16)+8)+2,50),"")</f>
        <v/>
      </c>
      <c r="G1836" s="8" t="n"/>
      <c r="H1836" s="8">
        <f>SUBSTITUTE(SUBSTITUTE(SUBSTITUTE(SUBSTITUTE(A1836,"(",""),")","")," ",""),CHAR(29),"")</f>
        <v/>
      </c>
    </row>
    <row r="1837">
      <c r="A1837" s="4" t="n"/>
      <c r="B1837" s="5">
        <f>IFERROR(MID(H1837,FIND("01",H1837)+2,14),"")</f>
        <v/>
      </c>
      <c r="C1837" s="4">
        <f>IF(A1837="","",IFERROR(VLOOKUP(B1837,TblArticles,2,FALSE),"GTIN inconnu"))</f>
        <v/>
      </c>
      <c r="D1837" s="5">
        <f>IF(A1837="","",IFERROR(VLOOKUP(B1837,TblArticles,3,FALSE),""))</f>
        <v/>
      </c>
      <c r="E1837" s="6">
        <f>IFERROR(DATE(2000+VALUE(MID(H1837,FIND("15",H1837,FIND("01",H1837)+16)+2,2)),VALUE(MID(H1837,FIND("15",H1837,FIND("01",H1837)+16)+4,2)),VALUE(MID(H1837,FIND("15",H1837,FIND("01",H1837)+16)+6,2))),"")</f>
        <v/>
      </c>
      <c r="F1837" s="5">
        <f>IFERROR(MID(H1837,FIND("10",H1837,FIND("15",H1837,FIND("01",H1837)+16)+8)+2,50),"")</f>
        <v/>
      </c>
      <c r="G1837" s="5" t="n"/>
      <c r="H1837" s="5">
        <f>SUBSTITUTE(SUBSTITUTE(SUBSTITUTE(SUBSTITUTE(A1837,"(",""),")","")," ",""),CHAR(29),"")</f>
        <v/>
      </c>
    </row>
    <row r="1838">
      <c r="A1838" s="7" t="n"/>
      <c r="B1838" s="8">
        <f>IFERROR(MID(H1838,FIND("01",H1838)+2,14),"")</f>
        <v/>
      </c>
      <c r="C1838" s="7">
        <f>IF(A1838="","",IFERROR(VLOOKUP(B1838,TblArticles,2,FALSE),"GTIN inconnu"))</f>
        <v/>
      </c>
      <c r="D1838" s="8">
        <f>IF(A1838="","",IFERROR(VLOOKUP(B1838,TblArticles,3,FALSE),""))</f>
        <v/>
      </c>
      <c r="E1838" s="9">
        <f>IFERROR(DATE(2000+VALUE(MID(H1838,FIND("15",H1838,FIND("01",H1838)+16)+2,2)),VALUE(MID(H1838,FIND("15",H1838,FIND("01",H1838)+16)+4,2)),VALUE(MID(H1838,FIND("15",H1838,FIND("01",H1838)+16)+6,2))),"")</f>
        <v/>
      </c>
      <c r="F1838" s="8">
        <f>IFERROR(MID(H1838,FIND("10",H1838,FIND("15",H1838,FIND("01",H1838)+16)+8)+2,50),"")</f>
        <v/>
      </c>
      <c r="G1838" s="8" t="n"/>
      <c r="H1838" s="8">
        <f>SUBSTITUTE(SUBSTITUTE(SUBSTITUTE(SUBSTITUTE(A1838,"(",""),")","")," ",""),CHAR(29),"")</f>
        <v/>
      </c>
    </row>
    <row r="1839">
      <c r="A1839" s="4" t="n"/>
      <c r="B1839" s="5">
        <f>IFERROR(MID(H1839,FIND("01",H1839)+2,14),"")</f>
        <v/>
      </c>
      <c r="C1839" s="4">
        <f>IF(A1839="","",IFERROR(VLOOKUP(B1839,TblArticles,2,FALSE),"GTIN inconnu"))</f>
        <v/>
      </c>
      <c r="D1839" s="5">
        <f>IF(A1839="","",IFERROR(VLOOKUP(B1839,TblArticles,3,FALSE),""))</f>
        <v/>
      </c>
      <c r="E1839" s="6">
        <f>IFERROR(DATE(2000+VALUE(MID(H1839,FIND("15",H1839,FIND("01",H1839)+16)+2,2)),VALUE(MID(H1839,FIND("15",H1839,FIND("01",H1839)+16)+4,2)),VALUE(MID(H1839,FIND("15",H1839,FIND("01",H1839)+16)+6,2))),"")</f>
        <v/>
      </c>
      <c r="F1839" s="5">
        <f>IFERROR(MID(H1839,FIND("10",H1839,FIND("15",H1839,FIND("01",H1839)+16)+8)+2,50),"")</f>
        <v/>
      </c>
      <c r="G1839" s="5" t="n"/>
      <c r="H1839" s="5">
        <f>SUBSTITUTE(SUBSTITUTE(SUBSTITUTE(SUBSTITUTE(A1839,"(",""),")","")," ",""),CHAR(29),"")</f>
        <v/>
      </c>
    </row>
    <row r="1840">
      <c r="A1840" s="7" t="n"/>
      <c r="B1840" s="8">
        <f>IFERROR(MID(H1840,FIND("01",H1840)+2,14),"")</f>
        <v/>
      </c>
      <c r="C1840" s="7">
        <f>IF(A1840="","",IFERROR(VLOOKUP(B1840,TblArticles,2,FALSE),"GTIN inconnu"))</f>
        <v/>
      </c>
      <c r="D1840" s="8">
        <f>IF(A1840="","",IFERROR(VLOOKUP(B1840,TblArticles,3,FALSE),""))</f>
        <v/>
      </c>
      <c r="E1840" s="9">
        <f>IFERROR(DATE(2000+VALUE(MID(H1840,FIND("15",H1840,FIND("01",H1840)+16)+2,2)),VALUE(MID(H1840,FIND("15",H1840,FIND("01",H1840)+16)+4,2)),VALUE(MID(H1840,FIND("15",H1840,FIND("01",H1840)+16)+6,2))),"")</f>
        <v/>
      </c>
      <c r="F1840" s="8">
        <f>IFERROR(MID(H1840,FIND("10",H1840,FIND("15",H1840,FIND("01",H1840)+16)+8)+2,50),"")</f>
        <v/>
      </c>
      <c r="G1840" s="8" t="n"/>
      <c r="H1840" s="8">
        <f>SUBSTITUTE(SUBSTITUTE(SUBSTITUTE(SUBSTITUTE(A1840,"(",""),")","")," ",""),CHAR(29),"")</f>
        <v/>
      </c>
    </row>
    <row r="1841">
      <c r="A1841" s="4" t="n"/>
      <c r="B1841" s="5">
        <f>IFERROR(MID(H1841,FIND("01",H1841)+2,14),"")</f>
        <v/>
      </c>
      <c r="C1841" s="4">
        <f>IF(A1841="","",IFERROR(VLOOKUP(B1841,TblArticles,2,FALSE),"GTIN inconnu"))</f>
        <v/>
      </c>
      <c r="D1841" s="5">
        <f>IF(A1841="","",IFERROR(VLOOKUP(B1841,TblArticles,3,FALSE),""))</f>
        <v/>
      </c>
      <c r="E1841" s="6">
        <f>IFERROR(DATE(2000+VALUE(MID(H1841,FIND("15",H1841,FIND("01",H1841)+16)+2,2)),VALUE(MID(H1841,FIND("15",H1841,FIND("01",H1841)+16)+4,2)),VALUE(MID(H1841,FIND("15",H1841,FIND("01",H1841)+16)+6,2))),"")</f>
        <v/>
      </c>
      <c r="F1841" s="5">
        <f>IFERROR(MID(H1841,FIND("10",H1841,FIND("15",H1841,FIND("01",H1841)+16)+8)+2,50),"")</f>
        <v/>
      </c>
      <c r="G1841" s="5" t="n"/>
      <c r="H1841" s="5">
        <f>SUBSTITUTE(SUBSTITUTE(SUBSTITUTE(SUBSTITUTE(A1841,"(",""),")","")," ",""),CHAR(29),"")</f>
        <v/>
      </c>
    </row>
    <row r="1842">
      <c r="A1842" s="7" t="n"/>
      <c r="B1842" s="8">
        <f>IFERROR(MID(H1842,FIND("01",H1842)+2,14),"")</f>
        <v/>
      </c>
      <c r="C1842" s="7">
        <f>IF(A1842="","",IFERROR(VLOOKUP(B1842,TblArticles,2,FALSE),"GTIN inconnu"))</f>
        <v/>
      </c>
      <c r="D1842" s="8">
        <f>IF(A1842="","",IFERROR(VLOOKUP(B1842,TblArticles,3,FALSE),""))</f>
        <v/>
      </c>
      <c r="E1842" s="9">
        <f>IFERROR(DATE(2000+VALUE(MID(H1842,FIND("15",H1842,FIND("01",H1842)+16)+2,2)),VALUE(MID(H1842,FIND("15",H1842,FIND("01",H1842)+16)+4,2)),VALUE(MID(H1842,FIND("15",H1842,FIND("01",H1842)+16)+6,2))),"")</f>
        <v/>
      </c>
      <c r="F1842" s="8">
        <f>IFERROR(MID(H1842,FIND("10",H1842,FIND("15",H1842,FIND("01",H1842)+16)+8)+2,50),"")</f>
        <v/>
      </c>
      <c r="G1842" s="8" t="n"/>
      <c r="H1842" s="8">
        <f>SUBSTITUTE(SUBSTITUTE(SUBSTITUTE(SUBSTITUTE(A1842,"(",""),")","")," ",""),CHAR(29),"")</f>
        <v/>
      </c>
    </row>
    <row r="1843">
      <c r="A1843" s="4" t="n"/>
      <c r="B1843" s="5">
        <f>IFERROR(MID(H1843,FIND("01",H1843)+2,14),"")</f>
        <v/>
      </c>
      <c r="C1843" s="4">
        <f>IF(A1843="","",IFERROR(VLOOKUP(B1843,TblArticles,2,FALSE),"GTIN inconnu"))</f>
        <v/>
      </c>
      <c r="D1843" s="5">
        <f>IF(A1843="","",IFERROR(VLOOKUP(B1843,TblArticles,3,FALSE),""))</f>
        <v/>
      </c>
      <c r="E1843" s="6">
        <f>IFERROR(DATE(2000+VALUE(MID(H1843,FIND("15",H1843,FIND("01",H1843)+16)+2,2)),VALUE(MID(H1843,FIND("15",H1843,FIND("01",H1843)+16)+4,2)),VALUE(MID(H1843,FIND("15",H1843,FIND("01",H1843)+16)+6,2))),"")</f>
        <v/>
      </c>
      <c r="F1843" s="5">
        <f>IFERROR(MID(H1843,FIND("10",H1843,FIND("15",H1843,FIND("01",H1843)+16)+8)+2,50),"")</f>
        <v/>
      </c>
      <c r="G1843" s="5" t="n"/>
      <c r="H1843" s="5">
        <f>SUBSTITUTE(SUBSTITUTE(SUBSTITUTE(SUBSTITUTE(A1843,"(",""),")","")," ",""),CHAR(29),"")</f>
        <v/>
      </c>
    </row>
    <row r="1844">
      <c r="A1844" s="7" t="n"/>
      <c r="B1844" s="8">
        <f>IFERROR(MID(H1844,FIND("01",H1844)+2,14),"")</f>
        <v/>
      </c>
      <c r="C1844" s="7">
        <f>IF(A1844="","",IFERROR(VLOOKUP(B1844,TblArticles,2,FALSE),"GTIN inconnu"))</f>
        <v/>
      </c>
      <c r="D1844" s="8">
        <f>IF(A1844="","",IFERROR(VLOOKUP(B1844,TblArticles,3,FALSE),""))</f>
        <v/>
      </c>
      <c r="E1844" s="9">
        <f>IFERROR(DATE(2000+VALUE(MID(H1844,FIND("15",H1844,FIND("01",H1844)+16)+2,2)),VALUE(MID(H1844,FIND("15",H1844,FIND("01",H1844)+16)+4,2)),VALUE(MID(H1844,FIND("15",H1844,FIND("01",H1844)+16)+6,2))),"")</f>
        <v/>
      </c>
      <c r="F1844" s="8">
        <f>IFERROR(MID(H1844,FIND("10",H1844,FIND("15",H1844,FIND("01",H1844)+16)+8)+2,50),"")</f>
        <v/>
      </c>
      <c r="G1844" s="8" t="n"/>
      <c r="H1844" s="8">
        <f>SUBSTITUTE(SUBSTITUTE(SUBSTITUTE(SUBSTITUTE(A1844,"(",""),")","")," ",""),CHAR(29),"")</f>
        <v/>
      </c>
    </row>
    <row r="1845">
      <c r="A1845" s="4" t="n"/>
      <c r="B1845" s="5">
        <f>IFERROR(MID(H1845,FIND("01",H1845)+2,14),"")</f>
        <v/>
      </c>
      <c r="C1845" s="4">
        <f>IF(A1845="","",IFERROR(VLOOKUP(B1845,TblArticles,2,FALSE),"GTIN inconnu"))</f>
        <v/>
      </c>
      <c r="D1845" s="5">
        <f>IF(A1845="","",IFERROR(VLOOKUP(B1845,TblArticles,3,FALSE),""))</f>
        <v/>
      </c>
      <c r="E1845" s="6">
        <f>IFERROR(DATE(2000+VALUE(MID(H1845,FIND("15",H1845,FIND("01",H1845)+16)+2,2)),VALUE(MID(H1845,FIND("15",H1845,FIND("01",H1845)+16)+4,2)),VALUE(MID(H1845,FIND("15",H1845,FIND("01",H1845)+16)+6,2))),"")</f>
        <v/>
      </c>
      <c r="F1845" s="5">
        <f>IFERROR(MID(H1845,FIND("10",H1845,FIND("15",H1845,FIND("01",H1845)+16)+8)+2,50),"")</f>
        <v/>
      </c>
      <c r="G1845" s="5" t="n"/>
      <c r="H1845" s="5">
        <f>SUBSTITUTE(SUBSTITUTE(SUBSTITUTE(SUBSTITUTE(A1845,"(",""),")","")," ",""),CHAR(29),"")</f>
        <v/>
      </c>
    </row>
    <row r="1846">
      <c r="A1846" s="7" t="n"/>
      <c r="B1846" s="8">
        <f>IFERROR(MID(H1846,FIND("01",H1846)+2,14),"")</f>
        <v/>
      </c>
      <c r="C1846" s="7">
        <f>IF(A1846="","",IFERROR(VLOOKUP(B1846,TblArticles,2,FALSE),"GTIN inconnu"))</f>
        <v/>
      </c>
      <c r="D1846" s="8">
        <f>IF(A1846="","",IFERROR(VLOOKUP(B1846,TblArticles,3,FALSE),""))</f>
        <v/>
      </c>
      <c r="E1846" s="9">
        <f>IFERROR(DATE(2000+VALUE(MID(H1846,FIND("15",H1846,FIND("01",H1846)+16)+2,2)),VALUE(MID(H1846,FIND("15",H1846,FIND("01",H1846)+16)+4,2)),VALUE(MID(H1846,FIND("15",H1846,FIND("01",H1846)+16)+6,2))),"")</f>
        <v/>
      </c>
      <c r="F1846" s="8">
        <f>IFERROR(MID(H1846,FIND("10",H1846,FIND("15",H1846,FIND("01",H1846)+16)+8)+2,50),"")</f>
        <v/>
      </c>
      <c r="G1846" s="8" t="n"/>
      <c r="H1846" s="8">
        <f>SUBSTITUTE(SUBSTITUTE(SUBSTITUTE(SUBSTITUTE(A1846,"(",""),")","")," ",""),CHAR(29),"")</f>
        <v/>
      </c>
    </row>
    <row r="1847">
      <c r="A1847" s="4" t="n"/>
      <c r="B1847" s="5">
        <f>IFERROR(MID(H1847,FIND("01",H1847)+2,14),"")</f>
        <v/>
      </c>
      <c r="C1847" s="4">
        <f>IF(A1847="","",IFERROR(VLOOKUP(B1847,TblArticles,2,FALSE),"GTIN inconnu"))</f>
        <v/>
      </c>
      <c r="D1847" s="5">
        <f>IF(A1847="","",IFERROR(VLOOKUP(B1847,TblArticles,3,FALSE),""))</f>
        <v/>
      </c>
      <c r="E1847" s="6">
        <f>IFERROR(DATE(2000+VALUE(MID(H1847,FIND("15",H1847,FIND("01",H1847)+16)+2,2)),VALUE(MID(H1847,FIND("15",H1847,FIND("01",H1847)+16)+4,2)),VALUE(MID(H1847,FIND("15",H1847,FIND("01",H1847)+16)+6,2))),"")</f>
        <v/>
      </c>
      <c r="F1847" s="5">
        <f>IFERROR(MID(H1847,FIND("10",H1847,FIND("15",H1847,FIND("01",H1847)+16)+8)+2,50),"")</f>
        <v/>
      </c>
      <c r="G1847" s="5" t="n"/>
      <c r="H1847" s="5">
        <f>SUBSTITUTE(SUBSTITUTE(SUBSTITUTE(SUBSTITUTE(A1847,"(",""),")","")," ",""),CHAR(29),"")</f>
        <v/>
      </c>
    </row>
    <row r="1848">
      <c r="A1848" s="7" t="n"/>
      <c r="B1848" s="8">
        <f>IFERROR(MID(H1848,FIND("01",H1848)+2,14),"")</f>
        <v/>
      </c>
      <c r="C1848" s="7">
        <f>IF(A1848="","",IFERROR(VLOOKUP(B1848,TblArticles,2,FALSE),"GTIN inconnu"))</f>
        <v/>
      </c>
      <c r="D1848" s="8">
        <f>IF(A1848="","",IFERROR(VLOOKUP(B1848,TblArticles,3,FALSE),""))</f>
        <v/>
      </c>
      <c r="E1848" s="9">
        <f>IFERROR(DATE(2000+VALUE(MID(H1848,FIND("15",H1848,FIND("01",H1848)+16)+2,2)),VALUE(MID(H1848,FIND("15",H1848,FIND("01",H1848)+16)+4,2)),VALUE(MID(H1848,FIND("15",H1848,FIND("01",H1848)+16)+6,2))),"")</f>
        <v/>
      </c>
      <c r="F1848" s="8">
        <f>IFERROR(MID(H1848,FIND("10",H1848,FIND("15",H1848,FIND("01",H1848)+16)+8)+2,50),"")</f>
        <v/>
      </c>
      <c r="G1848" s="8" t="n"/>
      <c r="H1848" s="8">
        <f>SUBSTITUTE(SUBSTITUTE(SUBSTITUTE(SUBSTITUTE(A1848,"(",""),")","")," ",""),CHAR(29),"")</f>
        <v/>
      </c>
    </row>
    <row r="1849">
      <c r="A1849" s="4" t="n"/>
      <c r="B1849" s="5">
        <f>IFERROR(MID(H1849,FIND("01",H1849)+2,14),"")</f>
        <v/>
      </c>
      <c r="C1849" s="4">
        <f>IF(A1849="","",IFERROR(VLOOKUP(B1849,TblArticles,2,FALSE),"GTIN inconnu"))</f>
        <v/>
      </c>
      <c r="D1849" s="5">
        <f>IF(A1849="","",IFERROR(VLOOKUP(B1849,TblArticles,3,FALSE),""))</f>
        <v/>
      </c>
      <c r="E1849" s="6">
        <f>IFERROR(DATE(2000+VALUE(MID(H1849,FIND("15",H1849,FIND("01",H1849)+16)+2,2)),VALUE(MID(H1849,FIND("15",H1849,FIND("01",H1849)+16)+4,2)),VALUE(MID(H1849,FIND("15",H1849,FIND("01",H1849)+16)+6,2))),"")</f>
        <v/>
      </c>
      <c r="F1849" s="5">
        <f>IFERROR(MID(H1849,FIND("10",H1849,FIND("15",H1849,FIND("01",H1849)+16)+8)+2,50),"")</f>
        <v/>
      </c>
      <c r="G1849" s="5" t="n"/>
      <c r="H1849" s="5">
        <f>SUBSTITUTE(SUBSTITUTE(SUBSTITUTE(SUBSTITUTE(A1849,"(",""),")","")," ",""),CHAR(29),"")</f>
        <v/>
      </c>
    </row>
    <row r="1850">
      <c r="A1850" s="7" t="n"/>
      <c r="B1850" s="8">
        <f>IFERROR(MID(H1850,FIND("01",H1850)+2,14),"")</f>
        <v/>
      </c>
      <c r="C1850" s="7">
        <f>IF(A1850="","",IFERROR(VLOOKUP(B1850,TblArticles,2,FALSE),"GTIN inconnu"))</f>
        <v/>
      </c>
      <c r="D1850" s="8">
        <f>IF(A1850="","",IFERROR(VLOOKUP(B1850,TblArticles,3,FALSE),""))</f>
        <v/>
      </c>
      <c r="E1850" s="9">
        <f>IFERROR(DATE(2000+VALUE(MID(H1850,FIND("15",H1850,FIND("01",H1850)+16)+2,2)),VALUE(MID(H1850,FIND("15",H1850,FIND("01",H1850)+16)+4,2)),VALUE(MID(H1850,FIND("15",H1850,FIND("01",H1850)+16)+6,2))),"")</f>
        <v/>
      </c>
      <c r="F1850" s="8">
        <f>IFERROR(MID(H1850,FIND("10",H1850,FIND("15",H1850,FIND("01",H1850)+16)+8)+2,50),"")</f>
        <v/>
      </c>
      <c r="G1850" s="8" t="n"/>
      <c r="H1850" s="8">
        <f>SUBSTITUTE(SUBSTITUTE(SUBSTITUTE(SUBSTITUTE(A1850,"(",""),")","")," ",""),CHAR(29),"")</f>
        <v/>
      </c>
    </row>
    <row r="1851">
      <c r="A1851" s="4" t="n"/>
      <c r="B1851" s="5">
        <f>IFERROR(MID(H1851,FIND("01",H1851)+2,14),"")</f>
        <v/>
      </c>
      <c r="C1851" s="4">
        <f>IF(A1851="","",IFERROR(VLOOKUP(B1851,TblArticles,2,FALSE),"GTIN inconnu"))</f>
        <v/>
      </c>
      <c r="D1851" s="5">
        <f>IF(A1851="","",IFERROR(VLOOKUP(B1851,TblArticles,3,FALSE),""))</f>
        <v/>
      </c>
      <c r="E1851" s="6">
        <f>IFERROR(DATE(2000+VALUE(MID(H1851,FIND("15",H1851,FIND("01",H1851)+16)+2,2)),VALUE(MID(H1851,FIND("15",H1851,FIND("01",H1851)+16)+4,2)),VALUE(MID(H1851,FIND("15",H1851,FIND("01",H1851)+16)+6,2))),"")</f>
        <v/>
      </c>
      <c r="F1851" s="5">
        <f>IFERROR(MID(H1851,FIND("10",H1851,FIND("15",H1851,FIND("01",H1851)+16)+8)+2,50),"")</f>
        <v/>
      </c>
      <c r="G1851" s="5" t="n"/>
      <c r="H1851" s="5">
        <f>SUBSTITUTE(SUBSTITUTE(SUBSTITUTE(SUBSTITUTE(A1851,"(",""),")","")," ",""),CHAR(29),"")</f>
        <v/>
      </c>
    </row>
    <row r="1852">
      <c r="A1852" s="7" t="n"/>
      <c r="B1852" s="8">
        <f>IFERROR(MID(H1852,FIND("01",H1852)+2,14),"")</f>
        <v/>
      </c>
      <c r="C1852" s="7">
        <f>IF(A1852="","",IFERROR(VLOOKUP(B1852,TblArticles,2,FALSE),"GTIN inconnu"))</f>
        <v/>
      </c>
      <c r="D1852" s="8">
        <f>IF(A1852="","",IFERROR(VLOOKUP(B1852,TblArticles,3,FALSE),""))</f>
        <v/>
      </c>
      <c r="E1852" s="9">
        <f>IFERROR(DATE(2000+VALUE(MID(H1852,FIND("15",H1852,FIND("01",H1852)+16)+2,2)),VALUE(MID(H1852,FIND("15",H1852,FIND("01",H1852)+16)+4,2)),VALUE(MID(H1852,FIND("15",H1852,FIND("01",H1852)+16)+6,2))),"")</f>
        <v/>
      </c>
      <c r="F1852" s="8">
        <f>IFERROR(MID(H1852,FIND("10",H1852,FIND("15",H1852,FIND("01",H1852)+16)+8)+2,50),"")</f>
        <v/>
      </c>
      <c r="G1852" s="8" t="n"/>
      <c r="H1852" s="8">
        <f>SUBSTITUTE(SUBSTITUTE(SUBSTITUTE(SUBSTITUTE(A1852,"(",""),")","")," ",""),CHAR(29),"")</f>
        <v/>
      </c>
    </row>
    <row r="1853">
      <c r="A1853" s="4" t="n"/>
      <c r="B1853" s="5">
        <f>IFERROR(MID(H1853,FIND("01",H1853)+2,14),"")</f>
        <v/>
      </c>
      <c r="C1853" s="4">
        <f>IF(A1853="","",IFERROR(VLOOKUP(B1853,TblArticles,2,FALSE),"GTIN inconnu"))</f>
        <v/>
      </c>
      <c r="D1853" s="5">
        <f>IF(A1853="","",IFERROR(VLOOKUP(B1853,TblArticles,3,FALSE),""))</f>
        <v/>
      </c>
      <c r="E1853" s="6">
        <f>IFERROR(DATE(2000+VALUE(MID(H1853,FIND("15",H1853,FIND("01",H1853)+16)+2,2)),VALUE(MID(H1853,FIND("15",H1853,FIND("01",H1853)+16)+4,2)),VALUE(MID(H1853,FIND("15",H1853,FIND("01",H1853)+16)+6,2))),"")</f>
        <v/>
      </c>
      <c r="F1853" s="5">
        <f>IFERROR(MID(H1853,FIND("10",H1853,FIND("15",H1853,FIND("01",H1853)+16)+8)+2,50),"")</f>
        <v/>
      </c>
      <c r="G1853" s="5" t="n"/>
      <c r="H1853" s="5">
        <f>SUBSTITUTE(SUBSTITUTE(SUBSTITUTE(SUBSTITUTE(A1853,"(",""),")","")," ",""),CHAR(29),"")</f>
        <v/>
      </c>
    </row>
    <row r="1854">
      <c r="A1854" s="7" t="n"/>
      <c r="B1854" s="8">
        <f>IFERROR(MID(H1854,FIND("01",H1854)+2,14),"")</f>
        <v/>
      </c>
      <c r="C1854" s="7">
        <f>IF(A1854="","",IFERROR(VLOOKUP(B1854,TblArticles,2,FALSE),"GTIN inconnu"))</f>
        <v/>
      </c>
      <c r="D1854" s="8">
        <f>IF(A1854="","",IFERROR(VLOOKUP(B1854,TblArticles,3,FALSE),""))</f>
        <v/>
      </c>
      <c r="E1854" s="9">
        <f>IFERROR(DATE(2000+VALUE(MID(H1854,FIND("15",H1854,FIND("01",H1854)+16)+2,2)),VALUE(MID(H1854,FIND("15",H1854,FIND("01",H1854)+16)+4,2)),VALUE(MID(H1854,FIND("15",H1854,FIND("01",H1854)+16)+6,2))),"")</f>
        <v/>
      </c>
      <c r="F1854" s="8">
        <f>IFERROR(MID(H1854,FIND("10",H1854,FIND("15",H1854,FIND("01",H1854)+16)+8)+2,50),"")</f>
        <v/>
      </c>
      <c r="G1854" s="8" t="n"/>
      <c r="H1854" s="8">
        <f>SUBSTITUTE(SUBSTITUTE(SUBSTITUTE(SUBSTITUTE(A1854,"(",""),")","")," ",""),CHAR(29),"")</f>
        <v/>
      </c>
    </row>
    <row r="1855">
      <c r="A1855" s="4" t="n"/>
      <c r="B1855" s="5">
        <f>IFERROR(MID(H1855,FIND("01",H1855)+2,14),"")</f>
        <v/>
      </c>
      <c r="C1855" s="4">
        <f>IF(A1855="","",IFERROR(VLOOKUP(B1855,TblArticles,2,FALSE),"GTIN inconnu"))</f>
        <v/>
      </c>
      <c r="D1855" s="5">
        <f>IF(A1855="","",IFERROR(VLOOKUP(B1855,TblArticles,3,FALSE),""))</f>
        <v/>
      </c>
      <c r="E1855" s="6">
        <f>IFERROR(DATE(2000+VALUE(MID(H1855,FIND("15",H1855,FIND("01",H1855)+16)+2,2)),VALUE(MID(H1855,FIND("15",H1855,FIND("01",H1855)+16)+4,2)),VALUE(MID(H1855,FIND("15",H1855,FIND("01",H1855)+16)+6,2))),"")</f>
        <v/>
      </c>
      <c r="F1855" s="5">
        <f>IFERROR(MID(H1855,FIND("10",H1855,FIND("15",H1855,FIND("01",H1855)+16)+8)+2,50),"")</f>
        <v/>
      </c>
      <c r="G1855" s="5" t="n"/>
      <c r="H1855" s="5">
        <f>SUBSTITUTE(SUBSTITUTE(SUBSTITUTE(SUBSTITUTE(A1855,"(",""),")","")," ",""),CHAR(29),"")</f>
        <v/>
      </c>
    </row>
    <row r="1856">
      <c r="A1856" s="7" t="n"/>
      <c r="B1856" s="8">
        <f>IFERROR(MID(H1856,FIND("01",H1856)+2,14),"")</f>
        <v/>
      </c>
      <c r="C1856" s="7">
        <f>IF(A1856="","",IFERROR(VLOOKUP(B1856,TblArticles,2,FALSE),"GTIN inconnu"))</f>
        <v/>
      </c>
      <c r="D1856" s="8">
        <f>IF(A1856="","",IFERROR(VLOOKUP(B1856,TblArticles,3,FALSE),""))</f>
        <v/>
      </c>
      <c r="E1856" s="9">
        <f>IFERROR(DATE(2000+VALUE(MID(H1856,FIND("15",H1856,FIND("01",H1856)+16)+2,2)),VALUE(MID(H1856,FIND("15",H1856,FIND("01",H1856)+16)+4,2)),VALUE(MID(H1856,FIND("15",H1856,FIND("01",H1856)+16)+6,2))),"")</f>
        <v/>
      </c>
      <c r="F1856" s="8">
        <f>IFERROR(MID(H1856,FIND("10",H1856,FIND("15",H1856,FIND("01",H1856)+16)+8)+2,50),"")</f>
        <v/>
      </c>
      <c r="G1856" s="8" t="n"/>
      <c r="H1856" s="8">
        <f>SUBSTITUTE(SUBSTITUTE(SUBSTITUTE(SUBSTITUTE(A1856,"(",""),")","")," ",""),CHAR(29),"")</f>
        <v/>
      </c>
    </row>
    <row r="1857">
      <c r="A1857" s="4" t="n"/>
      <c r="B1857" s="5">
        <f>IFERROR(MID(H1857,FIND("01",H1857)+2,14),"")</f>
        <v/>
      </c>
      <c r="C1857" s="4">
        <f>IF(A1857="","",IFERROR(VLOOKUP(B1857,TblArticles,2,FALSE),"GTIN inconnu"))</f>
        <v/>
      </c>
      <c r="D1857" s="5">
        <f>IF(A1857="","",IFERROR(VLOOKUP(B1857,TblArticles,3,FALSE),""))</f>
        <v/>
      </c>
      <c r="E1857" s="6">
        <f>IFERROR(DATE(2000+VALUE(MID(H1857,FIND("15",H1857,FIND("01",H1857)+16)+2,2)),VALUE(MID(H1857,FIND("15",H1857,FIND("01",H1857)+16)+4,2)),VALUE(MID(H1857,FIND("15",H1857,FIND("01",H1857)+16)+6,2))),"")</f>
        <v/>
      </c>
      <c r="F1857" s="5">
        <f>IFERROR(MID(H1857,FIND("10",H1857,FIND("15",H1857,FIND("01",H1857)+16)+8)+2,50),"")</f>
        <v/>
      </c>
      <c r="G1857" s="5" t="n"/>
      <c r="H1857" s="5">
        <f>SUBSTITUTE(SUBSTITUTE(SUBSTITUTE(SUBSTITUTE(A1857,"(",""),")","")," ",""),CHAR(29),"")</f>
        <v/>
      </c>
    </row>
    <row r="1858">
      <c r="A1858" s="7" t="n"/>
      <c r="B1858" s="8">
        <f>IFERROR(MID(H1858,FIND("01",H1858)+2,14),"")</f>
        <v/>
      </c>
      <c r="C1858" s="7">
        <f>IF(A1858="","",IFERROR(VLOOKUP(B1858,TblArticles,2,FALSE),"GTIN inconnu"))</f>
        <v/>
      </c>
      <c r="D1858" s="8">
        <f>IF(A1858="","",IFERROR(VLOOKUP(B1858,TblArticles,3,FALSE),""))</f>
        <v/>
      </c>
      <c r="E1858" s="9">
        <f>IFERROR(DATE(2000+VALUE(MID(H1858,FIND("15",H1858,FIND("01",H1858)+16)+2,2)),VALUE(MID(H1858,FIND("15",H1858,FIND("01",H1858)+16)+4,2)),VALUE(MID(H1858,FIND("15",H1858,FIND("01",H1858)+16)+6,2))),"")</f>
        <v/>
      </c>
      <c r="F1858" s="8">
        <f>IFERROR(MID(H1858,FIND("10",H1858,FIND("15",H1858,FIND("01",H1858)+16)+8)+2,50),"")</f>
        <v/>
      </c>
      <c r="G1858" s="8" t="n"/>
      <c r="H1858" s="8">
        <f>SUBSTITUTE(SUBSTITUTE(SUBSTITUTE(SUBSTITUTE(A1858,"(",""),")","")," ",""),CHAR(29),"")</f>
        <v/>
      </c>
    </row>
    <row r="1859">
      <c r="A1859" s="4" t="n"/>
      <c r="B1859" s="5">
        <f>IFERROR(MID(H1859,FIND("01",H1859)+2,14),"")</f>
        <v/>
      </c>
      <c r="C1859" s="4">
        <f>IF(A1859="","",IFERROR(VLOOKUP(B1859,TblArticles,2,FALSE),"GTIN inconnu"))</f>
        <v/>
      </c>
      <c r="D1859" s="5">
        <f>IF(A1859="","",IFERROR(VLOOKUP(B1859,TblArticles,3,FALSE),""))</f>
        <v/>
      </c>
      <c r="E1859" s="6">
        <f>IFERROR(DATE(2000+VALUE(MID(H1859,FIND("15",H1859,FIND("01",H1859)+16)+2,2)),VALUE(MID(H1859,FIND("15",H1859,FIND("01",H1859)+16)+4,2)),VALUE(MID(H1859,FIND("15",H1859,FIND("01",H1859)+16)+6,2))),"")</f>
        <v/>
      </c>
      <c r="F1859" s="5">
        <f>IFERROR(MID(H1859,FIND("10",H1859,FIND("15",H1859,FIND("01",H1859)+16)+8)+2,50),"")</f>
        <v/>
      </c>
      <c r="G1859" s="5" t="n"/>
      <c r="H1859" s="5">
        <f>SUBSTITUTE(SUBSTITUTE(SUBSTITUTE(SUBSTITUTE(A1859,"(",""),")","")," ",""),CHAR(29),"")</f>
        <v/>
      </c>
    </row>
    <row r="1860">
      <c r="A1860" s="7" t="n"/>
      <c r="B1860" s="8">
        <f>IFERROR(MID(H1860,FIND("01",H1860)+2,14),"")</f>
        <v/>
      </c>
      <c r="C1860" s="7">
        <f>IF(A1860="","",IFERROR(VLOOKUP(B1860,TblArticles,2,FALSE),"GTIN inconnu"))</f>
        <v/>
      </c>
      <c r="D1860" s="8">
        <f>IF(A1860="","",IFERROR(VLOOKUP(B1860,TblArticles,3,FALSE),""))</f>
        <v/>
      </c>
      <c r="E1860" s="9">
        <f>IFERROR(DATE(2000+VALUE(MID(H1860,FIND("15",H1860,FIND("01",H1860)+16)+2,2)),VALUE(MID(H1860,FIND("15",H1860,FIND("01",H1860)+16)+4,2)),VALUE(MID(H1860,FIND("15",H1860,FIND("01",H1860)+16)+6,2))),"")</f>
        <v/>
      </c>
      <c r="F1860" s="8">
        <f>IFERROR(MID(H1860,FIND("10",H1860,FIND("15",H1860,FIND("01",H1860)+16)+8)+2,50),"")</f>
        <v/>
      </c>
      <c r="G1860" s="8" t="n"/>
      <c r="H1860" s="8">
        <f>SUBSTITUTE(SUBSTITUTE(SUBSTITUTE(SUBSTITUTE(A1860,"(",""),")","")," ",""),CHAR(29),"")</f>
        <v/>
      </c>
    </row>
    <row r="1861">
      <c r="A1861" s="4" t="n"/>
      <c r="B1861" s="5">
        <f>IFERROR(MID(H1861,FIND("01",H1861)+2,14),"")</f>
        <v/>
      </c>
      <c r="C1861" s="4">
        <f>IF(A1861="","",IFERROR(VLOOKUP(B1861,TblArticles,2,FALSE),"GTIN inconnu"))</f>
        <v/>
      </c>
      <c r="D1861" s="5">
        <f>IF(A1861="","",IFERROR(VLOOKUP(B1861,TblArticles,3,FALSE),""))</f>
        <v/>
      </c>
      <c r="E1861" s="6">
        <f>IFERROR(DATE(2000+VALUE(MID(H1861,FIND("15",H1861,FIND("01",H1861)+16)+2,2)),VALUE(MID(H1861,FIND("15",H1861,FIND("01",H1861)+16)+4,2)),VALUE(MID(H1861,FIND("15",H1861,FIND("01",H1861)+16)+6,2))),"")</f>
        <v/>
      </c>
      <c r="F1861" s="5">
        <f>IFERROR(MID(H1861,FIND("10",H1861,FIND("15",H1861,FIND("01",H1861)+16)+8)+2,50),"")</f>
        <v/>
      </c>
      <c r="G1861" s="5" t="n"/>
      <c r="H1861" s="5">
        <f>SUBSTITUTE(SUBSTITUTE(SUBSTITUTE(SUBSTITUTE(A1861,"(",""),")","")," ",""),CHAR(29),"")</f>
        <v/>
      </c>
    </row>
    <row r="1862">
      <c r="A1862" s="7" t="n"/>
      <c r="B1862" s="8">
        <f>IFERROR(MID(H1862,FIND("01",H1862)+2,14),"")</f>
        <v/>
      </c>
      <c r="C1862" s="7">
        <f>IF(A1862="","",IFERROR(VLOOKUP(B1862,TblArticles,2,FALSE),"GTIN inconnu"))</f>
        <v/>
      </c>
      <c r="D1862" s="8">
        <f>IF(A1862="","",IFERROR(VLOOKUP(B1862,TblArticles,3,FALSE),""))</f>
        <v/>
      </c>
      <c r="E1862" s="9">
        <f>IFERROR(DATE(2000+VALUE(MID(H1862,FIND("15",H1862,FIND("01",H1862)+16)+2,2)),VALUE(MID(H1862,FIND("15",H1862,FIND("01",H1862)+16)+4,2)),VALUE(MID(H1862,FIND("15",H1862,FIND("01",H1862)+16)+6,2))),"")</f>
        <v/>
      </c>
      <c r="F1862" s="8">
        <f>IFERROR(MID(H1862,FIND("10",H1862,FIND("15",H1862,FIND("01",H1862)+16)+8)+2,50),"")</f>
        <v/>
      </c>
      <c r="G1862" s="8" t="n"/>
      <c r="H1862" s="8">
        <f>SUBSTITUTE(SUBSTITUTE(SUBSTITUTE(SUBSTITUTE(A1862,"(",""),")","")," ",""),CHAR(29),"")</f>
        <v/>
      </c>
    </row>
    <row r="1863">
      <c r="A1863" s="4" t="n"/>
      <c r="B1863" s="5">
        <f>IFERROR(MID(H1863,FIND("01",H1863)+2,14),"")</f>
        <v/>
      </c>
      <c r="C1863" s="4">
        <f>IF(A1863="","",IFERROR(VLOOKUP(B1863,TblArticles,2,FALSE),"GTIN inconnu"))</f>
        <v/>
      </c>
      <c r="D1863" s="5">
        <f>IF(A1863="","",IFERROR(VLOOKUP(B1863,TblArticles,3,FALSE),""))</f>
        <v/>
      </c>
      <c r="E1863" s="6">
        <f>IFERROR(DATE(2000+VALUE(MID(H1863,FIND("15",H1863,FIND("01",H1863)+16)+2,2)),VALUE(MID(H1863,FIND("15",H1863,FIND("01",H1863)+16)+4,2)),VALUE(MID(H1863,FIND("15",H1863,FIND("01",H1863)+16)+6,2))),"")</f>
        <v/>
      </c>
      <c r="F1863" s="5">
        <f>IFERROR(MID(H1863,FIND("10",H1863,FIND("15",H1863,FIND("01",H1863)+16)+8)+2,50),"")</f>
        <v/>
      </c>
      <c r="G1863" s="5" t="n"/>
      <c r="H1863" s="5">
        <f>SUBSTITUTE(SUBSTITUTE(SUBSTITUTE(SUBSTITUTE(A1863,"(",""),")","")," ",""),CHAR(29),"")</f>
        <v/>
      </c>
    </row>
    <row r="1864">
      <c r="A1864" s="7" t="n"/>
      <c r="B1864" s="8">
        <f>IFERROR(MID(H1864,FIND("01",H1864)+2,14),"")</f>
        <v/>
      </c>
      <c r="C1864" s="7">
        <f>IF(A1864="","",IFERROR(VLOOKUP(B1864,TblArticles,2,FALSE),"GTIN inconnu"))</f>
        <v/>
      </c>
      <c r="D1864" s="8">
        <f>IF(A1864="","",IFERROR(VLOOKUP(B1864,TblArticles,3,FALSE),""))</f>
        <v/>
      </c>
      <c r="E1864" s="9">
        <f>IFERROR(DATE(2000+VALUE(MID(H1864,FIND("15",H1864,FIND("01",H1864)+16)+2,2)),VALUE(MID(H1864,FIND("15",H1864,FIND("01",H1864)+16)+4,2)),VALUE(MID(H1864,FIND("15",H1864,FIND("01",H1864)+16)+6,2))),"")</f>
        <v/>
      </c>
      <c r="F1864" s="8">
        <f>IFERROR(MID(H1864,FIND("10",H1864,FIND("15",H1864,FIND("01",H1864)+16)+8)+2,50),"")</f>
        <v/>
      </c>
      <c r="G1864" s="8" t="n"/>
      <c r="H1864" s="8">
        <f>SUBSTITUTE(SUBSTITUTE(SUBSTITUTE(SUBSTITUTE(A1864,"(",""),")","")," ",""),CHAR(29),"")</f>
        <v/>
      </c>
    </row>
    <row r="1865">
      <c r="A1865" s="4" t="n"/>
      <c r="B1865" s="5">
        <f>IFERROR(MID(H1865,FIND("01",H1865)+2,14),"")</f>
        <v/>
      </c>
      <c r="C1865" s="4">
        <f>IF(A1865="","",IFERROR(VLOOKUP(B1865,TblArticles,2,FALSE),"GTIN inconnu"))</f>
        <v/>
      </c>
      <c r="D1865" s="5">
        <f>IF(A1865="","",IFERROR(VLOOKUP(B1865,TblArticles,3,FALSE),""))</f>
        <v/>
      </c>
      <c r="E1865" s="6">
        <f>IFERROR(DATE(2000+VALUE(MID(H1865,FIND("15",H1865,FIND("01",H1865)+16)+2,2)),VALUE(MID(H1865,FIND("15",H1865,FIND("01",H1865)+16)+4,2)),VALUE(MID(H1865,FIND("15",H1865,FIND("01",H1865)+16)+6,2))),"")</f>
        <v/>
      </c>
      <c r="F1865" s="5">
        <f>IFERROR(MID(H1865,FIND("10",H1865,FIND("15",H1865,FIND("01",H1865)+16)+8)+2,50),"")</f>
        <v/>
      </c>
      <c r="G1865" s="5" t="n"/>
      <c r="H1865" s="5">
        <f>SUBSTITUTE(SUBSTITUTE(SUBSTITUTE(SUBSTITUTE(A1865,"(",""),")","")," ",""),CHAR(29),"")</f>
        <v/>
      </c>
    </row>
    <row r="1866">
      <c r="A1866" s="7" t="n"/>
      <c r="B1866" s="8">
        <f>IFERROR(MID(H1866,FIND("01",H1866)+2,14),"")</f>
        <v/>
      </c>
      <c r="C1866" s="7">
        <f>IF(A1866="","",IFERROR(VLOOKUP(B1866,TblArticles,2,FALSE),"GTIN inconnu"))</f>
        <v/>
      </c>
      <c r="D1866" s="8">
        <f>IF(A1866="","",IFERROR(VLOOKUP(B1866,TblArticles,3,FALSE),""))</f>
        <v/>
      </c>
      <c r="E1866" s="9">
        <f>IFERROR(DATE(2000+VALUE(MID(H1866,FIND("15",H1866,FIND("01",H1866)+16)+2,2)),VALUE(MID(H1866,FIND("15",H1866,FIND("01",H1866)+16)+4,2)),VALUE(MID(H1866,FIND("15",H1866,FIND("01",H1866)+16)+6,2))),"")</f>
        <v/>
      </c>
      <c r="F1866" s="8">
        <f>IFERROR(MID(H1866,FIND("10",H1866,FIND("15",H1866,FIND("01",H1866)+16)+8)+2,50),"")</f>
        <v/>
      </c>
      <c r="G1866" s="8" t="n"/>
      <c r="H1866" s="8">
        <f>SUBSTITUTE(SUBSTITUTE(SUBSTITUTE(SUBSTITUTE(A1866,"(",""),")","")," ",""),CHAR(29),"")</f>
        <v/>
      </c>
    </row>
    <row r="1867">
      <c r="A1867" s="4" t="n"/>
      <c r="B1867" s="5">
        <f>IFERROR(MID(H1867,FIND("01",H1867)+2,14),"")</f>
        <v/>
      </c>
      <c r="C1867" s="4">
        <f>IF(A1867="","",IFERROR(VLOOKUP(B1867,TblArticles,2,FALSE),"GTIN inconnu"))</f>
        <v/>
      </c>
      <c r="D1867" s="5">
        <f>IF(A1867="","",IFERROR(VLOOKUP(B1867,TblArticles,3,FALSE),""))</f>
        <v/>
      </c>
      <c r="E1867" s="6">
        <f>IFERROR(DATE(2000+VALUE(MID(H1867,FIND("15",H1867,FIND("01",H1867)+16)+2,2)),VALUE(MID(H1867,FIND("15",H1867,FIND("01",H1867)+16)+4,2)),VALUE(MID(H1867,FIND("15",H1867,FIND("01",H1867)+16)+6,2))),"")</f>
        <v/>
      </c>
      <c r="F1867" s="5">
        <f>IFERROR(MID(H1867,FIND("10",H1867,FIND("15",H1867,FIND("01",H1867)+16)+8)+2,50),"")</f>
        <v/>
      </c>
      <c r="G1867" s="5" t="n"/>
      <c r="H1867" s="5">
        <f>SUBSTITUTE(SUBSTITUTE(SUBSTITUTE(SUBSTITUTE(A1867,"(",""),")","")," ",""),CHAR(29),"")</f>
        <v/>
      </c>
    </row>
    <row r="1868">
      <c r="A1868" s="7" t="n"/>
      <c r="B1868" s="8">
        <f>IFERROR(MID(H1868,FIND("01",H1868)+2,14),"")</f>
        <v/>
      </c>
      <c r="C1868" s="7">
        <f>IF(A1868="","",IFERROR(VLOOKUP(B1868,TblArticles,2,FALSE),"GTIN inconnu"))</f>
        <v/>
      </c>
      <c r="D1868" s="8">
        <f>IF(A1868="","",IFERROR(VLOOKUP(B1868,TblArticles,3,FALSE),""))</f>
        <v/>
      </c>
      <c r="E1868" s="9">
        <f>IFERROR(DATE(2000+VALUE(MID(H1868,FIND("15",H1868,FIND("01",H1868)+16)+2,2)),VALUE(MID(H1868,FIND("15",H1868,FIND("01",H1868)+16)+4,2)),VALUE(MID(H1868,FIND("15",H1868,FIND("01",H1868)+16)+6,2))),"")</f>
        <v/>
      </c>
      <c r="F1868" s="8">
        <f>IFERROR(MID(H1868,FIND("10",H1868,FIND("15",H1868,FIND("01",H1868)+16)+8)+2,50),"")</f>
        <v/>
      </c>
      <c r="G1868" s="8" t="n"/>
      <c r="H1868" s="8">
        <f>SUBSTITUTE(SUBSTITUTE(SUBSTITUTE(SUBSTITUTE(A1868,"(",""),")","")," ",""),CHAR(29),"")</f>
        <v/>
      </c>
    </row>
    <row r="1869">
      <c r="A1869" s="4" t="n"/>
      <c r="B1869" s="5">
        <f>IFERROR(MID(H1869,FIND("01",H1869)+2,14),"")</f>
        <v/>
      </c>
      <c r="C1869" s="4">
        <f>IF(A1869="","",IFERROR(VLOOKUP(B1869,TblArticles,2,FALSE),"GTIN inconnu"))</f>
        <v/>
      </c>
      <c r="D1869" s="5">
        <f>IF(A1869="","",IFERROR(VLOOKUP(B1869,TblArticles,3,FALSE),""))</f>
        <v/>
      </c>
      <c r="E1869" s="6">
        <f>IFERROR(DATE(2000+VALUE(MID(H1869,FIND("15",H1869,FIND("01",H1869)+16)+2,2)),VALUE(MID(H1869,FIND("15",H1869,FIND("01",H1869)+16)+4,2)),VALUE(MID(H1869,FIND("15",H1869,FIND("01",H1869)+16)+6,2))),"")</f>
        <v/>
      </c>
      <c r="F1869" s="5">
        <f>IFERROR(MID(H1869,FIND("10",H1869,FIND("15",H1869,FIND("01",H1869)+16)+8)+2,50),"")</f>
        <v/>
      </c>
      <c r="G1869" s="5" t="n"/>
      <c r="H1869" s="5">
        <f>SUBSTITUTE(SUBSTITUTE(SUBSTITUTE(SUBSTITUTE(A1869,"(",""),")","")," ",""),CHAR(29),"")</f>
        <v/>
      </c>
    </row>
    <row r="1870">
      <c r="A1870" s="7" t="n"/>
      <c r="B1870" s="8">
        <f>IFERROR(MID(H1870,FIND("01",H1870)+2,14),"")</f>
        <v/>
      </c>
      <c r="C1870" s="7">
        <f>IF(A1870="","",IFERROR(VLOOKUP(B1870,TblArticles,2,FALSE),"GTIN inconnu"))</f>
        <v/>
      </c>
      <c r="D1870" s="8">
        <f>IF(A1870="","",IFERROR(VLOOKUP(B1870,TblArticles,3,FALSE),""))</f>
        <v/>
      </c>
      <c r="E1870" s="9">
        <f>IFERROR(DATE(2000+VALUE(MID(H1870,FIND("15",H1870,FIND("01",H1870)+16)+2,2)),VALUE(MID(H1870,FIND("15",H1870,FIND("01",H1870)+16)+4,2)),VALUE(MID(H1870,FIND("15",H1870,FIND("01",H1870)+16)+6,2))),"")</f>
        <v/>
      </c>
      <c r="F1870" s="8">
        <f>IFERROR(MID(H1870,FIND("10",H1870,FIND("15",H1870,FIND("01",H1870)+16)+8)+2,50),"")</f>
        <v/>
      </c>
      <c r="G1870" s="8" t="n"/>
      <c r="H1870" s="8">
        <f>SUBSTITUTE(SUBSTITUTE(SUBSTITUTE(SUBSTITUTE(A1870,"(",""),")","")," ",""),CHAR(29),"")</f>
        <v/>
      </c>
    </row>
    <row r="1871">
      <c r="A1871" s="4" t="n"/>
      <c r="B1871" s="5">
        <f>IFERROR(MID(H1871,FIND("01",H1871)+2,14),"")</f>
        <v/>
      </c>
      <c r="C1871" s="4">
        <f>IF(A1871="","",IFERROR(VLOOKUP(B1871,TblArticles,2,FALSE),"GTIN inconnu"))</f>
        <v/>
      </c>
      <c r="D1871" s="5">
        <f>IF(A1871="","",IFERROR(VLOOKUP(B1871,TblArticles,3,FALSE),""))</f>
        <v/>
      </c>
      <c r="E1871" s="6">
        <f>IFERROR(DATE(2000+VALUE(MID(H1871,FIND("15",H1871,FIND("01",H1871)+16)+2,2)),VALUE(MID(H1871,FIND("15",H1871,FIND("01",H1871)+16)+4,2)),VALUE(MID(H1871,FIND("15",H1871,FIND("01",H1871)+16)+6,2))),"")</f>
        <v/>
      </c>
      <c r="F1871" s="5">
        <f>IFERROR(MID(H1871,FIND("10",H1871,FIND("15",H1871,FIND("01",H1871)+16)+8)+2,50),"")</f>
        <v/>
      </c>
      <c r="G1871" s="5" t="n"/>
      <c r="H1871" s="5">
        <f>SUBSTITUTE(SUBSTITUTE(SUBSTITUTE(SUBSTITUTE(A1871,"(",""),")","")," ",""),CHAR(29),"")</f>
        <v/>
      </c>
    </row>
    <row r="1872">
      <c r="A1872" s="7" t="n"/>
      <c r="B1872" s="8">
        <f>IFERROR(MID(H1872,FIND("01",H1872)+2,14),"")</f>
        <v/>
      </c>
      <c r="C1872" s="7">
        <f>IF(A1872="","",IFERROR(VLOOKUP(B1872,TblArticles,2,FALSE),"GTIN inconnu"))</f>
        <v/>
      </c>
      <c r="D1872" s="8">
        <f>IF(A1872="","",IFERROR(VLOOKUP(B1872,TblArticles,3,FALSE),""))</f>
        <v/>
      </c>
      <c r="E1872" s="9">
        <f>IFERROR(DATE(2000+VALUE(MID(H1872,FIND("15",H1872,FIND("01",H1872)+16)+2,2)),VALUE(MID(H1872,FIND("15",H1872,FIND("01",H1872)+16)+4,2)),VALUE(MID(H1872,FIND("15",H1872,FIND("01",H1872)+16)+6,2))),"")</f>
        <v/>
      </c>
      <c r="F1872" s="8">
        <f>IFERROR(MID(H1872,FIND("10",H1872,FIND("15",H1872,FIND("01",H1872)+16)+8)+2,50),"")</f>
        <v/>
      </c>
      <c r="G1872" s="8" t="n"/>
      <c r="H1872" s="8">
        <f>SUBSTITUTE(SUBSTITUTE(SUBSTITUTE(SUBSTITUTE(A1872,"(",""),")","")," ",""),CHAR(29),"")</f>
        <v/>
      </c>
    </row>
    <row r="1873">
      <c r="A1873" s="4" t="n"/>
      <c r="B1873" s="5">
        <f>IFERROR(MID(H1873,FIND("01",H1873)+2,14),"")</f>
        <v/>
      </c>
      <c r="C1873" s="4">
        <f>IF(A1873="","",IFERROR(VLOOKUP(B1873,TblArticles,2,FALSE),"GTIN inconnu"))</f>
        <v/>
      </c>
      <c r="D1873" s="5">
        <f>IF(A1873="","",IFERROR(VLOOKUP(B1873,TblArticles,3,FALSE),""))</f>
        <v/>
      </c>
      <c r="E1873" s="6">
        <f>IFERROR(DATE(2000+VALUE(MID(H1873,FIND("15",H1873,FIND("01",H1873)+16)+2,2)),VALUE(MID(H1873,FIND("15",H1873,FIND("01",H1873)+16)+4,2)),VALUE(MID(H1873,FIND("15",H1873,FIND("01",H1873)+16)+6,2))),"")</f>
        <v/>
      </c>
      <c r="F1873" s="5">
        <f>IFERROR(MID(H1873,FIND("10",H1873,FIND("15",H1873,FIND("01",H1873)+16)+8)+2,50),"")</f>
        <v/>
      </c>
      <c r="G1873" s="5" t="n"/>
      <c r="H1873" s="5">
        <f>SUBSTITUTE(SUBSTITUTE(SUBSTITUTE(SUBSTITUTE(A1873,"(",""),")","")," ",""),CHAR(29),"")</f>
        <v/>
      </c>
    </row>
    <row r="1874">
      <c r="A1874" s="7" t="n"/>
      <c r="B1874" s="8">
        <f>IFERROR(MID(H1874,FIND("01",H1874)+2,14),"")</f>
        <v/>
      </c>
      <c r="C1874" s="7">
        <f>IF(A1874="","",IFERROR(VLOOKUP(B1874,TblArticles,2,FALSE),"GTIN inconnu"))</f>
        <v/>
      </c>
      <c r="D1874" s="8">
        <f>IF(A1874="","",IFERROR(VLOOKUP(B1874,TblArticles,3,FALSE),""))</f>
        <v/>
      </c>
      <c r="E1874" s="9">
        <f>IFERROR(DATE(2000+VALUE(MID(H1874,FIND("15",H1874,FIND("01",H1874)+16)+2,2)),VALUE(MID(H1874,FIND("15",H1874,FIND("01",H1874)+16)+4,2)),VALUE(MID(H1874,FIND("15",H1874,FIND("01",H1874)+16)+6,2))),"")</f>
        <v/>
      </c>
      <c r="F1874" s="8">
        <f>IFERROR(MID(H1874,FIND("10",H1874,FIND("15",H1874,FIND("01",H1874)+16)+8)+2,50),"")</f>
        <v/>
      </c>
      <c r="G1874" s="8" t="n"/>
      <c r="H1874" s="8">
        <f>SUBSTITUTE(SUBSTITUTE(SUBSTITUTE(SUBSTITUTE(A1874,"(",""),")","")," ",""),CHAR(29),"")</f>
        <v/>
      </c>
    </row>
    <row r="1875">
      <c r="A1875" s="4" t="n"/>
      <c r="B1875" s="5">
        <f>IFERROR(MID(H1875,FIND("01",H1875)+2,14),"")</f>
        <v/>
      </c>
      <c r="C1875" s="4">
        <f>IF(A1875="","",IFERROR(VLOOKUP(B1875,TblArticles,2,FALSE),"GTIN inconnu"))</f>
        <v/>
      </c>
      <c r="D1875" s="5">
        <f>IF(A1875="","",IFERROR(VLOOKUP(B1875,TblArticles,3,FALSE),""))</f>
        <v/>
      </c>
      <c r="E1875" s="6">
        <f>IFERROR(DATE(2000+VALUE(MID(H1875,FIND("15",H1875,FIND("01",H1875)+16)+2,2)),VALUE(MID(H1875,FIND("15",H1875,FIND("01",H1875)+16)+4,2)),VALUE(MID(H1875,FIND("15",H1875,FIND("01",H1875)+16)+6,2))),"")</f>
        <v/>
      </c>
      <c r="F1875" s="5">
        <f>IFERROR(MID(H1875,FIND("10",H1875,FIND("15",H1875,FIND("01",H1875)+16)+8)+2,50),"")</f>
        <v/>
      </c>
      <c r="G1875" s="5" t="n"/>
      <c r="H1875" s="5">
        <f>SUBSTITUTE(SUBSTITUTE(SUBSTITUTE(SUBSTITUTE(A1875,"(",""),")","")," ",""),CHAR(29),"")</f>
        <v/>
      </c>
    </row>
    <row r="1876">
      <c r="A1876" s="7" t="n"/>
      <c r="B1876" s="8">
        <f>IFERROR(MID(H1876,FIND("01",H1876)+2,14),"")</f>
        <v/>
      </c>
      <c r="C1876" s="7">
        <f>IF(A1876="","",IFERROR(VLOOKUP(B1876,TblArticles,2,FALSE),"GTIN inconnu"))</f>
        <v/>
      </c>
      <c r="D1876" s="8">
        <f>IF(A1876="","",IFERROR(VLOOKUP(B1876,TblArticles,3,FALSE),""))</f>
        <v/>
      </c>
      <c r="E1876" s="9">
        <f>IFERROR(DATE(2000+VALUE(MID(H1876,FIND("15",H1876,FIND("01",H1876)+16)+2,2)),VALUE(MID(H1876,FIND("15",H1876,FIND("01",H1876)+16)+4,2)),VALUE(MID(H1876,FIND("15",H1876,FIND("01",H1876)+16)+6,2))),"")</f>
        <v/>
      </c>
      <c r="F1876" s="8">
        <f>IFERROR(MID(H1876,FIND("10",H1876,FIND("15",H1876,FIND("01",H1876)+16)+8)+2,50),"")</f>
        <v/>
      </c>
      <c r="G1876" s="8" t="n"/>
      <c r="H1876" s="8">
        <f>SUBSTITUTE(SUBSTITUTE(SUBSTITUTE(SUBSTITUTE(A1876,"(",""),")","")," ",""),CHAR(29),"")</f>
        <v/>
      </c>
    </row>
    <row r="1877">
      <c r="A1877" s="4" t="n"/>
      <c r="B1877" s="5">
        <f>IFERROR(MID(H1877,FIND("01",H1877)+2,14),"")</f>
        <v/>
      </c>
      <c r="C1877" s="4">
        <f>IF(A1877="","",IFERROR(VLOOKUP(B1877,TblArticles,2,FALSE),"GTIN inconnu"))</f>
        <v/>
      </c>
      <c r="D1877" s="5">
        <f>IF(A1877="","",IFERROR(VLOOKUP(B1877,TblArticles,3,FALSE),""))</f>
        <v/>
      </c>
      <c r="E1877" s="6">
        <f>IFERROR(DATE(2000+VALUE(MID(H1877,FIND("15",H1877,FIND("01",H1877)+16)+2,2)),VALUE(MID(H1877,FIND("15",H1877,FIND("01",H1877)+16)+4,2)),VALUE(MID(H1877,FIND("15",H1877,FIND("01",H1877)+16)+6,2))),"")</f>
        <v/>
      </c>
      <c r="F1877" s="5">
        <f>IFERROR(MID(H1877,FIND("10",H1877,FIND("15",H1877,FIND("01",H1877)+16)+8)+2,50),"")</f>
        <v/>
      </c>
      <c r="G1877" s="5" t="n"/>
      <c r="H1877" s="5">
        <f>SUBSTITUTE(SUBSTITUTE(SUBSTITUTE(SUBSTITUTE(A1877,"(",""),")","")," ",""),CHAR(29),"")</f>
        <v/>
      </c>
    </row>
    <row r="1878">
      <c r="A1878" s="7" t="n"/>
      <c r="B1878" s="8">
        <f>IFERROR(MID(H1878,FIND("01",H1878)+2,14),"")</f>
        <v/>
      </c>
      <c r="C1878" s="7">
        <f>IF(A1878="","",IFERROR(VLOOKUP(B1878,TblArticles,2,FALSE),"GTIN inconnu"))</f>
        <v/>
      </c>
      <c r="D1878" s="8">
        <f>IF(A1878="","",IFERROR(VLOOKUP(B1878,TblArticles,3,FALSE),""))</f>
        <v/>
      </c>
      <c r="E1878" s="9">
        <f>IFERROR(DATE(2000+VALUE(MID(H1878,FIND("15",H1878,FIND("01",H1878)+16)+2,2)),VALUE(MID(H1878,FIND("15",H1878,FIND("01",H1878)+16)+4,2)),VALUE(MID(H1878,FIND("15",H1878,FIND("01",H1878)+16)+6,2))),"")</f>
        <v/>
      </c>
      <c r="F1878" s="8">
        <f>IFERROR(MID(H1878,FIND("10",H1878,FIND("15",H1878,FIND("01",H1878)+16)+8)+2,50),"")</f>
        <v/>
      </c>
      <c r="G1878" s="8" t="n"/>
      <c r="H1878" s="8">
        <f>SUBSTITUTE(SUBSTITUTE(SUBSTITUTE(SUBSTITUTE(A1878,"(",""),")","")," ",""),CHAR(29),"")</f>
        <v/>
      </c>
    </row>
    <row r="1879">
      <c r="A1879" s="4" t="n"/>
      <c r="B1879" s="5">
        <f>IFERROR(MID(H1879,FIND("01",H1879)+2,14),"")</f>
        <v/>
      </c>
      <c r="C1879" s="4">
        <f>IF(A1879="","",IFERROR(VLOOKUP(B1879,TblArticles,2,FALSE),"GTIN inconnu"))</f>
        <v/>
      </c>
      <c r="D1879" s="5">
        <f>IF(A1879="","",IFERROR(VLOOKUP(B1879,TblArticles,3,FALSE),""))</f>
        <v/>
      </c>
      <c r="E1879" s="6">
        <f>IFERROR(DATE(2000+VALUE(MID(H1879,FIND("15",H1879,FIND("01",H1879)+16)+2,2)),VALUE(MID(H1879,FIND("15",H1879,FIND("01",H1879)+16)+4,2)),VALUE(MID(H1879,FIND("15",H1879,FIND("01",H1879)+16)+6,2))),"")</f>
        <v/>
      </c>
      <c r="F1879" s="5">
        <f>IFERROR(MID(H1879,FIND("10",H1879,FIND("15",H1879,FIND("01",H1879)+16)+8)+2,50),"")</f>
        <v/>
      </c>
      <c r="G1879" s="5" t="n"/>
      <c r="H1879" s="5">
        <f>SUBSTITUTE(SUBSTITUTE(SUBSTITUTE(SUBSTITUTE(A1879,"(",""),")","")," ",""),CHAR(29),"")</f>
        <v/>
      </c>
    </row>
    <row r="1880">
      <c r="A1880" s="7" t="n"/>
      <c r="B1880" s="8">
        <f>IFERROR(MID(H1880,FIND("01",H1880)+2,14),"")</f>
        <v/>
      </c>
      <c r="C1880" s="7">
        <f>IF(A1880="","",IFERROR(VLOOKUP(B1880,TblArticles,2,FALSE),"GTIN inconnu"))</f>
        <v/>
      </c>
      <c r="D1880" s="8">
        <f>IF(A1880="","",IFERROR(VLOOKUP(B1880,TblArticles,3,FALSE),""))</f>
        <v/>
      </c>
      <c r="E1880" s="9">
        <f>IFERROR(DATE(2000+VALUE(MID(H1880,FIND("15",H1880,FIND("01",H1880)+16)+2,2)),VALUE(MID(H1880,FIND("15",H1880,FIND("01",H1880)+16)+4,2)),VALUE(MID(H1880,FIND("15",H1880,FIND("01",H1880)+16)+6,2))),"")</f>
        <v/>
      </c>
      <c r="F1880" s="8">
        <f>IFERROR(MID(H1880,FIND("10",H1880,FIND("15",H1880,FIND("01",H1880)+16)+8)+2,50),"")</f>
        <v/>
      </c>
      <c r="G1880" s="8" t="n"/>
      <c r="H1880" s="8">
        <f>SUBSTITUTE(SUBSTITUTE(SUBSTITUTE(SUBSTITUTE(A1880,"(",""),")","")," ",""),CHAR(29),"")</f>
        <v/>
      </c>
    </row>
    <row r="1881">
      <c r="A1881" s="4" t="n"/>
      <c r="B1881" s="5">
        <f>IFERROR(MID(H1881,FIND("01",H1881)+2,14),"")</f>
        <v/>
      </c>
      <c r="C1881" s="4">
        <f>IF(A1881="","",IFERROR(VLOOKUP(B1881,TblArticles,2,FALSE),"GTIN inconnu"))</f>
        <v/>
      </c>
      <c r="D1881" s="5">
        <f>IF(A1881="","",IFERROR(VLOOKUP(B1881,TblArticles,3,FALSE),""))</f>
        <v/>
      </c>
      <c r="E1881" s="6">
        <f>IFERROR(DATE(2000+VALUE(MID(H1881,FIND("15",H1881,FIND("01",H1881)+16)+2,2)),VALUE(MID(H1881,FIND("15",H1881,FIND("01",H1881)+16)+4,2)),VALUE(MID(H1881,FIND("15",H1881,FIND("01",H1881)+16)+6,2))),"")</f>
        <v/>
      </c>
      <c r="F1881" s="5">
        <f>IFERROR(MID(H1881,FIND("10",H1881,FIND("15",H1881,FIND("01",H1881)+16)+8)+2,50),"")</f>
        <v/>
      </c>
      <c r="G1881" s="5" t="n"/>
      <c r="H1881" s="5">
        <f>SUBSTITUTE(SUBSTITUTE(SUBSTITUTE(SUBSTITUTE(A1881,"(",""),")","")," ",""),CHAR(29),"")</f>
        <v/>
      </c>
    </row>
    <row r="1882">
      <c r="A1882" s="7" t="n"/>
      <c r="B1882" s="8">
        <f>IFERROR(MID(H1882,FIND("01",H1882)+2,14),"")</f>
        <v/>
      </c>
      <c r="C1882" s="7">
        <f>IF(A1882="","",IFERROR(VLOOKUP(B1882,TblArticles,2,FALSE),"GTIN inconnu"))</f>
        <v/>
      </c>
      <c r="D1882" s="8">
        <f>IF(A1882="","",IFERROR(VLOOKUP(B1882,TblArticles,3,FALSE),""))</f>
        <v/>
      </c>
      <c r="E1882" s="9">
        <f>IFERROR(DATE(2000+VALUE(MID(H1882,FIND("15",H1882,FIND("01",H1882)+16)+2,2)),VALUE(MID(H1882,FIND("15",H1882,FIND("01",H1882)+16)+4,2)),VALUE(MID(H1882,FIND("15",H1882,FIND("01",H1882)+16)+6,2))),"")</f>
        <v/>
      </c>
      <c r="F1882" s="8">
        <f>IFERROR(MID(H1882,FIND("10",H1882,FIND("15",H1882,FIND("01",H1882)+16)+8)+2,50),"")</f>
        <v/>
      </c>
      <c r="G1882" s="8" t="n"/>
      <c r="H1882" s="8">
        <f>SUBSTITUTE(SUBSTITUTE(SUBSTITUTE(SUBSTITUTE(A1882,"(",""),")","")," ",""),CHAR(29),"")</f>
        <v/>
      </c>
    </row>
    <row r="1883">
      <c r="A1883" s="4" t="n"/>
      <c r="B1883" s="5">
        <f>IFERROR(MID(H1883,FIND("01",H1883)+2,14),"")</f>
        <v/>
      </c>
      <c r="C1883" s="4">
        <f>IF(A1883="","",IFERROR(VLOOKUP(B1883,TblArticles,2,FALSE),"GTIN inconnu"))</f>
        <v/>
      </c>
      <c r="D1883" s="5">
        <f>IF(A1883="","",IFERROR(VLOOKUP(B1883,TblArticles,3,FALSE),""))</f>
        <v/>
      </c>
      <c r="E1883" s="6">
        <f>IFERROR(DATE(2000+VALUE(MID(H1883,FIND("15",H1883,FIND("01",H1883)+16)+2,2)),VALUE(MID(H1883,FIND("15",H1883,FIND("01",H1883)+16)+4,2)),VALUE(MID(H1883,FIND("15",H1883,FIND("01",H1883)+16)+6,2))),"")</f>
        <v/>
      </c>
      <c r="F1883" s="5">
        <f>IFERROR(MID(H1883,FIND("10",H1883,FIND("15",H1883,FIND("01",H1883)+16)+8)+2,50),"")</f>
        <v/>
      </c>
      <c r="G1883" s="5" t="n"/>
      <c r="H1883" s="5">
        <f>SUBSTITUTE(SUBSTITUTE(SUBSTITUTE(SUBSTITUTE(A1883,"(",""),")","")," ",""),CHAR(29),"")</f>
        <v/>
      </c>
    </row>
    <row r="1884">
      <c r="A1884" s="7" t="n"/>
      <c r="B1884" s="8">
        <f>IFERROR(MID(H1884,FIND("01",H1884)+2,14),"")</f>
        <v/>
      </c>
      <c r="C1884" s="7">
        <f>IF(A1884="","",IFERROR(VLOOKUP(B1884,TblArticles,2,FALSE),"GTIN inconnu"))</f>
        <v/>
      </c>
      <c r="D1884" s="8">
        <f>IF(A1884="","",IFERROR(VLOOKUP(B1884,TblArticles,3,FALSE),""))</f>
        <v/>
      </c>
      <c r="E1884" s="9">
        <f>IFERROR(DATE(2000+VALUE(MID(H1884,FIND("15",H1884,FIND("01",H1884)+16)+2,2)),VALUE(MID(H1884,FIND("15",H1884,FIND("01",H1884)+16)+4,2)),VALUE(MID(H1884,FIND("15",H1884,FIND("01",H1884)+16)+6,2))),"")</f>
        <v/>
      </c>
      <c r="F1884" s="8">
        <f>IFERROR(MID(H1884,FIND("10",H1884,FIND("15",H1884,FIND("01",H1884)+16)+8)+2,50),"")</f>
        <v/>
      </c>
      <c r="G1884" s="8" t="n"/>
      <c r="H1884" s="8">
        <f>SUBSTITUTE(SUBSTITUTE(SUBSTITUTE(SUBSTITUTE(A1884,"(",""),")","")," ",""),CHAR(29),"")</f>
        <v/>
      </c>
    </row>
    <row r="1885">
      <c r="A1885" s="4" t="n"/>
      <c r="B1885" s="5">
        <f>IFERROR(MID(H1885,FIND("01",H1885)+2,14),"")</f>
        <v/>
      </c>
      <c r="C1885" s="4">
        <f>IF(A1885="","",IFERROR(VLOOKUP(B1885,TblArticles,2,FALSE),"GTIN inconnu"))</f>
        <v/>
      </c>
      <c r="D1885" s="5">
        <f>IF(A1885="","",IFERROR(VLOOKUP(B1885,TblArticles,3,FALSE),""))</f>
        <v/>
      </c>
      <c r="E1885" s="6">
        <f>IFERROR(DATE(2000+VALUE(MID(H1885,FIND("15",H1885,FIND("01",H1885)+16)+2,2)),VALUE(MID(H1885,FIND("15",H1885,FIND("01",H1885)+16)+4,2)),VALUE(MID(H1885,FIND("15",H1885,FIND("01",H1885)+16)+6,2))),"")</f>
        <v/>
      </c>
      <c r="F1885" s="5">
        <f>IFERROR(MID(H1885,FIND("10",H1885,FIND("15",H1885,FIND("01",H1885)+16)+8)+2,50),"")</f>
        <v/>
      </c>
      <c r="G1885" s="5" t="n"/>
      <c r="H1885" s="5">
        <f>SUBSTITUTE(SUBSTITUTE(SUBSTITUTE(SUBSTITUTE(A1885,"(",""),")","")," ",""),CHAR(29),"")</f>
        <v/>
      </c>
    </row>
    <row r="1886">
      <c r="A1886" s="7" t="n"/>
      <c r="B1886" s="8">
        <f>IFERROR(MID(H1886,FIND("01",H1886)+2,14),"")</f>
        <v/>
      </c>
      <c r="C1886" s="7">
        <f>IF(A1886="","",IFERROR(VLOOKUP(B1886,TblArticles,2,FALSE),"GTIN inconnu"))</f>
        <v/>
      </c>
      <c r="D1886" s="8">
        <f>IF(A1886="","",IFERROR(VLOOKUP(B1886,TblArticles,3,FALSE),""))</f>
        <v/>
      </c>
      <c r="E1886" s="9">
        <f>IFERROR(DATE(2000+VALUE(MID(H1886,FIND("15",H1886,FIND("01",H1886)+16)+2,2)),VALUE(MID(H1886,FIND("15",H1886,FIND("01",H1886)+16)+4,2)),VALUE(MID(H1886,FIND("15",H1886,FIND("01",H1886)+16)+6,2))),"")</f>
        <v/>
      </c>
      <c r="F1886" s="8">
        <f>IFERROR(MID(H1886,FIND("10",H1886,FIND("15",H1886,FIND("01",H1886)+16)+8)+2,50),"")</f>
        <v/>
      </c>
      <c r="G1886" s="8" t="n"/>
      <c r="H1886" s="8">
        <f>SUBSTITUTE(SUBSTITUTE(SUBSTITUTE(SUBSTITUTE(A1886,"(",""),")","")," ",""),CHAR(29),"")</f>
        <v/>
      </c>
    </row>
    <row r="1887">
      <c r="A1887" s="4" t="n"/>
      <c r="B1887" s="5">
        <f>IFERROR(MID(H1887,FIND("01",H1887)+2,14),"")</f>
        <v/>
      </c>
      <c r="C1887" s="4">
        <f>IF(A1887="","",IFERROR(VLOOKUP(B1887,TblArticles,2,FALSE),"GTIN inconnu"))</f>
        <v/>
      </c>
      <c r="D1887" s="5">
        <f>IF(A1887="","",IFERROR(VLOOKUP(B1887,TblArticles,3,FALSE),""))</f>
        <v/>
      </c>
      <c r="E1887" s="6">
        <f>IFERROR(DATE(2000+VALUE(MID(H1887,FIND("15",H1887,FIND("01",H1887)+16)+2,2)),VALUE(MID(H1887,FIND("15",H1887,FIND("01",H1887)+16)+4,2)),VALUE(MID(H1887,FIND("15",H1887,FIND("01",H1887)+16)+6,2))),"")</f>
        <v/>
      </c>
      <c r="F1887" s="5">
        <f>IFERROR(MID(H1887,FIND("10",H1887,FIND("15",H1887,FIND("01",H1887)+16)+8)+2,50),"")</f>
        <v/>
      </c>
      <c r="G1887" s="5" t="n"/>
      <c r="H1887" s="5">
        <f>SUBSTITUTE(SUBSTITUTE(SUBSTITUTE(SUBSTITUTE(A1887,"(",""),")","")," ",""),CHAR(29),"")</f>
        <v/>
      </c>
    </row>
    <row r="1888">
      <c r="A1888" s="7" t="n"/>
      <c r="B1888" s="8">
        <f>IFERROR(MID(H1888,FIND("01",H1888)+2,14),"")</f>
        <v/>
      </c>
      <c r="C1888" s="7">
        <f>IF(A1888="","",IFERROR(VLOOKUP(B1888,TblArticles,2,FALSE),"GTIN inconnu"))</f>
        <v/>
      </c>
      <c r="D1888" s="8">
        <f>IF(A1888="","",IFERROR(VLOOKUP(B1888,TblArticles,3,FALSE),""))</f>
        <v/>
      </c>
      <c r="E1888" s="9">
        <f>IFERROR(DATE(2000+VALUE(MID(H1888,FIND("15",H1888,FIND("01",H1888)+16)+2,2)),VALUE(MID(H1888,FIND("15",H1888,FIND("01",H1888)+16)+4,2)),VALUE(MID(H1888,FIND("15",H1888,FIND("01",H1888)+16)+6,2))),"")</f>
        <v/>
      </c>
      <c r="F1888" s="8">
        <f>IFERROR(MID(H1888,FIND("10",H1888,FIND("15",H1888,FIND("01",H1888)+16)+8)+2,50),"")</f>
        <v/>
      </c>
      <c r="G1888" s="8" t="n"/>
      <c r="H1888" s="8">
        <f>SUBSTITUTE(SUBSTITUTE(SUBSTITUTE(SUBSTITUTE(A1888,"(",""),")","")," ",""),CHAR(29),"")</f>
        <v/>
      </c>
    </row>
    <row r="1889">
      <c r="A1889" s="4" t="n"/>
      <c r="B1889" s="5">
        <f>IFERROR(MID(H1889,FIND("01",H1889)+2,14),"")</f>
        <v/>
      </c>
      <c r="C1889" s="4">
        <f>IF(A1889="","",IFERROR(VLOOKUP(B1889,TblArticles,2,FALSE),"GTIN inconnu"))</f>
        <v/>
      </c>
      <c r="D1889" s="5">
        <f>IF(A1889="","",IFERROR(VLOOKUP(B1889,TblArticles,3,FALSE),""))</f>
        <v/>
      </c>
      <c r="E1889" s="6">
        <f>IFERROR(DATE(2000+VALUE(MID(H1889,FIND("15",H1889,FIND("01",H1889)+16)+2,2)),VALUE(MID(H1889,FIND("15",H1889,FIND("01",H1889)+16)+4,2)),VALUE(MID(H1889,FIND("15",H1889,FIND("01",H1889)+16)+6,2))),"")</f>
        <v/>
      </c>
      <c r="F1889" s="5">
        <f>IFERROR(MID(H1889,FIND("10",H1889,FIND("15",H1889,FIND("01",H1889)+16)+8)+2,50),"")</f>
        <v/>
      </c>
      <c r="G1889" s="5" t="n"/>
      <c r="H1889" s="5">
        <f>SUBSTITUTE(SUBSTITUTE(SUBSTITUTE(SUBSTITUTE(A1889,"(",""),")","")," ",""),CHAR(29),"")</f>
        <v/>
      </c>
    </row>
    <row r="1890">
      <c r="A1890" s="7" t="n"/>
      <c r="B1890" s="8">
        <f>IFERROR(MID(H1890,FIND("01",H1890)+2,14),"")</f>
        <v/>
      </c>
      <c r="C1890" s="7">
        <f>IF(A1890="","",IFERROR(VLOOKUP(B1890,TblArticles,2,FALSE),"GTIN inconnu"))</f>
        <v/>
      </c>
      <c r="D1890" s="8">
        <f>IF(A1890="","",IFERROR(VLOOKUP(B1890,TblArticles,3,FALSE),""))</f>
        <v/>
      </c>
      <c r="E1890" s="9">
        <f>IFERROR(DATE(2000+VALUE(MID(H1890,FIND("15",H1890,FIND("01",H1890)+16)+2,2)),VALUE(MID(H1890,FIND("15",H1890,FIND("01",H1890)+16)+4,2)),VALUE(MID(H1890,FIND("15",H1890,FIND("01",H1890)+16)+6,2))),"")</f>
        <v/>
      </c>
      <c r="F1890" s="8">
        <f>IFERROR(MID(H1890,FIND("10",H1890,FIND("15",H1890,FIND("01",H1890)+16)+8)+2,50),"")</f>
        <v/>
      </c>
      <c r="G1890" s="8" t="n"/>
      <c r="H1890" s="8">
        <f>SUBSTITUTE(SUBSTITUTE(SUBSTITUTE(SUBSTITUTE(A1890,"(",""),")","")," ",""),CHAR(29),"")</f>
        <v/>
      </c>
    </row>
    <row r="1891">
      <c r="A1891" s="4" t="n"/>
      <c r="B1891" s="5">
        <f>IFERROR(MID(H1891,FIND("01",H1891)+2,14),"")</f>
        <v/>
      </c>
      <c r="C1891" s="4">
        <f>IF(A1891="","",IFERROR(VLOOKUP(B1891,TblArticles,2,FALSE),"GTIN inconnu"))</f>
        <v/>
      </c>
      <c r="D1891" s="5">
        <f>IF(A1891="","",IFERROR(VLOOKUP(B1891,TblArticles,3,FALSE),""))</f>
        <v/>
      </c>
      <c r="E1891" s="6">
        <f>IFERROR(DATE(2000+VALUE(MID(H1891,FIND("15",H1891,FIND("01",H1891)+16)+2,2)),VALUE(MID(H1891,FIND("15",H1891,FIND("01",H1891)+16)+4,2)),VALUE(MID(H1891,FIND("15",H1891,FIND("01",H1891)+16)+6,2))),"")</f>
        <v/>
      </c>
      <c r="F1891" s="5">
        <f>IFERROR(MID(H1891,FIND("10",H1891,FIND("15",H1891,FIND("01",H1891)+16)+8)+2,50),"")</f>
        <v/>
      </c>
      <c r="G1891" s="5" t="n"/>
      <c r="H1891" s="5">
        <f>SUBSTITUTE(SUBSTITUTE(SUBSTITUTE(SUBSTITUTE(A1891,"(",""),")","")," ",""),CHAR(29),"")</f>
        <v/>
      </c>
    </row>
    <row r="1892">
      <c r="A1892" s="7" t="n"/>
      <c r="B1892" s="8">
        <f>IFERROR(MID(H1892,FIND("01",H1892)+2,14),"")</f>
        <v/>
      </c>
      <c r="C1892" s="7">
        <f>IF(A1892="","",IFERROR(VLOOKUP(B1892,TblArticles,2,FALSE),"GTIN inconnu"))</f>
        <v/>
      </c>
      <c r="D1892" s="8">
        <f>IF(A1892="","",IFERROR(VLOOKUP(B1892,TblArticles,3,FALSE),""))</f>
        <v/>
      </c>
      <c r="E1892" s="9">
        <f>IFERROR(DATE(2000+VALUE(MID(H1892,FIND("15",H1892,FIND("01",H1892)+16)+2,2)),VALUE(MID(H1892,FIND("15",H1892,FIND("01",H1892)+16)+4,2)),VALUE(MID(H1892,FIND("15",H1892,FIND("01",H1892)+16)+6,2))),"")</f>
        <v/>
      </c>
      <c r="F1892" s="8">
        <f>IFERROR(MID(H1892,FIND("10",H1892,FIND("15",H1892,FIND("01",H1892)+16)+8)+2,50),"")</f>
        <v/>
      </c>
      <c r="G1892" s="8" t="n"/>
      <c r="H1892" s="8">
        <f>SUBSTITUTE(SUBSTITUTE(SUBSTITUTE(SUBSTITUTE(A1892,"(",""),")","")," ",""),CHAR(29),"")</f>
        <v/>
      </c>
    </row>
    <row r="1893">
      <c r="A1893" s="4" t="n"/>
      <c r="B1893" s="5">
        <f>IFERROR(MID(H1893,FIND("01",H1893)+2,14),"")</f>
        <v/>
      </c>
      <c r="C1893" s="4">
        <f>IF(A1893="","",IFERROR(VLOOKUP(B1893,TblArticles,2,FALSE),"GTIN inconnu"))</f>
        <v/>
      </c>
      <c r="D1893" s="5">
        <f>IF(A1893="","",IFERROR(VLOOKUP(B1893,TblArticles,3,FALSE),""))</f>
        <v/>
      </c>
      <c r="E1893" s="6">
        <f>IFERROR(DATE(2000+VALUE(MID(H1893,FIND("15",H1893,FIND("01",H1893)+16)+2,2)),VALUE(MID(H1893,FIND("15",H1893,FIND("01",H1893)+16)+4,2)),VALUE(MID(H1893,FIND("15",H1893,FIND("01",H1893)+16)+6,2))),"")</f>
        <v/>
      </c>
      <c r="F1893" s="5">
        <f>IFERROR(MID(H1893,FIND("10",H1893,FIND("15",H1893,FIND("01",H1893)+16)+8)+2,50),"")</f>
        <v/>
      </c>
      <c r="G1893" s="5" t="n"/>
      <c r="H1893" s="5">
        <f>SUBSTITUTE(SUBSTITUTE(SUBSTITUTE(SUBSTITUTE(A1893,"(",""),")","")," ",""),CHAR(29),"")</f>
        <v/>
      </c>
    </row>
    <row r="1894">
      <c r="A1894" s="7" t="n"/>
      <c r="B1894" s="8">
        <f>IFERROR(MID(H1894,FIND("01",H1894)+2,14),"")</f>
        <v/>
      </c>
      <c r="C1894" s="7">
        <f>IF(A1894="","",IFERROR(VLOOKUP(B1894,TblArticles,2,FALSE),"GTIN inconnu"))</f>
        <v/>
      </c>
      <c r="D1894" s="8">
        <f>IF(A1894="","",IFERROR(VLOOKUP(B1894,TblArticles,3,FALSE),""))</f>
        <v/>
      </c>
      <c r="E1894" s="9">
        <f>IFERROR(DATE(2000+VALUE(MID(H1894,FIND("15",H1894,FIND("01",H1894)+16)+2,2)),VALUE(MID(H1894,FIND("15",H1894,FIND("01",H1894)+16)+4,2)),VALUE(MID(H1894,FIND("15",H1894,FIND("01",H1894)+16)+6,2))),"")</f>
        <v/>
      </c>
      <c r="F1894" s="8">
        <f>IFERROR(MID(H1894,FIND("10",H1894,FIND("15",H1894,FIND("01",H1894)+16)+8)+2,50),"")</f>
        <v/>
      </c>
      <c r="G1894" s="8" t="n"/>
      <c r="H1894" s="8">
        <f>SUBSTITUTE(SUBSTITUTE(SUBSTITUTE(SUBSTITUTE(A1894,"(",""),")","")," ",""),CHAR(29),"")</f>
        <v/>
      </c>
    </row>
    <row r="1895">
      <c r="A1895" s="4" t="n"/>
      <c r="B1895" s="5">
        <f>IFERROR(MID(H1895,FIND("01",H1895)+2,14),"")</f>
        <v/>
      </c>
      <c r="C1895" s="4">
        <f>IF(A1895="","",IFERROR(VLOOKUP(B1895,TblArticles,2,FALSE),"GTIN inconnu"))</f>
        <v/>
      </c>
      <c r="D1895" s="5">
        <f>IF(A1895="","",IFERROR(VLOOKUP(B1895,TblArticles,3,FALSE),""))</f>
        <v/>
      </c>
      <c r="E1895" s="6">
        <f>IFERROR(DATE(2000+VALUE(MID(H1895,FIND("15",H1895,FIND("01",H1895)+16)+2,2)),VALUE(MID(H1895,FIND("15",H1895,FIND("01",H1895)+16)+4,2)),VALUE(MID(H1895,FIND("15",H1895,FIND("01",H1895)+16)+6,2))),"")</f>
        <v/>
      </c>
      <c r="F1895" s="5">
        <f>IFERROR(MID(H1895,FIND("10",H1895,FIND("15",H1895,FIND("01",H1895)+16)+8)+2,50),"")</f>
        <v/>
      </c>
      <c r="G1895" s="5" t="n"/>
      <c r="H1895" s="5">
        <f>SUBSTITUTE(SUBSTITUTE(SUBSTITUTE(SUBSTITUTE(A1895,"(",""),")","")," ",""),CHAR(29),"")</f>
        <v/>
      </c>
    </row>
    <row r="1896">
      <c r="A1896" s="7" t="n"/>
      <c r="B1896" s="8">
        <f>IFERROR(MID(H1896,FIND("01",H1896)+2,14),"")</f>
        <v/>
      </c>
      <c r="C1896" s="7">
        <f>IF(A1896="","",IFERROR(VLOOKUP(B1896,TblArticles,2,FALSE),"GTIN inconnu"))</f>
        <v/>
      </c>
      <c r="D1896" s="8">
        <f>IF(A1896="","",IFERROR(VLOOKUP(B1896,TblArticles,3,FALSE),""))</f>
        <v/>
      </c>
      <c r="E1896" s="9">
        <f>IFERROR(DATE(2000+VALUE(MID(H1896,FIND("15",H1896,FIND("01",H1896)+16)+2,2)),VALUE(MID(H1896,FIND("15",H1896,FIND("01",H1896)+16)+4,2)),VALUE(MID(H1896,FIND("15",H1896,FIND("01",H1896)+16)+6,2))),"")</f>
        <v/>
      </c>
      <c r="F1896" s="8">
        <f>IFERROR(MID(H1896,FIND("10",H1896,FIND("15",H1896,FIND("01",H1896)+16)+8)+2,50),"")</f>
        <v/>
      </c>
      <c r="G1896" s="8" t="n"/>
      <c r="H1896" s="8">
        <f>SUBSTITUTE(SUBSTITUTE(SUBSTITUTE(SUBSTITUTE(A1896,"(",""),")","")," ",""),CHAR(29),"")</f>
        <v/>
      </c>
    </row>
    <row r="1897">
      <c r="A1897" s="4" t="n"/>
      <c r="B1897" s="5">
        <f>IFERROR(MID(H1897,FIND("01",H1897)+2,14),"")</f>
        <v/>
      </c>
      <c r="C1897" s="4">
        <f>IF(A1897="","",IFERROR(VLOOKUP(B1897,TblArticles,2,FALSE),"GTIN inconnu"))</f>
        <v/>
      </c>
      <c r="D1897" s="5">
        <f>IF(A1897="","",IFERROR(VLOOKUP(B1897,TblArticles,3,FALSE),""))</f>
        <v/>
      </c>
      <c r="E1897" s="6">
        <f>IFERROR(DATE(2000+VALUE(MID(H1897,FIND("15",H1897,FIND("01",H1897)+16)+2,2)),VALUE(MID(H1897,FIND("15",H1897,FIND("01",H1897)+16)+4,2)),VALUE(MID(H1897,FIND("15",H1897,FIND("01",H1897)+16)+6,2))),"")</f>
        <v/>
      </c>
      <c r="F1897" s="5">
        <f>IFERROR(MID(H1897,FIND("10",H1897,FIND("15",H1897,FIND("01",H1897)+16)+8)+2,50),"")</f>
        <v/>
      </c>
      <c r="G1897" s="5" t="n"/>
      <c r="H1897" s="5">
        <f>SUBSTITUTE(SUBSTITUTE(SUBSTITUTE(SUBSTITUTE(A1897,"(",""),")","")," ",""),CHAR(29),"")</f>
        <v/>
      </c>
    </row>
    <row r="1898">
      <c r="A1898" s="7" t="n"/>
      <c r="B1898" s="8">
        <f>IFERROR(MID(H1898,FIND("01",H1898)+2,14),"")</f>
        <v/>
      </c>
      <c r="C1898" s="7">
        <f>IF(A1898="","",IFERROR(VLOOKUP(B1898,TblArticles,2,FALSE),"GTIN inconnu"))</f>
        <v/>
      </c>
      <c r="D1898" s="8">
        <f>IF(A1898="","",IFERROR(VLOOKUP(B1898,TblArticles,3,FALSE),""))</f>
        <v/>
      </c>
      <c r="E1898" s="9">
        <f>IFERROR(DATE(2000+VALUE(MID(H1898,FIND("15",H1898,FIND("01",H1898)+16)+2,2)),VALUE(MID(H1898,FIND("15",H1898,FIND("01",H1898)+16)+4,2)),VALUE(MID(H1898,FIND("15",H1898,FIND("01",H1898)+16)+6,2))),"")</f>
        <v/>
      </c>
      <c r="F1898" s="8">
        <f>IFERROR(MID(H1898,FIND("10",H1898,FIND("15",H1898,FIND("01",H1898)+16)+8)+2,50),"")</f>
        <v/>
      </c>
      <c r="G1898" s="8" t="n"/>
      <c r="H1898" s="8">
        <f>SUBSTITUTE(SUBSTITUTE(SUBSTITUTE(SUBSTITUTE(A1898,"(",""),")","")," ",""),CHAR(29),"")</f>
        <v/>
      </c>
    </row>
    <row r="1899">
      <c r="A1899" s="4" t="n"/>
      <c r="B1899" s="5">
        <f>IFERROR(MID(H1899,FIND("01",H1899)+2,14),"")</f>
        <v/>
      </c>
      <c r="C1899" s="4">
        <f>IF(A1899="","",IFERROR(VLOOKUP(B1899,TblArticles,2,FALSE),"GTIN inconnu"))</f>
        <v/>
      </c>
      <c r="D1899" s="5">
        <f>IF(A1899="","",IFERROR(VLOOKUP(B1899,TblArticles,3,FALSE),""))</f>
        <v/>
      </c>
      <c r="E1899" s="6">
        <f>IFERROR(DATE(2000+VALUE(MID(H1899,FIND("15",H1899,FIND("01",H1899)+16)+2,2)),VALUE(MID(H1899,FIND("15",H1899,FIND("01",H1899)+16)+4,2)),VALUE(MID(H1899,FIND("15",H1899,FIND("01",H1899)+16)+6,2))),"")</f>
        <v/>
      </c>
      <c r="F1899" s="5">
        <f>IFERROR(MID(H1899,FIND("10",H1899,FIND("15",H1899,FIND("01",H1899)+16)+8)+2,50),"")</f>
        <v/>
      </c>
      <c r="G1899" s="5" t="n"/>
      <c r="H1899" s="5">
        <f>SUBSTITUTE(SUBSTITUTE(SUBSTITUTE(SUBSTITUTE(A1899,"(",""),")","")," ",""),CHAR(29),"")</f>
        <v/>
      </c>
    </row>
    <row r="1900">
      <c r="A1900" s="7" t="n"/>
      <c r="B1900" s="8">
        <f>IFERROR(MID(H1900,FIND("01",H1900)+2,14),"")</f>
        <v/>
      </c>
      <c r="C1900" s="7">
        <f>IF(A1900="","",IFERROR(VLOOKUP(B1900,TblArticles,2,FALSE),"GTIN inconnu"))</f>
        <v/>
      </c>
      <c r="D1900" s="8">
        <f>IF(A1900="","",IFERROR(VLOOKUP(B1900,TblArticles,3,FALSE),""))</f>
        <v/>
      </c>
      <c r="E1900" s="9">
        <f>IFERROR(DATE(2000+VALUE(MID(H1900,FIND("15",H1900,FIND("01",H1900)+16)+2,2)),VALUE(MID(H1900,FIND("15",H1900,FIND("01",H1900)+16)+4,2)),VALUE(MID(H1900,FIND("15",H1900,FIND("01",H1900)+16)+6,2))),"")</f>
        <v/>
      </c>
      <c r="F1900" s="8">
        <f>IFERROR(MID(H1900,FIND("10",H1900,FIND("15",H1900,FIND("01",H1900)+16)+8)+2,50),"")</f>
        <v/>
      </c>
      <c r="G1900" s="8" t="n"/>
      <c r="H1900" s="8">
        <f>SUBSTITUTE(SUBSTITUTE(SUBSTITUTE(SUBSTITUTE(A1900,"(",""),")","")," ",""),CHAR(29),"")</f>
        <v/>
      </c>
    </row>
    <row r="1901">
      <c r="A1901" s="4" t="n"/>
      <c r="B1901" s="5">
        <f>IFERROR(MID(H1901,FIND("01",H1901)+2,14),"")</f>
        <v/>
      </c>
      <c r="C1901" s="4">
        <f>IF(A1901="","",IFERROR(VLOOKUP(B1901,TblArticles,2,FALSE),"GTIN inconnu"))</f>
        <v/>
      </c>
      <c r="D1901" s="5">
        <f>IF(A1901="","",IFERROR(VLOOKUP(B1901,TblArticles,3,FALSE),""))</f>
        <v/>
      </c>
      <c r="E1901" s="6">
        <f>IFERROR(DATE(2000+VALUE(MID(H1901,FIND("15",H1901,FIND("01",H1901)+16)+2,2)),VALUE(MID(H1901,FIND("15",H1901,FIND("01",H1901)+16)+4,2)),VALUE(MID(H1901,FIND("15",H1901,FIND("01",H1901)+16)+6,2))),"")</f>
        <v/>
      </c>
      <c r="F1901" s="5">
        <f>IFERROR(MID(H1901,FIND("10",H1901,FIND("15",H1901,FIND("01",H1901)+16)+8)+2,50),"")</f>
        <v/>
      </c>
      <c r="G1901" s="5" t="n"/>
      <c r="H1901" s="5">
        <f>SUBSTITUTE(SUBSTITUTE(SUBSTITUTE(SUBSTITUTE(A1901,"(",""),")","")," ",""),CHAR(29),"")</f>
        <v/>
      </c>
    </row>
    <row r="1902">
      <c r="A1902" s="7" t="n"/>
      <c r="B1902" s="8">
        <f>IFERROR(MID(H1902,FIND("01",H1902)+2,14),"")</f>
        <v/>
      </c>
      <c r="C1902" s="7">
        <f>IF(A1902="","",IFERROR(VLOOKUP(B1902,TblArticles,2,FALSE),"GTIN inconnu"))</f>
        <v/>
      </c>
      <c r="D1902" s="8">
        <f>IF(A1902="","",IFERROR(VLOOKUP(B1902,TblArticles,3,FALSE),""))</f>
        <v/>
      </c>
      <c r="E1902" s="9">
        <f>IFERROR(DATE(2000+VALUE(MID(H1902,FIND("15",H1902,FIND("01",H1902)+16)+2,2)),VALUE(MID(H1902,FIND("15",H1902,FIND("01",H1902)+16)+4,2)),VALUE(MID(H1902,FIND("15",H1902,FIND("01",H1902)+16)+6,2))),"")</f>
        <v/>
      </c>
      <c r="F1902" s="8">
        <f>IFERROR(MID(H1902,FIND("10",H1902,FIND("15",H1902,FIND("01",H1902)+16)+8)+2,50),"")</f>
        <v/>
      </c>
      <c r="G1902" s="8" t="n"/>
      <c r="H1902" s="8">
        <f>SUBSTITUTE(SUBSTITUTE(SUBSTITUTE(SUBSTITUTE(A1902,"(",""),")","")," ",""),CHAR(29),"")</f>
        <v/>
      </c>
    </row>
    <row r="1903">
      <c r="A1903" s="4" t="n"/>
      <c r="B1903" s="5">
        <f>IFERROR(MID(H1903,FIND("01",H1903)+2,14),"")</f>
        <v/>
      </c>
      <c r="C1903" s="4">
        <f>IF(A1903="","",IFERROR(VLOOKUP(B1903,TblArticles,2,FALSE),"GTIN inconnu"))</f>
        <v/>
      </c>
      <c r="D1903" s="5">
        <f>IF(A1903="","",IFERROR(VLOOKUP(B1903,TblArticles,3,FALSE),""))</f>
        <v/>
      </c>
      <c r="E1903" s="6">
        <f>IFERROR(DATE(2000+VALUE(MID(H1903,FIND("15",H1903,FIND("01",H1903)+16)+2,2)),VALUE(MID(H1903,FIND("15",H1903,FIND("01",H1903)+16)+4,2)),VALUE(MID(H1903,FIND("15",H1903,FIND("01",H1903)+16)+6,2))),"")</f>
        <v/>
      </c>
      <c r="F1903" s="5">
        <f>IFERROR(MID(H1903,FIND("10",H1903,FIND("15",H1903,FIND("01",H1903)+16)+8)+2,50),"")</f>
        <v/>
      </c>
      <c r="G1903" s="5" t="n"/>
      <c r="H1903" s="5">
        <f>SUBSTITUTE(SUBSTITUTE(SUBSTITUTE(SUBSTITUTE(A1903,"(",""),")","")," ",""),CHAR(29),"")</f>
        <v/>
      </c>
    </row>
    <row r="1904">
      <c r="A1904" s="7" t="n"/>
      <c r="B1904" s="8">
        <f>IFERROR(MID(H1904,FIND("01",H1904)+2,14),"")</f>
        <v/>
      </c>
      <c r="C1904" s="7">
        <f>IF(A1904="","",IFERROR(VLOOKUP(B1904,TblArticles,2,FALSE),"GTIN inconnu"))</f>
        <v/>
      </c>
      <c r="D1904" s="8">
        <f>IF(A1904="","",IFERROR(VLOOKUP(B1904,TblArticles,3,FALSE),""))</f>
        <v/>
      </c>
      <c r="E1904" s="9">
        <f>IFERROR(DATE(2000+VALUE(MID(H1904,FIND("15",H1904,FIND("01",H1904)+16)+2,2)),VALUE(MID(H1904,FIND("15",H1904,FIND("01",H1904)+16)+4,2)),VALUE(MID(H1904,FIND("15",H1904,FIND("01",H1904)+16)+6,2))),"")</f>
        <v/>
      </c>
      <c r="F1904" s="8">
        <f>IFERROR(MID(H1904,FIND("10",H1904,FIND("15",H1904,FIND("01",H1904)+16)+8)+2,50),"")</f>
        <v/>
      </c>
      <c r="G1904" s="8" t="n"/>
      <c r="H1904" s="8">
        <f>SUBSTITUTE(SUBSTITUTE(SUBSTITUTE(SUBSTITUTE(A1904,"(",""),")","")," ",""),CHAR(29),"")</f>
        <v/>
      </c>
    </row>
    <row r="1905">
      <c r="A1905" s="4" t="n"/>
      <c r="B1905" s="5">
        <f>IFERROR(MID(H1905,FIND("01",H1905)+2,14),"")</f>
        <v/>
      </c>
      <c r="C1905" s="4">
        <f>IF(A1905="","",IFERROR(VLOOKUP(B1905,TblArticles,2,FALSE),"GTIN inconnu"))</f>
        <v/>
      </c>
      <c r="D1905" s="5">
        <f>IF(A1905="","",IFERROR(VLOOKUP(B1905,TblArticles,3,FALSE),""))</f>
        <v/>
      </c>
      <c r="E1905" s="6">
        <f>IFERROR(DATE(2000+VALUE(MID(H1905,FIND("15",H1905,FIND("01",H1905)+16)+2,2)),VALUE(MID(H1905,FIND("15",H1905,FIND("01",H1905)+16)+4,2)),VALUE(MID(H1905,FIND("15",H1905,FIND("01",H1905)+16)+6,2))),"")</f>
        <v/>
      </c>
      <c r="F1905" s="5">
        <f>IFERROR(MID(H1905,FIND("10",H1905,FIND("15",H1905,FIND("01",H1905)+16)+8)+2,50),"")</f>
        <v/>
      </c>
      <c r="G1905" s="5" t="n"/>
      <c r="H1905" s="5">
        <f>SUBSTITUTE(SUBSTITUTE(SUBSTITUTE(SUBSTITUTE(A1905,"(",""),")","")," ",""),CHAR(29),"")</f>
        <v/>
      </c>
    </row>
    <row r="1906">
      <c r="A1906" s="7" t="n"/>
      <c r="B1906" s="8">
        <f>IFERROR(MID(H1906,FIND("01",H1906)+2,14),"")</f>
        <v/>
      </c>
      <c r="C1906" s="7">
        <f>IF(A1906="","",IFERROR(VLOOKUP(B1906,TblArticles,2,FALSE),"GTIN inconnu"))</f>
        <v/>
      </c>
      <c r="D1906" s="8">
        <f>IF(A1906="","",IFERROR(VLOOKUP(B1906,TblArticles,3,FALSE),""))</f>
        <v/>
      </c>
      <c r="E1906" s="9">
        <f>IFERROR(DATE(2000+VALUE(MID(H1906,FIND("15",H1906,FIND("01",H1906)+16)+2,2)),VALUE(MID(H1906,FIND("15",H1906,FIND("01",H1906)+16)+4,2)),VALUE(MID(H1906,FIND("15",H1906,FIND("01",H1906)+16)+6,2))),"")</f>
        <v/>
      </c>
      <c r="F1906" s="8">
        <f>IFERROR(MID(H1906,FIND("10",H1906,FIND("15",H1906,FIND("01",H1906)+16)+8)+2,50),"")</f>
        <v/>
      </c>
      <c r="G1906" s="8" t="n"/>
      <c r="H1906" s="8">
        <f>SUBSTITUTE(SUBSTITUTE(SUBSTITUTE(SUBSTITUTE(A1906,"(",""),")","")," ",""),CHAR(29),"")</f>
        <v/>
      </c>
    </row>
    <row r="1907">
      <c r="A1907" s="4" t="n"/>
      <c r="B1907" s="5">
        <f>IFERROR(MID(H1907,FIND("01",H1907)+2,14),"")</f>
        <v/>
      </c>
      <c r="C1907" s="4">
        <f>IF(A1907="","",IFERROR(VLOOKUP(B1907,TblArticles,2,FALSE),"GTIN inconnu"))</f>
        <v/>
      </c>
      <c r="D1907" s="5">
        <f>IF(A1907="","",IFERROR(VLOOKUP(B1907,TblArticles,3,FALSE),""))</f>
        <v/>
      </c>
      <c r="E1907" s="6">
        <f>IFERROR(DATE(2000+VALUE(MID(H1907,FIND("15",H1907,FIND("01",H1907)+16)+2,2)),VALUE(MID(H1907,FIND("15",H1907,FIND("01",H1907)+16)+4,2)),VALUE(MID(H1907,FIND("15",H1907,FIND("01",H1907)+16)+6,2))),"")</f>
        <v/>
      </c>
      <c r="F1907" s="5">
        <f>IFERROR(MID(H1907,FIND("10",H1907,FIND("15",H1907,FIND("01",H1907)+16)+8)+2,50),"")</f>
        <v/>
      </c>
      <c r="G1907" s="5" t="n"/>
      <c r="H1907" s="5">
        <f>SUBSTITUTE(SUBSTITUTE(SUBSTITUTE(SUBSTITUTE(A1907,"(",""),")","")," ",""),CHAR(29),"")</f>
        <v/>
      </c>
    </row>
    <row r="1908">
      <c r="A1908" s="7" t="n"/>
      <c r="B1908" s="8">
        <f>IFERROR(MID(H1908,FIND("01",H1908)+2,14),"")</f>
        <v/>
      </c>
      <c r="C1908" s="7">
        <f>IF(A1908="","",IFERROR(VLOOKUP(B1908,TblArticles,2,FALSE),"GTIN inconnu"))</f>
        <v/>
      </c>
      <c r="D1908" s="8">
        <f>IF(A1908="","",IFERROR(VLOOKUP(B1908,TblArticles,3,FALSE),""))</f>
        <v/>
      </c>
      <c r="E1908" s="9">
        <f>IFERROR(DATE(2000+VALUE(MID(H1908,FIND("15",H1908,FIND("01",H1908)+16)+2,2)),VALUE(MID(H1908,FIND("15",H1908,FIND("01",H1908)+16)+4,2)),VALUE(MID(H1908,FIND("15",H1908,FIND("01",H1908)+16)+6,2))),"")</f>
        <v/>
      </c>
      <c r="F1908" s="8">
        <f>IFERROR(MID(H1908,FIND("10",H1908,FIND("15",H1908,FIND("01",H1908)+16)+8)+2,50),"")</f>
        <v/>
      </c>
      <c r="G1908" s="8" t="n"/>
      <c r="H1908" s="8">
        <f>SUBSTITUTE(SUBSTITUTE(SUBSTITUTE(SUBSTITUTE(A1908,"(",""),")","")," ",""),CHAR(29),"")</f>
        <v/>
      </c>
    </row>
    <row r="1909">
      <c r="A1909" s="4" t="n"/>
      <c r="B1909" s="5">
        <f>IFERROR(MID(H1909,FIND("01",H1909)+2,14),"")</f>
        <v/>
      </c>
      <c r="C1909" s="4">
        <f>IF(A1909="","",IFERROR(VLOOKUP(B1909,TblArticles,2,FALSE),"GTIN inconnu"))</f>
        <v/>
      </c>
      <c r="D1909" s="5">
        <f>IF(A1909="","",IFERROR(VLOOKUP(B1909,TblArticles,3,FALSE),""))</f>
        <v/>
      </c>
      <c r="E1909" s="6">
        <f>IFERROR(DATE(2000+VALUE(MID(H1909,FIND("15",H1909,FIND("01",H1909)+16)+2,2)),VALUE(MID(H1909,FIND("15",H1909,FIND("01",H1909)+16)+4,2)),VALUE(MID(H1909,FIND("15",H1909,FIND("01",H1909)+16)+6,2))),"")</f>
        <v/>
      </c>
      <c r="F1909" s="5">
        <f>IFERROR(MID(H1909,FIND("10",H1909,FIND("15",H1909,FIND("01",H1909)+16)+8)+2,50),"")</f>
        <v/>
      </c>
      <c r="G1909" s="5" t="n"/>
      <c r="H1909" s="5">
        <f>SUBSTITUTE(SUBSTITUTE(SUBSTITUTE(SUBSTITUTE(A1909,"(",""),")","")," ",""),CHAR(29),"")</f>
        <v/>
      </c>
    </row>
    <row r="1910">
      <c r="A1910" s="7" t="n"/>
      <c r="B1910" s="8">
        <f>IFERROR(MID(H1910,FIND("01",H1910)+2,14),"")</f>
        <v/>
      </c>
      <c r="C1910" s="7">
        <f>IF(A1910="","",IFERROR(VLOOKUP(B1910,TblArticles,2,FALSE),"GTIN inconnu"))</f>
        <v/>
      </c>
      <c r="D1910" s="8">
        <f>IF(A1910="","",IFERROR(VLOOKUP(B1910,TblArticles,3,FALSE),""))</f>
        <v/>
      </c>
      <c r="E1910" s="9">
        <f>IFERROR(DATE(2000+VALUE(MID(H1910,FIND("15",H1910,FIND("01",H1910)+16)+2,2)),VALUE(MID(H1910,FIND("15",H1910,FIND("01",H1910)+16)+4,2)),VALUE(MID(H1910,FIND("15",H1910,FIND("01",H1910)+16)+6,2))),"")</f>
        <v/>
      </c>
      <c r="F1910" s="8">
        <f>IFERROR(MID(H1910,FIND("10",H1910,FIND("15",H1910,FIND("01",H1910)+16)+8)+2,50),"")</f>
        <v/>
      </c>
      <c r="G1910" s="8" t="n"/>
      <c r="H1910" s="8">
        <f>SUBSTITUTE(SUBSTITUTE(SUBSTITUTE(SUBSTITUTE(A1910,"(",""),")","")," ",""),CHAR(29),"")</f>
        <v/>
      </c>
    </row>
    <row r="1911">
      <c r="A1911" s="4" t="n"/>
      <c r="B1911" s="5">
        <f>IFERROR(MID(H1911,FIND("01",H1911)+2,14),"")</f>
        <v/>
      </c>
      <c r="C1911" s="4">
        <f>IF(A1911="","",IFERROR(VLOOKUP(B1911,TblArticles,2,FALSE),"GTIN inconnu"))</f>
        <v/>
      </c>
      <c r="D1911" s="5">
        <f>IF(A1911="","",IFERROR(VLOOKUP(B1911,TblArticles,3,FALSE),""))</f>
        <v/>
      </c>
      <c r="E1911" s="6">
        <f>IFERROR(DATE(2000+VALUE(MID(H1911,FIND("15",H1911,FIND("01",H1911)+16)+2,2)),VALUE(MID(H1911,FIND("15",H1911,FIND("01",H1911)+16)+4,2)),VALUE(MID(H1911,FIND("15",H1911,FIND("01",H1911)+16)+6,2))),"")</f>
        <v/>
      </c>
      <c r="F1911" s="5">
        <f>IFERROR(MID(H1911,FIND("10",H1911,FIND("15",H1911,FIND("01",H1911)+16)+8)+2,50),"")</f>
        <v/>
      </c>
      <c r="G1911" s="5" t="n"/>
      <c r="H1911" s="5">
        <f>SUBSTITUTE(SUBSTITUTE(SUBSTITUTE(SUBSTITUTE(A1911,"(",""),")","")," ",""),CHAR(29),"")</f>
        <v/>
      </c>
    </row>
    <row r="1912">
      <c r="A1912" s="7" t="n"/>
      <c r="B1912" s="8">
        <f>IFERROR(MID(H1912,FIND("01",H1912)+2,14),"")</f>
        <v/>
      </c>
      <c r="C1912" s="7">
        <f>IF(A1912="","",IFERROR(VLOOKUP(B1912,TblArticles,2,FALSE),"GTIN inconnu"))</f>
        <v/>
      </c>
      <c r="D1912" s="8">
        <f>IF(A1912="","",IFERROR(VLOOKUP(B1912,TblArticles,3,FALSE),""))</f>
        <v/>
      </c>
      <c r="E1912" s="9">
        <f>IFERROR(DATE(2000+VALUE(MID(H1912,FIND("15",H1912,FIND("01",H1912)+16)+2,2)),VALUE(MID(H1912,FIND("15",H1912,FIND("01",H1912)+16)+4,2)),VALUE(MID(H1912,FIND("15",H1912,FIND("01",H1912)+16)+6,2))),"")</f>
        <v/>
      </c>
      <c r="F1912" s="8">
        <f>IFERROR(MID(H1912,FIND("10",H1912,FIND("15",H1912,FIND("01",H1912)+16)+8)+2,50),"")</f>
        <v/>
      </c>
      <c r="G1912" s="8" t="n"/>
      <c r="H1912" s="8">
        <f>SUBSTITUTE(SUBSTITUTE(SUBSTITUTE(SUBSTITUTE(A1912,"(",""),")","")," ",""),CHAR(29),"")</f>
        <v/>
      </c>
    </row>
    <row r="1913">
      <c r="A1913" s="4" t="n"/>
      <c r="B1913" s="5">
        <f>IFERROR(MID(H1913,FIND("01",H1913)+2,14),"")</f>
        <v/>
      </c>
      <c r="C1913" s="4">
        <f>IF(A1913="","",IFERROR(VLOOKUP(B1913,TblArticles,2,FALSE),"GTIN inconnu"))</f>
        <v/>
      </c>
      <c r="D1913" s="5">
        <f>IF(A1913="","",IFERROR(VLOOKUP(B1913,TblArticles,3,FALSE),""))</f>
        <v/>
      </c>
      <c r="E1913" s="6">
        <f>IFERROR(DATE(2000+VALUE(MID(H1913,FIND("15",H1913,FIND("01",H1913)+16)+2,2)),VALUE(MID(H1913,FIND("15",H1913,FIND("01",H1913)+16)+4,2)),VALUE(MID(H1913,FIND("15",H1913,FIND("01",H1913)+16)+6,2))),"")</f>
        <v/>
      </c>
      <c r="F1913" s="5">
        <f>IFERROR(MID(H1913,FIND("10",H1913,FIND("15",H1913,FIND("01",H1913)+16)+8)+2,50),"")</f>
        <v/>
      </c>
      <c r="G1913" s="5" t="n"/>
      <c r="H1913" s="5">
        <f>SUBSTITUTE(SUBSTITUTE(SUBSTITUTE(SUBSTITUTE(A1913,"(",""),")","")," ",""),CHAR(29),"")</f>
        <v/>
      </c>
    </row>
    <row r="1914">
      <c r="A1914" s="7" t="n"/>
      <c r="B1914" s="8">
        <f>IFERROR(MID(H1914,FIND("01",H1914)+2,14),"")</f>
        <v/>
      </c>
      <c r="C1914" s="7">
        <f>IF(A1914="","",IFERROR(VLOOKUP(B1914,TblArticles,2,FALSE),"GTIN inconnu"))</f>
        <v/>
      </c>
      <c r="D1914" s="8">
        <f>IF(A1914="","",IFERROR(VLOOKUP(B1914,TblArticles,3,FALSE),""))</f>
        <v/>
      </c>
      <c r="E1914" s="9">
        <f>IFERROR(DATE(2000+VALUE(MID(H1914,FIND("15",H1914,FIND("01",H1914)+16)+2,2)),VALUE(MID(H1914,FIND("15",H1914,FIND("01",H1914)+16)+4,2)),VALUE(MID(H1914,FIND("15",H1914,FIND("01",H1914)+16)+6,2))),"")</f>
        <v/>
      </c>
      <c r="F1914" s="8">
        <f>IFERROR(MID(H1914,FIND("10",H1914,FIND("15",H1914,FIND("01",H1914)+16)+8)+2,50),"")</f>
        <v/>
      </c>
      <c r="G1914" s="8" t="n"/>
      <c r="H1914" s="8">
        <f>SUBSTITUTE(SUBSTITUTE(SUBSTITUTE(SUBSTITUTE(A1914,"(",""),")","")," ",""),CHAR(29),"")</f>
        <v/>
      </c>
    </row>
    <row r="1915">
      <c r="A1915" s="4" t="n"/>
      <c r="B1915" s="5">
        <f>IFERROR(MID(H1915,FIND("01",H1915)+2,14),"")</f>
        <v/>
      </c>
      <c r="C1915" s="4">
        <f>IF(A1915="","",IFERROR(VLOOKUP(B1915,TblArticles,2,FALSE),"GTIN inconnu"))</f>
        <v/>
      </c>
      <c r="D1915" s="5">
        <f>IF(A1915="","",IFERROR(VLOOKUP(B1915,TblArticles,3,FALSE),""))</f>
        <v/>
      </c>
      <c r="E1915" s="6">
        <f>IFERROR(DATE(2000+VALUE(MID(H1915,FIND("15",H1915,FIND("01",H1915)+16)+2,2)),VALUE(MID(H1915,FIND("15",H1915,FIND("01",H1915)+16)+4,2)),VALUE(MID(H1915,FIND("15",H1915,FIND("01",H1915)+16)+6,2))),"")</f>
        <v/>
      </c>
      <c r="F1915" s="5">
        <f>IFERROR(MID(H1915,FIND("10",H1915,FIND("15",H1915,FIND("01",H1915)+16)+8)+2,50),"")</f>
        <v/>
      </c>
      <c r="G1915" s="5" t="n"/>
      <c r="H1915" s="5">
        <f>SUBSTITUTE(SUBSTITUTE(SUBSTITUTE(SUBSTITUTE(A1915,"(",""),")","")," ",""),CHAR(29),"")</f>
        <v/>
      </c>
    </row>
    <row r="1916">
      <c r="A1916" s="7" t="n"/>
      <c r="B1916" s="8">
        <f>IFERROR(MID(H1916,FIND("01",H1916)+2,14),"")</f>
        <v/>
      </c>
      <c r="C1916" s="7">
        <f>IF(A1916="","",IFERROR(VLOOKUP(B1916,TblArticles,2,FALSE),"GTIN inconnu"))</f>
        <v/>
      </c>
      <c r="D1916" s="8">
        <f>IF(A1916="","",IFERROR(VLOOKUP(B1916,TblArticles,3,FALSE),""))</f>
        <v/>
      </c>
      <c r="E1916" s="9">
        <f>IFERROR(DATE(2000+VALUE(MID(H1916,FIND("15",H1916,FIND("01",H1916)+16)+2,2)),VALUE(MID(H1916,FIND("15",H1916,FIND("01",H1916)+16)+4,2)),VALUE(MID(H1916,FIND("15",H1916,FIND("01",H1916)+16)+6,2))),"")</f>
        <v/>
      </c>
      <c r="F1916" s="8">
        <f>IFERROR(MID(H1916,FIND("10",H1916,FIND("15",H1916,FIND("01",H1916)+16)+8)+2,50),"")</f>
        <v/>
      </c>
      <c r="G1916" s="8" t="n"/>
      <c r="H1916" s="8">
        <f>SUBSTITUTE(SUBSTITUTE(SUBSTITUTE(SUBSTITUTE(A1916,"(",""),")","")," ",""),CHAR(29),"")</f>
        <v/>
      </c>
    </row>
    <row r="1917">
      <c r="A1917" s="4" t="n"/>
      <c r="B1917" s="5">
        <f>IFERROR(MID(H1917,FIND("01",H1917)+2,14),"")</f>
        <v/>
      </c>
      <c r="C1917" s="4">
        <f>IF(A1917="","",IFERROR(VLOOKUP(B1917,TblArticles,2,FALSE),"GTIN inconnu"))</f>
        <v/>
      </c>
      <c r="D1917" s="5">
        <f>IF(A1917="","",IFERROR(VLOOKUP(B1917,TblArticles,3,FALSE),""))</f>
        <v/>
      </c>
      <c r="E1917" s="6">
        <f>IFERROR(DATE(2000+VALUE(MID(H1917,FIND("15",H1917,FIND("01",H1917)+16)+2,2)),VALUE(MID(H1917,FIND("15",H1917,FIND("01",H1917)+16)+4,2)),VALUE(MID(H1917,FIND("15",H1917,FIND("01",H1917)+16)+6,2))),"")</f>
        <v/>
      </c>
      <c r="F1917" s="5">
        <f>IFERROR(MID(H1917,FIND("10",H1917,FIND("15",H1917,FIND("01",H1917)+16)+8)+2,50),"")</f>
        <v/>
      </c>
      <c r="G1917" s="5" t="n"/>
      <c r="H1917" s="5">
        <f>SUBSTITUTE(SUBSTITUTE(SUBSTITUTE(SUBSTITUTE(A1917,"(",""),")","")," ",""),CHAR(29),"")</f>
        <v/>
      </c>
    </row>
    <row r="1918">
      <c r="A1918" s="7" t="n"/>
      <c r="B1918" s="8">
        <f>IFERROR(MID(H1918,FIND("01",H1918)+2,14),"")</f>
        <v/>
      </c>
      <c r="C1918" s="7">
        <f>IF(A1918="","",IFERROR(VLOOKUP(B1918,TblArticles,2,FALSE),"GTIN inconnu"))</f>
        <v/>
      </c>
      <c r="D1918" s="8">
        <f>IF(A1918="","",IFERROR(VLOOKUP(B1918,TblArticles,3,FALSE),""))</f>
        <v/>
      </c>
      <c r="E1918" s="9">
        <f>IFERROR(DATE(2000+VALUE(MID(H1918,FIND("15",H1918,FIND("01",H1918)+16)+2,2)),VALUE(MID(H1918,FIND("15",H1918,FIND("01",H1918)+16)+4,2)),VALUE(MID(H1918,FIND("15",H1918,FIND("01",H1918)+16)+6,2))),"")</f>
        <v/>
      </c>
      <c r="F1918" s="8">
        <f>IFERROR(MID(H1918,FIND("10",H1918,FIND("15",H1918,FIND("01",H1918)+16)+8)+2,50),"")</f>
        <v/>
      </c>
      <c r="G1918" s="8" t="n"/>
      <c r="H1918" s="8">
        <f>SUBSTITUTE(SUBSTITUTE(SUBSTITUTE(SUBSTITUTE(A1918,"(",""),")","")," ",""),CHAR(29),"")</f>
        <v/>
      </c>
    </row>
    <row r="1919">
      <c r="A1919" s="4" t="n"/>
      <c r="B1919" s="5">
        <f>IFERROR(MID(H1919,FIND("01",H1919)+2,14),"")</f>
        <v/>
      </c>
      <c r="C1919" s="4">
        <f>IF(A1919="","",IFERROR(VLOOKUP(B1919,TblArticles,2,FALSE),"GTIN inconnu"))</f>
        <v/>
      </c>
      <c r="D1919" s="5">
        <f>IF(A1919="","",IFERROR(VLOOKUP(B1919,TblArticles,3,FALSE),""))</f>
        <v/>
      </c>
      <c r="E1919" s="6">
        <f>IFERROR(DATE(2000+VALUE(MID(H1919,FIND("15",H1919,FIND("01",H1919)+16)+2,2)),VALUE(MID(H1919,FIND("15",H1919,FIND("01",H1919)+16)+4,2)),VALUE(MID(H1919,FIND("15",H1919,FIND("01",H1919)+16)+6,2))),"")</f>
        <v/>
      </c>
      <c r="F1919" s="5">
        <f>IFERROR(MID(H1919,FIND("10",H1919,FIND("15",H1919,FIND("01",H1919)+16)+8)+2,50),"")</f>
        <v/>
      </c>
      <c r="G1919" s="5" t="n"/>
      <c r="H1919" s="5">
        <f>SUBSTITUTE(SUBSTITUTE(SUBSTITUTE(SUBSTITUTE(A1919,"(",""),")","")," ",""),CHAR(29),"")</f>
        <v/>
      </c>
    </row>
    <row r="1920">
      <c r="A1920" s="7" t="n"/>
      <c r="B1920" s="8">
        <f>IFERROR(MID(H1920,FIND("01",H1920)+2,14),"")</f>
        <v/>
      </c>
      <c r="C1920" s="7">
        <f>IF(A1920="","",IFERROR(VLOOKUP(B1920,TblArticles,2,FALSE),"GTIN inconnu"))</f>
        <v/>
      </c>
      <c r="D1920" s="8">
        <f>IF(A1920="","",IFERROR(VLOOKUP(B1920,TblArticles,3,FALSE),""))</f>
        <v/>
      </c>
      <c r="E1920" s="9">
        <f>IFERROR(DATE(2000+VALUE(MID(H1920,FIND("15",H1920,FIND("01",H1920)+16)+2,2)),VALUE(MID(H1920,FIND("15",H1920,FIND("01",H1920)+16)+4,2)),VALUE(MID(H1920,FIND("15",H1920,FIND("01",H1920)+16)+6,2))),"")</f>
        <v/>
      </c>
      <c r="F1920" s="8">
        <f>IFERROR(MID(H1920,FIND("10",H1920,FIND("15",H1920,FIND("01",H1920)+16)+8)+2,50),"")</f>
        <v/>
      </c>
      <c r="G1920" s="8" t="n"/>
      <c r="H1920" s="8">
        <f>SUBSTITUTE(SUBSTITUTE(SUBSTITUTE(SUBSTITUTE(A1920,"(",""),")","")," ",""),CHAR(29),"")</f>
        <v/>
      </c>
    </row>
    <row r="1921">
      <c r="A1921" s="4" t="n"/>
      <c r="B1921" s="5">
        <f>IFERROR(MID(H1921,FIND("01",H1921)+2,14),"")</f>
        <v/>
      </c>
      <c r="C1921" s="4">
        <f>IF(A1921="","",IFERROR(VLOOKUP(B1921,TblArticles,2,FALSE),"GTIN inconnu"))</f>
        <v/>
      </c>
      <c r="D1921" s="5">
        <f>IF(A1921="","",IFERROR(VLOOKUP(B1921,TblArticles,3,FALSE),""))</f>
        <v/>
      </c>
      <c r="E1921" s="6">
        <f>IFERROR(DATE(2000+VALUE(MID(H1921,FIND("15",H1921,FIND("01",H1921)+16)+2,2)),VALUE(MID(H1921,FIND("15",H1921,FIND("01",H1921)+16)+4,2)),VALUE(MID(H1921,FIND("15",H1921,FIND("01",H1921)+16)+6,2))),"")</f>
        <v/>
      </c>
      <c r="F1921" s="5">
        <f>IFERROR(MID(H1921,FIND("10",H1921,FIND("15",H1921,FIND("01",H1921)+16)+8)+2,50),"")</f>
        <v/>
      </c>
      <c r="G1921" s="5" t="n"/>
      <c r="H1921" s="5">
        <f>SUBSTITUTE(SUBSTITUTE(SUBSTITUTE(SUBSTITUTE(A1921,"(",""),")","")," ",""),CHAR(29),"")</f>
        <v/>
      </c>
    </row>
    <row r="1922">
      <c r="A1922" s="7" t="n"/>
      <c r="B1922" s="8">
        <f>IFERROR(MID(H1922,FIND("01",H1922)+2,14),"")</f>
        <v/>
      </c>
      <c r="C1922" s="7">
        <f>IF(A1922="","",IFERROR(VLOOKUP(B1922,TblArticles,2,FALSE),"GTIN inconnu"))</f>
        <v/>
      </c>
      <c r="D1922" s="8">
        <f>IF(A1922="","",IFERROR(VLOOKUP(B1922,TblArticles,3,FALSE),""))</f>
        <v/>
      </c>
      <c r="E1922" s="9">
        <f>IFERROR(DATE(2000+VALUE(MID(H1922,FIND("15",H1922,FIND("01",H1922)+16)+2,2)),VALUE(MID(H1922,FIND("15",H1922,FIND("01",H1922)+16)+4,2)),VALUE(MID(H1922,FIND("15",H1922,FIND("01",H1922)+16)+6,2))),"")</f>
        <v/>
      </c>
      <c r="F1922" s="8">
        <f>IFERROR(MID(H1922,FIND("10",H1922,FIND("15",H1922,FIND("01",H1922)+16)+8)+2,50),"")</f>
        <v/>
      </c>
      <c r="G1922" s="8" t="n"/>
      <c r="H1922" s="8">
        <f>SUBSTITUTE(SUBSTITUTE(SUBSTITUTE(SUBSTITUTE(A1922,"(",""),")","")," ",""),CHAR(29),"")</f>
        <v/>
      </c>
    </row>
    <row r="1923">
      <c r="A1923" s="4" t="n"/>
      <c r="B1923" s="5">
        <f>IFERROR(MID(H1923,FIND("01",H1923)+2,14),"")</f>
        <v/>
      </c>
      <c r="C1923" s="4">
        <f>IF(A1923="","",IFERROR(VLOOKUP(B1923,TblArticles,2,FALSE),"GTIN inconnu"))</f>
        <v/>
      </c>
      <c r="D1923" s="5">
        <f>IF(A1923="","",IFERROR(VLOOKUP(B1923,TblArticles,3,FALSE),""))</f>
        <v/>
      </c>
      <c r="E1923" s="6">
        <f>IFERROR(DATE(2000+VALUE(MID(H1923,FIND("15",H1923,FIND("01",H1923)+16)+2,2)),VALUE(MID(H1923,FIND("15",H1923,FIND("01",H1923)+16)+4,2)),VALUE(MID(H1923,FIND("15",H1923,FIND("01",H1923)+16)+6,2))),"")</f>
        <v/>
      </c>
      <c r="F1923" s="5">
        <f>IFERROR(MID(H1923,FIND("10",H1923,FIND("15",H1923,FIND("01",H1923)+16)+8)+2,50),"")</f>
        <v/>
      </c>
      <c r="G1923" s="5" t="n"/>
      <c r="H1923" s="5">
        <f>SUBSTITUTE(SUBSTITUTE(SUBSTITUTE(SUBSTITUTE(A1923,"(",""),")","")," ",""),CHAR(29),"")</f>
        <v/>
      </c>
    </row>
    <row r="1924">
      <c r="A1924" s="7" t="n"/>
      <c r="B1924" s="8">
        <f>IFERROR(MID(H1924,FIND("01",H1924)+2,14),"")</f>
        <v/>
      </c>
      <c r="C1924" s="7">
        <f>IF(A1924="","",IFERROR(VLOOKUP(B1924,TblArticles,2,FALSE),"GTIN inconnu"))</f>
        <v/>
      </c>
      <c r="D1924" s="8">
        <f>IF(A1924="","",IFERROR(VLOOKUP(B1924,TblArticles,3,FALSE),""))</f>
        <v/>
      </c>
      <c r="E1924" s="9">
        <f>IFERROR(DATE(2000+VALUE(MID(H1924,FIND("15",H1924,FIND("01",H1924)+16)+2,2)),VALUE(MID(H1924,FIND("15",H1924,FIND("01",H1924)+16)+4,2)),VALUE(MID(H1924,FIND("15",H1924,FIND("01",H1924)+16)+6,2))),"")</f>
        <v/>
      </c>
      <c r="F1924" s="8">
        <f>IFERROR(MID(H1924,FIND("10",H1924,FIND("15",H1924,FIND("01",H1924)+16)+8)+2,50),"")</f>
        <v/>
      </c>
      <c r="G1924" s="8" t="n"/>
      <c r="H1924" s="8">
        <f>SUBSTITUTE(SUBSTITUTE(SUBSTITUTE(SUBSTITUTE(A1924,"(",""),")","")," ",""),CHAR(29),"")</f>
        <v/>
      </c>
    </row>
    <row r="1925">
      <c r="A1925" s="4" t="n"/>
      <c r="B1925" s="5">
        <f>IFERROR(MID(H1925,FIND("01",H1925)+2,14),"")</f>
        <v/>
      </c>
      <c r="C1925" s="4">
        <f>IF(A1925="","",IFERROR(VLOOKUP(B1925,TblArticles,2,FALSE),"GTIN inconnu"))</f>
        <v/>
      </c>
      <c r="D1925" s="5">
        <f>IF(A1925="","",IFERROR(VLOOKUP(B1925,TblArticles,3,FALSE),""))</f>
        <v/>
      </c>
      <c r="E1925" s="6">
        <f>IFERROR(DATE(2000+VALUE(MID(H1925,FIND("15",H1925,FIND("01",H1925)+16)+2,2)),VALUE(MID(H1925,FIND("15",H1925,FIND("01",H1925)+16)+4,2)),VALUE(MID(H1925,FIND("15",H1925,FIND("01",H1925)+16)+6,2))),"")</f>
        <v/>
      </c>
      <c r="F1925" s="5">
        <f>IFERROR(MID(H1925,FIND("10",H1925,FIND("15",H1925,FIND("01",H1925)+16)+8)+2,50),"")</f>
        <v/>
      </c>
      <c r="G1925" s="5" t="n"/>
      <c r="H1925" s="5">
        <f>SUBSTITUTE(SUBSTITUTE(SUBSTITUTE(SUBSTITUTE(A1925,"(",""),")","")," ",""),CHAR(29),"")</f>
        <v/>
      </c>
    </row>
    <row r="1926">
      <c r="A1926" s="7" t="n"/>
      <c r="B1926" s="8">
        <f>IFERROR(MID(H1926,FIND("01",H1926)+2,14),"")</f>
        <v/>
      </c>
      <c r="C1926" s="7">
        <f>IF(A1926="","",IFERROR(VLOOKUP(B1926,TblArticles,2,FALSE),"GTIN inconnu"))</f>
        <v/>
      </c>
      <c r="D1926" s="8">
        <f>IF(A1926="","",IFERROR(VLOOKUP(B1926,TblArticles,3,FALSE),""))</f>
        <v/>
      </c>
      <c r="E1926" s="9">
        <f>IFERROR(DATE(2000+VALUE(MID(H1926,FIND("15",H1926,FIND("01",H1926)+16)+2,2)),VALUE(MID(H1926,FIND("15",H1926,FIND("01",H1926)+16)+4,2)),VALUE(MID(H1926,FIND("15",H1926,FIND("01",H1926)+16)+6,2))),"")</f>
        <v/>
      </c>
      <c r="F1926" s="8">
        <f>IFERROR(MID(H1926,FIND("10",H1926,FIND("15",H1926,FIND("01",H1926)+16)+8)+2,50),"")</f>
        <v/>
      </c>
      <c r="G1926" s="8" t="n"/>
      <c r="H1926" s="8">
        <f>SUBSTITUTE(SUBSTITUTE(SUBSTITUTE(SUBSTITUTE(A1926,"(",""),")","")," ",""),CHAR(29),"")</f>
        <v/>
      </c>
    </row>
    <row r="1927">
      <c r="A1927" s="4" t="n"/>
      <c r="B1927" s="5">
        <f>IFERROR(MID(H1927,FIND("01",H1927)+2,14),"")</f>
        <v/>
      </c>
      <c r="C1927" s="4">
        <f>IF(A1927="","",IFERROR(VLOOKUP(B1927,TblArticles,2,FALSE),"GTIN inconnu"))</f>
        <v/>
      </c>
      <c r="D1927" s="5">
        <f>IF(A1927="","",IFERROR(VLOOKUP(B1927,TblArticles,3,FALSE),""))</f>
        <v/>
      </c>
      <c r="E1927" s="6">
        <f>IFERROR(DATE(2000+VALUE(MID(H1927,FIND("15",H1927,FIND("01",H1927)+16)+2,2)),VALUE(MID(H1927,FIND("15",H1927,FIND("01",H1927)+16)+4,2)),VALUE(MID(H1927,FIND("15",H1927,FIND("01",H1927)+16)+6,2))),"")</f>
        <v/>
      </c>
      <c r="F1927" s="5">
        <f>IFERROR(MID(H1927,FIND("10",H1927,FIND("15",H1927,FIND("01",H1927)+16)+8)+2,50),"")</f>
        <v/>
      </c>
      <c r="G1927" s="5" t="n"/>
      <c r="H1927" s="5">
        <f>SUBSTITUTE(SUBSTITUTE(SUBSTITUTE(SUBSTITUTE(A1927,"(",""),")","")," ",""),CHAR(29),"")</f>
        <v/>
      </c>
    </row>
    <row r="1928">
      <c r="A1928" s="7" t="n"/>
      <c r="B1928" s="8">
        <f>IFERROR(MID(H1928,FIND("01",H1928)+2,14),"")</f>
        <v/>
      </c>
      <c r="C1928" s="7">
        <f>IF(A1928="","",IFERROR(VLOOKUP(B1928,TblArticles,2,FALSE),"GTIN inconnu"))</f>
        <v/>
      </c>
      <c r="D1928" s="8">
        <f>IF(A1928="","",IFERROR(VLOOKUP(B1928,TblArticles,3,FALSE),""))</f>
        <v/>
      </c>
      <c r="E1928" s="9">
        <f>IFERROR(DATE(2000+VALUE(MID(H1928,FIND("15",H1928,FIND("01",H1928)+16)+2,2)),VALUE(MID(H1928,FIND("15",H1928,FIND("01",H1928)+16)+4,2)),VALUE(MID(H1928,FIND("15",H1928,FIND("01",H1928)+16)+6,2))),"")</f>
        <v/>
      </c>
      <c r="F1928" s="8">
        <f>IFERROR(MID(H1928,FIND("10",H1928,FIND("15",H1928,FIND("01",H1928)+16)+8)+2,50),"")</f>
        <v/>
      </c>
      <c r="G1928" s="8" t="n"/>
      <c r="H1928" s="8">
        <f>SUBSTITUTE(SUBSTITUTE(SUBSTITUTE(SUBSTITUTE(A1928,"(",""),")","")," ",""),CHAR(29),"")</f>
        <v/>
      </c>
    </row>
    <row r="1929">
      <c r="A1929" s="4" t="n"/>
      <c r="B1929" s="5">
        <f>IFERROR(MID(H1929,FIND("01",H1929)+2,14),"")</f>
        <v/>
      </c>
      <c r="C1929" s="4">
        <f>IF(A1929="","",IFERROR(VLOOKUP(B1929,TblArticles,2,FALSE),"GTIN inconnu"))</f>
        <v/>
      </c>
      <c r="D1929" s="5">
        <f>IF(A1929="","",IFERROR(VLOOKUP(B1929,TblArticles,3,FALSE),""))</f>
        <v/>
      </c>
      <c r="E1929" s="6">
        <f>IFERROR(DATE(2000+VALUE(MID(H1929,FIND("15",H1929,FIND("01",H1929)+16)+2,2)),VALUE(MID(H1929,FIND("15",H1929,FIND("01",H1929)+16)+4,2)),VALUE(MID(H1929,FIND("15",H1929,FIND("01",H1929)+16)+6,2))),"")</f>
        <v/>
      </c>
      <c r="F1929" s="5">
        <f>IFERROR(MID(H1929,FIND("10",H1929,FIND("15",H1929,FIND("01",H1929)+16)+8)+2,50),"")</f>
        <v/>
      </c>
      <c r="G1929" s="5" t="n"/>
      <c r="H1929" s="5">
        <f>SUBSTITUTE(SUBSTITUTE(SUBSTITUTE(SUBSTITUTE(A1929,"(",""),")","")," ",""),CHAR(29),"")</f>
        <v/>
      </c>
    </row>
    <row r="1930">
      <c r="A1930" s="7" t="n"/>
      <c r="B1930" s="8">
        <f>IFERROR(MID(H1930,FIND("01",H1930)+2,14),"")</f>
        <v/>
      </c>
      <c r="C1930" s="7">
        <f>IF(A1930="","",IFERROR(VLOOKUP(B1930,TblArticles,2,FALSE),"GTIN inconnu"))</f>
        <v/>
      </c>
      <c r="D1930" s="8">
        <f>IF(A1930="","",IFERROR(VLOOKUP(B1930,TblArticles,3,FALSE),""))</f>
        <v/>
      </c>
      <c r="E1930" s="9">
        <f>IFERROR(DATE(2000+VALUE(MID(H1930,FIND("15",H1930,FIND("01",H1930)+16)+2,2)),VALUE(MID(H1930,FIND("15",H1930,FIND("01",H1930)+16)+4,2)),VALUE(MID(H1930,FIND("15",H1930,FIND("01",H1930)+16)+6,2))),"")</f>
        <v/>
      </c>
      <c r="F1930" s="8">
        <f>IFERROR(MID(H1930,FIND("10",H1930,FIND("15",H1930,FIND("01",H1930)+16)+8)+2,50),"")</f>
        <v/>
      </c>
      <c r="G1930" s="8" t="n"/>
      <c r="H1930" s="8">
        <f>SUBSTITUTE(SUBSTITUTE(SUBSTITUTE(SUBSTITUTE(A1930,"(",""),")","")," ",""),CHAR(29),"")</f>
        <v/>
      </c>
    </row>
    <row r="1931">
      <c r="A1931" s="4" t="n"/>
      <c r="B1931" s="5">
        <f>IFERROR(MID(H1931,FIND("01",H1931)+2,14),"")</f>
        <v/>
      </c>
      <c r="C1931" s="4">
        <f>IF(A1931="","",IFERROR(VLOOKUP(B1931,TblArticles,2,FALSE),"GTIN inconnu"))</f>
        <v/>
      </c>
      <c r="D1931" s="5">
        <f>IF(A1931="","",IFERROR(VLOOKUP(B1931,TblArticles,3,FALSE),""))</f>
        <v/>
      </c>
      <c r="E1931" s="6">
        <f>IFERROR(DATE(2000+VALUE(MID(H1931,FIND("15",H1931,FIND("01",H1931)+16)+2,2)),VALUE(MID(H1931,FIND("15",H1931,FIND("01",H1931)+16)+4,2)),VALUE(MID(H1931,FIND("15",H1931,FIND("01",H1931)+16)+6,2))),"")</f>
        <v/>
      </c>
      <c r="F1931" s="5">
        <f>IFERROR(MID(H1931,FIND("10",H1931,FIND("15",H1931,FIND("01",H1931)+16)+8)+2,50),"")</f>
        <v/>
      </c>
      <c r="G1931" s="5" t="n"/>
      <c r="H1931" s="5">
        <f>SUBSTITUTE(SUBSTITUTE(SUBSTITUTE(SUBSTITUTE(A1931,"(",""),")","")," ",""),CHAR(29),"")</f>
        <v/>
      </c>
    </row>
    <row r="1932">
      <c r="A1932" s="7" t="n"/>
      <c r="B1932" s="8">
        <f>IFERROR(MID(H1932,FIND("01",H1932)+2,14),"")</f>
        <v/>
      </c>
      <c r="C1932" s="7">
        <f>IF(A1932="","",IFERROR(VLOOKUP(B1932,TblArticles,2,FALSE),"GTIN inconnu"))</f>
        <v/>
      </c>
      <c r="D1932" s="8">
        <f>IF(A1932="","",IFERROR(VLOOKUP(B1932,TblArticles,3,FALSE),""))</f>
        <v/>
      </c>
      <c r="E1932" s="9">
        <f>IFERROR(DATE(2000+VALUE(MID(H1932,FIND("15",H1932,FIND("01",H1932)+16)+2,2)),VALUE(MID(H1932,FIND("15",H1932,FIND("01",H1932)+16)+4,2)),VALUE(MID(H1932,FIND("15",H1932,FIND("01",H1932)+16)+6,2))),"")</f>
        <v/>
      </c>
      <c r="F1932" s="8">
        <f>IFERROR(MID(H1932,FIND("10",H1932,FIND("15",H1932,FIND("01",H1932)+16)+8)+2,50),"")</f>
        <v/>
      </c>
      <c r="G1932" s="8" t="n"/>
      <c r="H1932" s="8">
        <f>SUBSTITUTE(SUBSTITUTE(SUBSTITUTE(SUBSTITUTE(A1932,"(",""),")","")," ",""),CHAR(29),"")</f>
        <v/>
      </c>
    </row>
    <row r="1933">
      <c r="A1933" s="4" t="n"/>
      <c r="B1933" s="5">
        <f>IFERROR(MID(H1933,FIND("01",H1933)+2,14),"")</f>
        <v/>
      </c>
      <c r="C1933" s="4">
        <f>IF(A1933="","",IFERROR(VLOOKUP(B1933,TblArticles,2,FALSE),"GTIN inconnu"))</f>
        <v/>
      </c>
      <c r="D1933" s="5">
        <f>IF(A1933="","",IFERROR(VLOOKUP(B1933,TblArticles,3,FALSE),""))</f>
        <v/>
      </c>
      <c r="E1933" s="6">
        <f>IFERROR(DATE(2000+VALUE(MID(H1933,FIND("15",H1933,FIND("01",H1933)+16)+2,2)),VALUE(MID(H1933,FIND("15",H1933,FIND("01",H1933)+16)+4,2)),VALUE(MID(H1933,FIND("15",H1933,FIND("01",H1933)+16)+6,2))),"")</f>
        <v/>
      </c>
      <c r="F1933" s="5">
        <f>IFERROR(MID(H1933,FIND("10",H1933,FIND("15",H1933,FIND("01",H1933)+16)+8)+2,50),"")</f>
        <v/>
      </c>
      <c r="G1933" s="5" t="n"/>
      <c r="H1933" s="5">
        <f>SUBSTITUTE(SUBSTITUTE(SUBSTITUTE(SUBSTITUTE(A1933,"(",""),")","")," ",""),CHAR(29),"")</f>
        <v/>
      </c>
    </row>
    <row r="1934">
      <c r="A1934" s="7" t="n"/>
      <c r="B1934" s="8">
        <f>IFERROR(MID(H1934,FIND("01",H1934)+2,14),"")</f>
        <v/>
      </c>
      <c r="C1934" s="7">
        <f>IF(A1934="","",IFERROR(VLOOKUP(B1934,TblArticles,2,FALSE),"GTIN inconnu"))</f>
        <v/>
      </c>
      <c r="D1934" s="8">
        <f>IF(A1934="","",IFERROR(VLOOKUP(B1934,TblArticles,3,FALSE),""))</f>
        <v/>
      </c>
      <c r="E1934" s="9">
        <f>IFERROR(DATE(2000+VALUE(MID(H1934,FIND("15",H1934,FIND("01",H1934)+16)+2,2)),VALUE(MID(H1934,FIND("15",H1934,FIND("01",H1934)+16)+4,2)),VALUE(MID(H1934,FIND("15",H1934,FIND("01",H1934)+16)+6,2))),"")</f>
        <v/>
      </c>
      <c r="F1934" s="8">
        <f>IFERROR(MID(H1934,FIND("10",H1934,FIND("15",H1934,FIND("01",H1934)+16)+8)+2,50),"")</f>
        <v/>
      </c>
      <c r="G1934" s="8" t="n"/>
      <c r="H1934" s="8">
        <f>SUBSTITUTE(SUBSTITUTE(SUBSTITUTE(SUBSTITUTE(A1934,"(",""),")","")," ",""),CHAR(29),"")</f>
        <v/>
      </c>
    </row>
    <row r="1935">
      <c r="A1935" s="4" t="n"/>
      <c r="B1935" s="5">
        <f>IFERROR(MID(H1935,FIND("01",H1935)+2,14),"")</f>
        <v/>
      </c>
      <c r="C1935" s="4">
        <f>IF(A1935="","",IFERROR(VLOOKUP(B1935,TblArticles,2,FALSE),"GTIN inconnu"))</f>
        <v/>
      </c>
      <c r="D1935" s="5">
        <f>IF(A1935="","",IFERROR(VLOOKUP(B1935,TblArticles,3,FALSE),""))</f>
        <v/>
      </c>
      <c r="E1935" s="6">
        <f>IFERROR(DATE(2000+VALUE(MID(H1935,FIND("15",H1935,FIND("01",H1935)+16)+2,2)),VALUE(MID(H1935,FIND("15",H1935,FIND("01",H1935)+16)+4,2)),VALUE(MID(H1935,FIND("15",H1935,FIND("01",H1935)+16)+6,2))),"")</f>
        <v/>
      </c>
      <c r="F1935" s="5">
        <f>IFERROR(MID(H1935,FIND("10",H1935,FIND("15",H1935,FIND("01",H1935)+16)+8)+2,50),"")</f>
        <v/>
      </c>
      <c r="G1935" s="5" t="n"/>
      <c r="H1935" s="5">
        <f>SUBSTITUTE(SUBSTITUTE(SUBSTITUTE(SUBSTITUTE(A1935,"(",""),")","")," ",""),CHAR(29),"")</f>
        <v/>
      </c>
    </row>
    <row r="1936">
      <c r="A1936" s="7" t="n"/>
      <c r="B1936" s="8">
        <f>IFERROR(MID(H1936,FIND("01",H1936)+2,14),"")</f>
        <v/>
      </c>
      <c r="C1936" s="7">
        <f>IF(A1936="","",IFERROR(VLOOKUP(B1936,TblArticles,2,FALSE),"GTIN inconnu"))</f>
        <v/>
      </c>
      <c r="D1936" s="8">
        <f>IF(A1936="","",IFERROR(VLOOKUP(B1936,TblArticles,3,FALSE),""))</f>
        <v/>
      </c>
      <c r="E1936" s="9">
        <f>IFERROR(DATE(2000+VALUE(MID(H1936,FIND("15",H1936,FIND("01",H1936)+16)+2,2)),VALUE(MID(H1936,FIND("15",H1936,FIND("01",H1936)+16)+4,2)),VALUE(MID(H1936,FIND("15",H1936,FIND("01",H1936)+16)+6,2))),"")</f>
        <v/>
      </c>
      <c r="F1936" s="8">
        <f>IFERROR(MID(H1936,FIND("10",H1936,FIND("15",H1936,FIND("01",H1936)+16)+8)+2,50),"")</f>
        <v/>
      </c>
      <c r="G1936" s="8" t="n"/>
      <c r="H1936" s="8">
        <f>SUBSTITUTE(SUBSTITUTE(SUBSTITUTE(SUBSTITUTE(A1936,"(",""),")","")," ",""),CHAR(29),"")</f>
        <v/>
      </c>
    </row>
    <row r="1937">
      <c r="A1937" s="4" t="n"/>
      <c r="B1937" s="5">
        <f>IFERROR(MID(H1937,FIND("01",H1937)+2,14),"")</f>
        <v/>
      </c>
      <c r="C1937" s="4">
        <f>IF(A1937="","",IFERROR(VLOOKUP(B1937,TblArticles,2,FALSE),"GTIN inconnu"))</f>
        <v/>
      </c>
      <c r="D1937" s="5">
        <f>IF(A1937="","",IFERROR(VLOOKUP(B1937,TblArticles,3,FALSE),""))</f>
        <v/>
      </c>
      <c r="E1937" s="6">
        <f>IFERROR(DATE(2000+VALUE(MID(H1937,FIND("15",H1937,FIND("01",H1937)+16)+2,2)),VALUE(MID(H1937,FIND("15",H1937,FIND("01",H1937)+16)+4,2)),VALUE(MID(H1937,FIND("15",H1937,FIND("01",H1937)+16)+6,2))),"")</f>
        <v/>
      </c>
      <c r="F1937" s="5">
        <f>IFERROR(MID(H1937,FIND("10",H1937,FIND("15",H1937,FIND("01",H1937)+16)+8)+2,50),"")</f>
        <v/>
      </c>
      <c r="G1937" s="5" t="n"/>
      <c r="H1937" s="5">
        <f>SUBSTITUTE(SUBSTITUTE(SUBSTITUTE(SUBSTITUTE(A1937,"(",""),")","")," ",""),CHAR(29),"")</f>
        <v/>
      </c>
    </row>
    <row r="1938">
      <c r="A1938" s="7" t="n"/>
      <c r="B1938" s="8">
        <f>IFERROR(MID(H1938,FIND("01",H1938)+2,14),"")</f>
        <v/>
      </c>
      <c r="C1938" s="7">
        <f>IF(A1938="","",IFERROR(VLOOKUP(B1938,TblArticles,2,FALSE),"GTIN inconnu"))</f>
        <v/>
      </c>
      <c r="D1938" s="8">
        <f>IF(A1938="","",IFERROR(VLOOKUP(B1938,TblArticles,3,FALSE),""))</f>
        <v/>
      </c>
      <c r="E1938" s="9">
        <f>IFERROR(DATE(2000+VALUE(MID(H1938,FIND("15",H1938,FIND("01",H1938)+16)+2,2)),VALUE(MID(H1938,FIND("15",H1938,FIND("01",H1938)+16)+4,2)),VALUE(MID(H1938,FIND("15",H1938,FIND("01",H1938)+16)+6,2))),"")</f>
        <v/>
      </c>
      <c r="F1938" s="8">
        <f>IFERROR(MID(H1938,FIND("10",H1938,FIND("15",H1938,FIND("01",H1938)+16)+8)+2,50),"")</f>
        <v/>
      </c>
      <c r="G1938" s="8" t="n"/>
      <c r="H1938" s="8">
        <f>SUBSTITUTE(SUBSTITUTE(SUBSTITUTE(SUBSTITUTE(A1938,"(",""),")","")," ",""),CHAR(29),"")</f>
        <v/>
      </c>
    </row>
    <row r="1939">
      <c r="A1939" s="4" t="n"/>
      <c r="B1939" s="5">
        <f>IFERROR(MID(H1939,FIND("01",H1939)+2,14),"")</f>
        <v/>
      </c>
      <c r="C1939" s="4">
        <f>IF(A1939="","",IFERROR(VLOOKUP(B1939,TblArticles,2,FALSE),"GTIN inconnu"))</f>
        <v/>
      </c>
      <c r="D1939" s="5">
        <f>IF(A1939="","",IFERROR(VLOOKUP(B1939,TblArticles,3,FALSE),""))</f>
        <v/>
      </c>
      <c r="E1939" s="6">
        <f>IFERROR(DATE(2000+VALUE(MID(H1939,FIND("15",H1939,FIND("01",H1939)+16)+2,2)),VALUE(MID(H1939,FIND("15",H1939,FIND("01",H1939)+16)+4,2)),VALUE(MID(H1939,FIND("15",H1939,FIND("01",H1939)+16)+6,2))),"")</f>
        <v/>
      </c>
      <c r="F1939" s="5">
        <f>IFERROR(MID(H1939,FIND("10",H1939,FIND("15",H1939,FIND("01",H1939)+16)+8)+2,50),"")</f>
        <v/>
      </c>
      <c r="G1939" s="5" t="n"/>
      <c r="H1939" s="5">
        <f>SUBSTITUTE(SUBSTITUTE(SUBSTITUTE(SUBSTITUTE(A1939,"(",""),")","")," ",""),CHAR(29),"")</f>
        <v/>
      </c>
    </row>
    <row r="1940">
      <c r="A1940" s="7" t="n"/>
      <c r="B1940" s="8">
        <f>IFERROR(MID(H1940,FIND("01",H1940)+2,14),"")</f>
        <v/>
      </c>
      <c r="C1940" s="7">
        <f>IF(A1940="","",IFERROR(VLOOKUP(B1940,TblArticles,2,FALSE),"GTIN inconnu"))</f>
        <v/>
      </c>
      <c r="D1940" s="8">
        <f>IF(A1940="","",IFERROR(VLOOKUP(B1940,TblArticles,3,FALSE),""))</f>
        <v/>
      </c>
      <c r="E1940" s="9">
        <f>IFERROR(DATE(2000+VALUE(MID(H1940,FIND("15",H1940,FIND("01",H1940)+16)+2,2)),VALUE(MID(H1940,FIND("15",H1940,FIND("01",H1940)+16)+4,2)),VALUE(MID(H1940,FIND("15",H1940,FIND("01",H1940)+16)+6,2))),"")</f>
        <v/>
      </c>
      <c r="F1940" s="8">
        <f>IFERROR(MID(H1940,FIND("10",H1940,FIND("15",H1940,FIND("01",H1940)+16)+8)+2,50),"")</f>
        <v/>
      </c>
      <c r="G1940" s="8" t="n"/>
      <c r="H1940" s="8">
        <f>SUBSTITUTE(SUBSTITUTE(SUBSTITUTE(SUBSTITUTE(A1940,"(",""),")","")," ",""),CHAR(29),"")</f>
        <v/>
      </c>
    </row>
    <row r="1941">
      <c r="A1941" s="4" t="n"/>
      <c r="B1941" s="5">
        <f>IFERROR(MID(H1941,FIND("01",H1941)+2,14),"")</f>
        <v/>
      </c>
      <c r="C1941" s="4">
        <f>IF(A1941="","",IFERROR(VLOOKUP(B1941,TblArticles,2,FALSE),"GTIN inconnu"))</f>
        <v/>
      </c>
      <c r="D1941" s="5">
        <f>IF(A1941="","",IFERROR(VLOOKUP(B1941,TblArticles,3,FALSE),""))</f>
        <v/>
      </c>
      <c r="E1941" s="6">
        <f>IFERROR(DATE(2000+VALUE(MID(H1941,FIND("15",H1941,FIND("01",H1941)+16)+2,2)),VALUE(MID(H1941,FIND("15",H1941,FIND("01",H1941)+16)+4,2)),VALUE(MID(H1941,FIND("15",H1941,FIND("01",H1941)+16)+6,2))),"")</f>
        <v/>
      </c>
      <c r="F1941" s="5">
        <f>IFERROR(MID(H1941,FIND("10",H1941,FIND("15",H1941,FIND("01",H1941)+16)+8)+2,50),"")</f>
        <v/>
      </c>
      <c r="G1941" s="5" t="n"/>
      <c r="H1941" s="5">
        <f>SUBSTITUTE(SUBSTITUTE(SUBSTITUTE(SUBSTITUTE(A1941,"(",""),")","")," ",""),CHAR(29),"")</f>
        <v/>
      </c>
    </row>
    <row r="1942">
      <c r="A1942" s="7" t="n"/>
      <c r="B1942" s="8">
        <f>IFERROR(MID(H1942,FIND("01",H1942)+2,14),"")</f>
        <v/>
      </c>
      <c r="C1942" s="7">
        <f>IF(A1942="","",IFERROR(VLOOKUP(B1942,TblArticles,2,FALSE),"GTIN inconnu"))</f>
        <v/>
      </c>
      <c r="D1942" s="8">
        <f>IF(A1942="","",IFERROR(VLOOKUP(B1942,TblArticles,3,FALSE),""))</f>
        <v/>
      </c>
      <c r="E1942" s="9">
        <f>IFERROR(DATE(2000+VALUE(MID(H1942,FIND("15",H1942,FIND("01",H1942)+16)+2,2)),VALUE(MID(H1942,FIND("15",H1942,FIND("01",H1942)+16)+4,2)),VALUE(MID(H1942,FIND("15",H1942,FIND("01",H1942)+16)+6,2))),"")</f>
        <v/>
      </c>
      <c r="F1942" s="8">
        <f>IFERROR(MID(H1942,FIND("10",H1942,FIND("15",H1942,FIND("01",H1942)+16)+8)+2,50),"")</f>
        <v/>
      </c>
      <c r="G1942" s="8" t="n"/>
      <c r="H1942" s="8">
        <f>SUBSTITUTE(SUBSTITUTE(SUBSTITUTE(SUBSTITUTE(A1942,"(",""),")","")," ",""),CHAR(29),"")</f>
        <v/>
      </c>
    </row>
    <row r="1943">
      <c r="A1943" s="4" t="n"/>
      <c r="B1943" s="5">
        <f>IFERROR(MID(H1943,FIND("01",H1943)+2,14),"")</f>
        <v/>
      </c>
      <c r="C1943" s="4">
        <f>IF(A1943="","",IFERROR(VLOOKUP(B1943,TblArticles,2,FALSE),"GTIN inconnu"))</f>
        <v/>
      </c>
      <c r="D1943" s="5">
        <f>IF(A1943="","",IFERROR(VLOOKUP(B1943,TblArticles,3,FALSE),""))</f>
        <v/>
      </c>
      <c r="E1943" s="6">
        <f>IFERROR(DATE(2000+VALUE(MID(H1943,FIND("15",H1943,FIND("01",H1943)+16)+2,2)),VALUE(MID(H1943,FIND("15",H1943,FIND("01",H1943)+16)+4,2)),VALUE(MID(H1943,FIND("15",H1943,FIND("01",H1943)+16)+6,2))),"")</f>
        <v/>
      </c>
      <c r="F1943" s="5">
        <f>IFERROR(MID(H1943,FIND("10",H1943,FIND("15",H1943,FIND("01",H1943)+16)+8)+2,50),"")</f>
        <v/>
      </c>
      <c r="G1943" s="5" t="n"/>
      <c r="H1943" s="5">
        <f>SUBSTITUTE(SUBSTITUTE(SUBSTITUTE(SUBSTITUTE(A1943,"(",""),")","")," ",""),CHAR(29),"")</f>
        <v/>
      </c>
    </row>
    <row r="1944">
      <c r="A1944" s="7" t="n"/>
      <c r="B1944" s="8">
        <f>IFERROR(MID(H1944,FIND("01",H1944)+2,14),"")</f>
        <v/>
      </c>
      <c r="C1944" s="7">
        <f>IF(A1944="","",IFERROR(VLOOKUP(B1944,TblArticles,2,FALSE),"GTIN inconnu"))</f>
        <v/>
      </c>
      <c r="D1944" s="8">
        <f>IF(A1944="","",IFERROR(VLOOKUP(B1944,TblArticles,3,FALSE),""))</f>
        <v/>
      </c>
      <c r="E1944" s="9">
        <f>IFERROR(DATE(2000+VALUE(MID(H1944,FIND("15",H1944,FIND("01",H1944)+16)+2,2)),VALUE(MID(H1944,FIND("15",H1944,FIND("01",H1944)+16)+4,2)),VALUE(MID(H1944,FIND("15",H1944,FIND("01",H1944)+16)+6,2))),"")</f>
        <v/>
      </c>
      <c r="F1944" s="8">
        <f>IFERROR(MID(H1944,FIND("10",H1944,FIND("15",H1944,FIND("01",H1944)+16)+8)+2,50),"")</f>
        <v/>
      </c>
      <c r="G1944" s="8" t="n"/>
      <c r="H1944" s="8">
        <f>SUBSTITUTE(SUBSTITUTE(SUBSTITUTE(SUBSTITUTE(A1944,"(",""),")","")," ",""),CHAR(29),"")</f>
        <v/>
      </c>
    </row>
    <row r="1945">
      <c r="A1945" s="4" t="n"/>
      <c r="B1945" s="5">
        <f>IFERROR(MID(H1945,FIND("01",H1945)+2,14),"")</f>
        <v/>
      </c>
      <c r="C1945" s="4">
        <f>IF(A1945="","",IFERROR(VLOOKUP(B1945,TblArticles,2,FALSE),"GTIN inconnu"))</f>
        <v/>
      </c>
      <c r="D1945" s="5">
        <f>IF(A1945="","",IFERROR(VLOOKUP(B1945,TblArticles,3,FALSE),""))</f>
        <v/>
      </c>
      <c r="E1945" s="6">
        <f>IFERROR(DATE(2000+VALUE(MID(H1945,FIND("15",H1945,FIND("01",H1945)+16)+2,2)),VALUE(MID(H1945,FIND("15",H1945,FIND("01",H1945)+16)+4,2)),VALUE(MID(H1945,FIND("15",H1945,FIND("01",H1945)+16)+6,2))),"")</f>
        <v/>
      </c>
      <c r="F1945" s="5">
        <f>IFERROR(MID(H1945,FIND("10",H1945,FIND("15",H1945,FIND("01",H1945)+16)+8)+2,50),"")</f>
        <v/>
      </c>
      <c r="G1945" s="5" t="n"/>
      <c r="H1945" s="5">
        <f>SUBSTITUTE(SUBSTITUTE(SUBSTITUTE(SUBSTITUTE(A1945,"(",""),")","")," ",""),CHAR(29),"")</f>
        <v/>
      </c>
    </row>
    <row r="1946">
      <c r="A1946" s="7" t="n"/>
      <c r="B1946" s="8">
        <f>IFERROR(MID(H1946,FIND("01",H1946)+2,14),"")</f>
        <v/>
      </c>
      <c r="C1946" s="7">
        <f>IF(A1946="","",IFERROR(VLOOKUP(B1946,TblArticles,2,FALSE),"GTIN inconnu"))</f>
        <v/>
      </c>
      <c r="D1946" s="8">
        <f>IF(A1946="","",IFERROR(VLOOKUP(B1946,TblArticles,3,FALSE),""))</f>
        <v/>
      </c>
      <c r="E1946" s="9">
        <f>IFERROR(DATE(2000+VALUE(MID(H1946,FIND("15",H1946,FIND("01",H1946)+16)+2,2)),VALUE(MID(H1946,FIND("15",H1946,FIND("01",H1946)+16)+4,2)),VALUE(MID(H1946,FIND("15",H1946,FIND("01",H1946)+16)+6,2))),"")</f>
        <v/>
      </c>
      <c r="F1946" s="8">
        <f>IFERROR(MID(H1946,FIND("10",H1946,FIND("15",H1946,FIND("01",H1946)+16)+8)+2,50),"")</f>
        <v/>
      </c>
      <c r="G1946" s="8" t="n"/>
      <c r="H1946" s="8">
        <f>SUBSTITUTE(SUBSTITUTE(SUBSTITUTE(SUBSTITUTE(A1946,"(",""),")","")," ",""),CHAR(29),"")</f>
        <v/>
      </c>
    </row>
    <row r="1947">
      <c r="A1947" s="4" t="n"/>
      <c r="B1947" s="5">
        <f>IFERROR(MID(H1947,FIND("01",H1947)+2,14),"")</f>
        <v/>
      </c>
      <c r="C1947" s="4">
        <f>IF(A1947="","",IFERROR(VLOOKUP(B1947,TblArticles,2,FALSE),"GTIN inconnu"))</f>
        <v/>
      </c>
      <c r="D1947" s="5">
        <f>IF(A1947="","",IFERROR(VLOOKUP(B1947,TblArticles,3,FALSE),""))</f>
        <v/>
      </c>
      <c r="E1947" s="6">
        <f>IFERROR(DATE(2000+VALUE(MID(H1947,FIND("15",H1947,FIND("01",H1947)+16)+2,2)),VALUE(MID(H1947,FIND("15",H1947,FIND("01",H1947)+16)+4,2)),VALUE(MID(H1947,FIND("15",H1947,FIND("01",H1947)+16)+6,2))),"")</f>
        <v/>
      </c>
      <c r="F1947" s="5">
        <f>IFERROR(MID(H1947,FIND("10",H1947,FIND("15",H1947,FIND("01",H1947)+16)+8)+2,50),"")</f>
        <v/>
      </c>
      <c r="G1947" s="5" t="n"/>
      <c r="H1947" s="5">
        <f>SUBSTITUTE(SUBSTITUTE(SUBSTITUTE(SUBSTITUTE(A1947,"(",""),")","")," ",""),CHAR(29),"")</f>
        <v/>
      </c>
    </row>
    <row r="1948">
      <c r="A1948" s="7" t="n"/>
      <c r="B1948" s="8">
        <f>IFERROR(MID(H1948,FIND("01",H1948)+2,14),"")</f>
        <v/>
      </c>
      <c r="C1948" s="7">
        <f>IF(A1948="","",IFERROR(VLOOKUP(B1948,TblArticles,2,FALSE),"GTIN inconnu"))</f>
        <v/>
      </c>
      <c r="D1948" s="8">
        <f>IF(A1948="","",IFERROR(VLOOKUP(B1948,TblArticles,3,FALSE),""))</f>
        <v/>
      </c>
      <c r="E1948" s="9">
        <f>IFERROR(DATE(2000+VALUE(MID(H1948,FIND("15",H1948,FIND("01",H1948)+16)+2,2)),VALUE(MID(H1948,FIND("15",H1948,FIND("01",H1948)+16)+4,2)),VALUE(MID(H1948,FIND("15",H1948,FIND("01",H1948)+16)+6,2))),"")</f>
        <v/>
      </c>
      <c r="F1948" s="8">
        <f>IFERROR(MID(H1948,FIND("10",H1948,FIND("15",H1948,FIND("01",H1948)+16)+8)+2,50),"")</f>
        <v/>
      </c>
      <c r="G1948" s="8" t="n"/>
      <c r="H1948" s="8">
        <f>SUBSTITUTE(SUBSTITUTE(SUBSTITUTE(SUBSTITUTE(A1948,"(",""),")","")," ",""),CHAR(29),"")</f>
        <v/>
      </c>
    </row>
    <row r="1949">
      <c r="A1949" s="4" t="n"/>
      <c r="B1949" s="5">
        <f>IFERROR(MID(H1949,FIND("01",H1949)+2,14),"")</f>
        <v/>
      </c>
      <c r="C1949" s="4">
        <f>IF(A1949="","",IFERROR(VLOOKUP(B1949,TblArticles,2,FALSE),"GTIN inconnu"))</f>
        <v/>
      </c>
      <c r="D1949" s="5">
        <f>IF(A1949="","",IFERROR(VLOOKUP(B1949,TblArticles,3,FALSE),""))</f>
        <v/>
      </c>
      <c r="E1949" s="6">
        <f>IFERROR(DATE(2000+VALUE(MID(H1949,FIND("15",H1949,FIND("01",H1949)+16)+2,2)),VALUE(MID(H1949,FIND("15",H1949,FIND("01",H1949)+16)+4,2)),VALUE(MID(H1949,FIND("15",H1949,FIND("01",H1949)+16)+6,2))),"")</f>
        <v/>
      </c>
      <c r="F1949" s="5">
        <f>IFERROR(MID(H1949,FIND("10",H1949,FIND("15",H1949,FIND("01",H1949)+16)+8)+2,50),"")</f>
        <v/>
      </c>
      <c r="G1949" s="5" t="n"/>
      <c r="H1949" s="5">
        <f>SUBSTITUTE(SUBSTITUTE(SUBSTITUTE(SUBSTITUTE(A1949,"(",""),")","")," ",""),CHAR(29),"")</f>
        <v/>
      </c>
    </row>
    <row r="1950">
      <c r="A1950" s="7" t="n"/>
      <c r="B1950" s="8">
        <f>IFERROR(MID(H1950,FIND("01",H1950)+2,14),"")</f>
        <v/>
      </c>
      <c r="C1950" s="7">
        <f>IF(A1950="","",IFERROR(VLOOKUP(B1950,TblArticles,2,FALSE),"GTIN inconnu"))</f>
        <v/>
      </c>
      <c r="D1950" s="8">
        <f>IF(A1950="","",IFERROR(VLOOKUP(B1950,TblArticles,3,FALSE),""))</f>
        <v/>
      </c>
      <c r="E1950" s="9">
        <f>IFERROR(DATE(2000+VALUE(MID(H1950,FIND("15",H1950,FIND("01",H1950)+16)+2,2)),VALUE(MID(H1950,FIND("15",H1950,FIND("01",H1950)+16)+4,2)),VALUE(MID(H1950,FIND("15",H1950,FIND("01",H1950)+16)+6,2))),"")</f>
        <v/>
      </c>
      <c r="F1950" s="8">
        <f>IFERROR(MID(H1950,FIND("10",H1950,FIND("15",H1950,FIND("01",H1950)+16)+8)+2,50),"")</f>
        <v/>
      </c>
      <c r="G1950" s="8" t="n"/>
      <c r="H1950" s="8">
        <f>SUBSTITUTE(SUBSTITUTE(SUBSTITUTE(SUBSTITUTE(A1950,"(",""),")","")," ",""),CHAR(29),"")</f>
        <v/>
      </c>
    </row>
    <row r="1951">
      <c r="A1951" s="4" t="n"/>
      <c r="B1951" s="5">
        <f>IFERROR(MID(H1951,FIND("01",H1951)+2,14),"")</f>
        <v/>
      </c>
      <c r="C1951" s="4">
        <f>IF(A1951="","",IFERROR(VLOOKUP(B1951,TblArticles,2,FALSE),"GTIN inconnu"))</f>
        <v/>
      </c>
      <c r="D1951" s="5">
        <f>IF(A1951="","",IFERROR(VLOOKUP(B1951,TblArticles,3,FALSE),""))</f>
        <v/>
      </c>
      <c r="E1951" s="6">
        <f>IFERROR(DATE(2000+VALUE(MID(H1951,FIND("15",H1951,FIND("01",H1951)+16)+2,2)),VALUE(MID(H1951,FIND("15",H1951,FIND("01",H1951)+16)+4,2)),VALUE(MID(H1951,FIND("15",H1951,FIND("01",H1951)+16)+6,2))),"")</f>
        <v/>
      </c>
      <c r="F1951" s="5">
        <f>IFERROR(MID(H1951,FIND("10",H1951,FIND("15",H1951,FIND("01",H1951)+16)+8)+2,50),"")</f>
        <v/>
      </c>
      <c r="G1951" s="5" t="n"/>
      <c r="H1951" s="5">
        <f>SUBSTITUTE(SUBSTITUTE(SUBSTITUTE(SUBSTITUTE(A1951,"(",""),")","")," ",""),CHAR(29),"")</f>
        <v/>
      </c>
    </row>
    <row r="1952">
      <c r="A1952" s="7" t="n"/>
      <c r="B1952" s="8">
        <f>IFERROR(MID(H1952,FIND("01",H1952)+2,14),"")</f>
        <v/>
      </c>
      <c r="C1952" s="7">
        <f>IF(A1952="","",IFERROR(VLOOKUP(B1952,TblArticles,2,FALSE),"GTIN inconnu"))</f>
        <v/>
      </c>
      <c r="D1952" s="8">
        <f>IF(A1952="","",IFERROR(VLOOKUP(B1952,TblArticles,3,FALSE),""))</f>
        <v/>
      </c>
      <c r="E1952" s="9">
        <f>IFERROR(DATE(2000+VALUE(MID(H1952,FIND("15",H1952,FIND("01",H1952)+16)+2,2)),VALUE(MID(H1952,FIND("15",H1952,FIND("01",H1952)+16)+4,2)),VALUE(MID(H1952,FIND("15",H1952,FIND("01",H1952)+16)+6,2))),"")</f>
        <v/>
      </c>
      <c r="F1952" s="8">
        <f>IFERROR(MID(H1952,FIND("10",H1952,FIND("15",H1952,FIND("01",H1952)+16)+8)+2,50),"")</f>
        <v/>
      </c>
      <c r="G1952" s="8" t="n"/>
      <c r="H1952" s="8">
        <f>SUBSTITUTE(SUBSTITUTE(SUBSTITUTE(SUBSTITUTE(A1952,"(",""),")","")," ",""),CHAR(29),"")</f>
        <v/>
      </c>
    </row>
    <row r="1953">
      <c r="A1953" s="4" t="n"/>
      <c r="B1953" s="5">
        <f>IFERROR(MID(H1953,FIND("01",H1953)+2,14),"")</f>
        <v/>
      </c>
      <c r="C1953" s="4">
        <f>IF(A1953="","",IFERROR(VLOOKUP(B1953,TblArticles,2,FALSE),"GTIN inconnu"))</f>
        <v/>
      </c>
      <c r="D1953" s="5">
        <f>IF(A1953="","",IFERROR(VLOOKUP(B1953,TblArticles,3,FALSE),""))</f>
        <v/>
      </c>
      <c r="E1953" s="6">
        <f>IFERROR(DATE(2000+VALUE(MID(H1953,FIND("15",H1953,FIND("01",H1953)+16)+2,2)),VALUE(MID(H1953,FIND("15",H1953,FIND("01",H1953)+16)+4,2)),VALUE(MID(H1953,FIND("15",H1953,FIND("01",H1953)+16)+6,2))),"")</f>
        <v/>
      </c>
      <c r="F1953" s="5">
        <f>IFERROR(MID(H1953,FIND("10",H1953,FIND("15",H1953,FIND("01",H1953)+16)+8)+2,50),"")</f>
        <v/>
      </c>
      <c r="G1953" s="5" t="n"/>
      <c r="H1953" s="5">
        <f>SUBSTITUTE(SUBSTITUTE(SUBSTITUTE(SUBSTITUTE(A1953,"(",""),")","")," ",""),CHAR(29),"")</f>
        <v/>
      </c>
    </row>
    <row r="1954">
      <c r="A1954" s="7" t="n"/>
      <c r="B1954" s="8">
        <f>IFERROR(MID(H1954,FIND("01",H1954)+2,14),"")</f>
        <v/>
      </c>
      <c r="C1954" s="7">
        <f>IF(A1954="","",IFERROR(VLOOKUP(B1954,TblArticles,2,FALSE),"GTIN inconnu"))</f>
        <v/>
      </c>
      <c r="D1954" s="8">
        <f>IF(A1954="","",IFERROR(VLOOKUP(B1954,TblArticles,3,FALSE),""))</f>
        <v/>
      </c>
      <c r="E1954" s="9">
        <f>IFERROR(DATE(2000+VALUE(MID(H1954,FIND("15",H1954,FIND("01",H1954)+16)+2,2)),VALUE(MID(H1954,FIND("15",H1954,FIND("01",H1954)+16)+4,2)),VALUE(MID(H1954,FIND("15",H1954,FIND("01",H1954)+16)+6,2))),"")</f>
        <v/>
      </c>
      <c r="F1954" s="8">
        <f>IFERROR(MID(H1954,FIND("10",H1954,FIND("15",H1954,FIND("01",H1954)+16)+8)+2,50),"")</f>
        <v/>
      </c>
      <c r="G1954" s="8" t="n"/>
      <c r="H1954" s="8">
        <f>SUBSTITUTE(SUBSTITUTE(SUBSTITUTE(SUBSTITUTE(A1954,"(",""),")","")," ",""),CHAR(29),"")</f>
        <v/>
      </c>
    </row>
    <row r="1955">
      <c r="A1955" s="4" t="n"/>
      <c r="B1955" s="5">
        <f>IFERROR(MID(H1955,FIND("01",H1955)+2,14),"")</f>
        <v/>
      </c>
      <c r="C1955" s="4">
        <f>IF(A1955="","",IFERROR(VLOOKUP(B1955,TblArticles,2,FALSE),"GTIN inconnu"))</f>
        <v/>
      </c>
      <c r="D1955" s="5">
        <f>IF(A1955="","",IFERROR(VLOOKUP(B1955,TblArticles,3,FALSE),""))</f>
        <v/>
      </c>
      <c r="E1955" s="6">
        <f>IFERROR(DATE(2000+VALUE(MID(H1955,FIND("15",H1955,FIND("01",H1955)+16)+2,2)),VALUE(MID(H1955,FIND("15",H1955,FIND("01",H1955)+16)+4,2)),VALUE(MID(H1955,FIND("15",H1955,FIND("01",H1955)+16)+6,2))),"")</f>
        <v/>
      </c>
      <c r="F1955" s="5">
        <f>IFERROR(MID(H1955,FIND("10",H1955,FIND("15",H1955,FIND("01",H1955)+16)+8)+2,50),"")</f>
        <v/>
      </c>
      <c r="G1955" s="5" t="n"/>
      <c r="H1955" s="5">
        <f>SUBSTITUTE(SUBSTITUTE(SUBSTITUTE(SUBSTITUTE(A1955,"(",""),")","")," ",""),CHAR(29),"")</f>
        <v/>
      </c>
    </row>
    <row r="1956">
      <c r="A1956" s="7" t="n"/>
      <c r="B1956" s="8">
        <f>IFERROR(MID(H1956,FIND("01",H1956)+2,14),"")</f>
        <v/>
      </c>
      <c r="C1956" s="7">
        <f>IF(A1956="","",IFERROR(VLOOKUP(B1956,TblArticles,2,FALSE),"GTIN inconnu"))</f>
        <v/>
      </c>
      <c r="D1956" s="8">
        <f>IF(A1956="","",IFERROR(VLOOKUP(B1956,TblArticles,3,FALSE),""))</f>
        <v/>
      </c>
      <c r="E1956" s="9">
        <f>IFERROR(DATE(2000+VALUE(MID(H1956,FIND("15",H1956,FIND("01",H1956)+16)+2,2)),VALUE(MID(H1956,FIND("15",H1956,FIND("01",H1956)+16)+4,2)),VALUE(MID(H1956,FIND("15",H1956,FIND("01",H1956)+16)+6,2))),"")</f>
        <v/>
      </c>
      <c r="F1956" s="8">
        <f>IFERROR(MID(H1956,FIND("10",H1956,FIND("15",H1956,FIND("01",H1956)+16)+8)+2,50),"")</f>
        <v/>
      </c>
      <c r="G1956" s="8" t="n"/>
      <c r="H1956" s="8">
        <f>SUBSTITUTE(SUBSTITUTE(SUBSTITUTE(SUBSTITUTE(A1956,"(",""),")","")," ",""),CHAR(29),"")</f>
        <v/>
      </c>
    </row>
    <row r="1957">
      <c r="A1957" s="4" t="n"/>
      <c r="B1957" s="5">
        <f>IFERROR(MID(H1957,FIND("01",H1957)+2,14),"")</f>
        <v/>
      </c>
      <c r="C1957" s="4">
        <f>IF(A1957="","",IFERROR(VLOOKUP(B1957,TblArticles,2,FALSE),"GTIN inconnu"))</f>
        <v/>
      </c>
      <c r="D1957" s="5">
        <f>IF(A1957="","",IFERROR(VLOOKUP(B1957,TblArticles,3,FALSE),""))</f>
        <v/>
      </c>
      <c r="E1957" s="6">
        <f>IFERROR(DATE(2000+VALUE(MID(H1957,FIND("15",H1957,FIND("01",H1957)+16)+2,2)),VALUE(MID(H1957,FIND("15",H1957,FIND("01",H1957)+16)+4,2)),VALUE(MID(H1957,FIND("15",H1957,FIND("01",H1957)+16)+6,2))),"")</f>
        <v/>
      </c>
      <c r="F1957" s="5">
        <f>IFERROR(MID(H1957,FIND("10",H1957,FIND("15",H1957,FIND("01",H1957)+16)+8)+2,50),"")</f>
        <v/>
      </c>
      <c r="G1957" s="5" t="n"/>
      <c r="H1957" s="5">
        <f>SUBSTITUTE(SUBSTITUTE(SUBSTITUTE(SUBSTITUTE(A1957,"(",""),")","")," ",""),CHAR(29),"")</f>
        <v/>
      </c>
    </row>
    <row r="1958">
      <c r="A1958" s="7" t="n"/>
      <c r="B1958" s="8">
        <f>IFERROR(MID(H1958,FIND("01",H1958)+2,14),"")</f>
        <v/>
      </c>
      <c r="C1958" s="7">
        <f>IF(A1958="","",IFERROR(VLOOKUP(B1958,TblArticles,2,FALSE),"GTIN inconnu"))</f>
        <v/>
      </c>
      <c r="D1958" s="8">
        <f>IF(A1958="","",IFERROR(VLOOKUP(B1958,TblArticles,3,FALSE),""))</f>
        <v/>
      </c>
      <c r="E1958" s="9">
        <f>IFERROR(DATE(2000+VALUE(MID(H1958,FIND("15",H1958,FIND("01",H1958)+16)+2,2)),VALUE(MID(H1958,FIND("15",H1958,FIND("01",H1958)+16)+4,2)),VALUE(MID(H1958,FIND("15",H1958,FIND("01",H1958)+16)+6,2))),"")</f>
        <v/>
      </c>
      <c r="F1958" s="8">
        <f>IFERROR(MID(H1958,FIND("10",H1958,FIND("15",H1958,FIND("01",H1958)+16)+8)+2,50),"")</f>
        <v/>
      </c>
      <c r="G1958" s="8" t="n"/>
      <c r="H1958" s="8">
        <f>SUBSTITUTE(SUBSTITUTE(SUBSTITUTE(SUBSTITUTE(A1958,"(",""),")","")," ",""),CHAR(29),"")</f>
        <v/>
      </c>
    </row>
    <row r="1959">
      <c r="A1959" s="4" t="n"/>
      <c r="B1959" s="5">
        <f>IFERROR(MID(H1959,FIND("01",H1959)+2,14),"")</f>
        <v/>
      </c>
      <c r="C1959" s="4">
        <f>IF(A1959="","",IFERROR(VLOOKUP(B1959,TblArticles,2,FALSE),"GTIN inconnu"))</f>
        <v/>
      </c>
      <c r="D1959" s="5">
        <f>IF(A1959="","",IFERROR(VLOOKUP(B1959,TblArticles,3,FALSE),""))</f>
        <v/>
      </c>
      <c r="E1959" s="6">
        <f>IFERROR(DATE(2000+VALUE(MID(H1959,FIND("15",H1959,FIND("01",H1959)+16)+2,2)),VALUE(MID(H1959,FIND("15",H1959,FIND("01",H1959)+16)+4,2)),VALUE(MID(H1959,FIND("15",H1959,FIND("01",H1959)+16)+6,2))),"")</f>
        <v/>
      </c>
      <c r="F1959" s="5">
        <f>IFERROR(MID(H1959,FIND("10",H1959,FIND("15",H1959,FIND("01",H1959)+16)+8)+2,50),"")</f>
        <v/>
      </c>
      <c r="G1959" s="5" t="n"/>
      <c r="H1959" s="5">
        <f>SUBSTITUTE(SUBSTITUTE(SUBSTITUTE(SUBSTITUTE(A1959,"(",""),")","")," ",""),CHAR(29),"")</f>
        <v/>
      </c>
    </row>
    <row r="1960">
      <c r="A1960" s="7" t="n"/>
      <c r="B1960" s="8">
        <f>IFERROR(MID(H1960,FIND("01",H1960)+2,14),"")</f>
        <v/>
      </c>
      <c r="C1960" s="7">
        <f>IF(A1960="","",IFERROR(VLOOKUP(B1960,TblArticles,2,FALSE),"GTIN inconnu"))</f>
        <v/>
      </c>
      <c r="D1960" s="8">
        <f>IF(A1960="","",IFERROR(VLOOKUP(B1960,TblArticles,3,FALSE),""))</f>
        <v/>
      </c>
      <c r="E1960" s="9">
        <f>IFERROR(DATE(2000+VALUE(MID(H1960,FIND("15",H1960,FIND("01",H1960)+16)+2,2)),VALUE(MID(H1960,FIND("15",H1960,FIND("01",H1960)+16)+4,2)),VALUE(MID(H1960,FIND("15",H1960,FIND("01",H1960)+16)+6,2))),"")</f>
        <v/>
      </c>
      <c r="F1960" s="8">
        <f>IFERROR(MID(H1960,FIND("10",H1960,FIND("15",H1960,FIND("01",H1960)+16)+8)+2,50),"")</f>
        <v/>
      </c>
      <c r="G1960" s="8" t="n"/>
      <c r="H1960" s="8">
        <f>SUBSTITUTE(SUBSTITUTE(SUBSTITUTE(SUBSTITUTE(A1960,"(",""),")","")," ",""),CHAR(29),"")</f>
        <v/>
      </c>
    </row>
    <row r="1961">
      <c r="A1961" s="4" t="n"/>
      <c r="B1961" s="5">
        <f>IFERROR(MID(H1961,FIND("01",H1961)+2,14),"")</f>
        <v/>
      </c>
      <c r="C1961" s="4">
        <f>IF(A1961="","",IFERROR(VLOOKUP(B1961,TblArticles,2,FALSE),"GTIN inconnu"))</f>
        <v/>
      </c>
      <c r="D1961" s="5">
        <f>IF(A1961="","",IFERROR(VLOOKUP(B1961,TblArticles,3,FALSE),""))</f>
        <v/>
      </c>
      <c r="E1961" s="6">
        <f>IFERROR(DATE(2000+VALUE(MID(H1961,FIND("15",H1961,FIND("01",H1961)+16)+2,2)),VALUE(MID(H1961,FIND("15",H1961,FIND("01",H1961)+16)+4,2)),VALUE(MID(H1961,FIND("15",H1961,FIND("01",H1961)+16)+6,2))),"")</f>
        <v/>
      </c>
      <c r="F1961" s="5">
        <f>IFERROR(MID(H1961,FIND("10",H1961,FIND("15",H1961,FIND("01",H1961)+16)+8)+2,50),"")</f>
        <v/>
      </c>
      <c r="G1961" s="5" t="n"/>
      <c r="H1961" s="5">
        <f>SUBSTITUTE(SUBSTITUTE(SUBSTITUTE(SUBSTITUTE(A1961,"(",""),")","")," ",""),CHAR(29),"")</f>
        <v/>
      </c>
    </row>
    <row r="1962">
      <c r="A1962" s="7" t="n"/>
      <c r="B1962" s="8">
        <f>IFERROR(MID(H1962,FIND("01",H1962)+2,14),"")</f>
        <v/>
      </c>
      <c r="C1962" s="7">
        <f>IF(A1962="","",IFERROR(VLOOKUP(B1962,TblArticles,2,FALSE),"GTIN inconnu"))</f>
        <v/>
      </c>
      <c r="D1962" s="8">
        <f>IF(A1962="","",IFERROR(VLOOKUP(B1962,TblArticles,3,FALSE),""))</f>
        <v/>
      </c>
      <c r="E1962" s="9">
        <f>IFERROR(DATE(2000+VALUE(MID(H1962,FIND("15",H1962,FIND("01",H1962)+16)+2,2)),VALUE(MID(H1962,FIND("15",H1962,FIND("01",H1962)+16)+4,2)),VALUE(MID(H1962,FIND("15",H1962,FIND("01",H1962)+16)+6,2))),"")</f>
        <v/>
      </c>
      <c r="F1962" s="8">
        <f>IFERROR(MID(H1962,FIND("10",H1962,FIND("15",H1962,FIND("01",H1962)+16)+8)+2,50),"")</f>
        <v/>
      </c>
      <c r="G1962" s="8" t="n"/>
      <c r="H1962" s="8">
        <f>SUBSTITUTE(SUBSTITUTE(SUBSTITUTE(SUBSTITUTE(A1962,"(",""),")","")," ",""),CHAR(29),"")</f>
        <v/>
      </c>
    </row>
    <row r="1963">
      <c r="A1963" s="4" t="n"/>
      <c r="B1963" s="5">
        <f>IFERROR(MID(H1963,FIND("01",H1963)+2,14),"")</f>
        <v/>
      </c>
      <c r="C1963" s="4">
        <f>IF(A1963="","",IFERROR(VLOOKUP(B1963,TblArticles,2,FALSE),"GTIN inconnu"))</f>
        <v/>
      </c>
      <c r="D1963" s="5">
        <f>IF(A1963="","",IFERROR(VLOOKUP(B1963,TblArticles,3,FALSE),""))</f>
        <v/>
      </c>
      <c r="E1963" s="6">
        <f>IFERROR(DATE(2000+VALUE(MID(H1963,FIND("15",H1963,FIND("01",H1963)+16)+2,2)),VALUE(MID(H1963,FIND("15",H1963,FIND("01",H1963)+16)+4,2)),VALUE(MID(H1963,FIND("15",H1963,FIND("01",H1963)+16)+6,2))),"")</f>
        <v/>
      </c>
      <c r="F1963" s="5">
        <f>IFERROR(MID(H1963,FIND("10",H1963,FIND("15",H1963,FIND("01",H1963)+16)+8)+2,50),"")</f>
        <v/>
      </c>
      <c r="G1963" s="5" t="n"/>
      <c r="H1963" s="5">
        <f>SUBSTITUTE(SUBSTITUTE(SUBSTITUTE(SUBSTITUTE(A1963,"(",""),")","")," ",""),CHAR(29),"")</f>
        <v/>
      </c>
    </row>
    <row r="1964">
      <c r="A1964" s="7" t="n"/>
      <c r="B1964" s="8">
        <f>IFERROR(MID(H1964,FIND("01",H1964)+2,14),"")</f>
        <v/>
      </c>
      <c r="C1964" s="7">
        <f>IF(A1964="","",IFERROR(VLOOKUP(B1964,TblArticles,2,FALSE),"GTIN inconnu"))</f>
        <v/>
      </c>
      <c r="D1964" s="8">
        <f>IF(A1964="","",IFERROR(VLOOKUP(B1964,TblArticles,3,FALSE),""))</f>
        <v/>
      </c>
      <c r="E1964" s="9">
        <f>IFERROR(DATE(2000+VALUE(MID(H1964,FIND("15",H1964,FIND("01",H1964)+16)+2,2)),VALUE(MID(H1964,FIND("15",H1964,FIND("01",H1964)+16)+4,2)),VALUE(MID(H1964,FIND("15",H1964,FIND("01",H1964)+16)+6,2))),"")</f>
        <v/>
      </c>
      <c r="F1964" s="8">
        <f>IFERROR(MID(H1964,FIND("10",H1964,FIND("15",H1964,FIND("01",H1964)+16)+8)+2,50),"")</f>
        <v/>
      </c>
      <c r="G1964" s="8" t="n"/>
      <c r="H1964" s="8">
        <f>SUBSTITUTE(SUBSTITUTE(SUBSTITUTE(SUBSTITUTE(A1964,"(",""),")","")," ",""),CHAR(29),"")</f>
        <v/>
      </c>
    </row>
    <row r="1965">
      <c r="A1965" s="4" t="n"/>
      <c r="B1965" s="5">
        <f>IFERROR(MID(H1965,FIND("01",H1965)+2,14),"")</f>
        <v/>
      </c>
      <c r="C1965" s="4">
        <f>IF(A1965="","",IFERROR(VLOOKUP(B1965,TblArticles,2,FALSE),"GTIN inconnu"))</f>
        <v/>
      </c>
      <c r="D1965" s="5">
        <f>IF(A1965="","",IFERROR(VLOOKUP(B1965,TblArticles,3,FALSE),""))</f>
        <v/>
      </c>
      <c r="E1965" s="6">
        <f>IFERROR(DATE(2000+VALUE(MID(H1965,FIND("15",H1965,FIND("01",H1965)+16)+2,2)),VALUE(MID(H1965,FIND("15",H1965,FIND("01",H1965)+16)+4,2)),VALUE(MID(H1965,FIND("15",H1965,FIND("01",H1965)+16)+6,2))),"")</f>
        <v/>
      </c>
      <c r="F1965" s="5">
        <f>IFERROR(MID(H1965,FIND("10",H1965,FIND("15",H1965,FIND("01",H1965)+16)+8)+2,50),"")</f>
        <v/>
      </c>
      <c r="G1965" s="5" t="n"/>
      <c r="H1965" s="5">
        <f>SUBSTITUTE(SUBSTITUTE(SUBSTITUTE(SUBSTITUTE(A1965,"(",""),")","")," ",""),CHAR(29),"")</f>
        <v/>
      </c>
    </row>
    <row r="1966">
      <c r="A1966" s="7" t="n"/>
      <c r="B1966" s="8">
        <f>IFERROR(MID(H1966,FIND("01",H1966)+2,14),"")</f>
        <v/>
      </c>
      <c r="C1966" s="7">
        <f>IF(A1966="","",IFERROR(VLOOKUP(B1966,TblArticles,2,FALSE),"GTIN inconnu"))</f>
        <v/>
      </c>
      <c r="D1966" s="8">
        <f>IF(A1966="","",IFERROR(VLOOKUP(B1966,TblArticles,3,FALSE),""))</f>
        <v/>
      </c>
      <c r="E1966" s="9">
        <f>IFERROR(DATE(2000+VALUE(MID(H1966,FIND("15",H1966,FIND("01",H1966)+16)+2,2)),VALUE(MID(H1966,FIND("15",H1966,FIND("01",H1966)+16)+4,2)),VALUE(MID(H1966,FIND("15",H1966,FIND("01",H1966)+16)+6,2))),"")</f>
        <v/>
      </c>
      <c r="F1966" s="8">
        <f>IFERROR(MID(H1966,FIND("10",H1966,FIND("15",H1966,FIND("01",H1966)+16)+8)+2,50),"")</f>
        <v/>
      </c>
      <c r="G1966" s="8" t="n"/>
      <c r="H1966" s="8">
        <f>SUBSTITUTE(SUBSTITUTE(SUBSTITUTE(SUBSTITUTE(A1966,"(",""),")","")," ",""),CHAR(29),"")</f>
        <v/>
      </c>
    </row>
    <row r="1967">
      <c r="A1967" s="4" t="n"/>
      <c r="B1967" s="5">
        <f>IFERROR(MID(H1967,FIND("01",H1967)+2,14),"")</f>
        <v/>
      </c>
      <c r="C1967" s="4">
        <f>IF(A1967="","",IFERROR(VLOOKUP(B1967,TblArticles,2,FALSE),"GTIN inconnu"))</f>
        <v/>
      </c>
      <c r="D1967" s="5">
        <f>IF(A1967="","",IFERROR(VLOOKUP(B1967,TblArticles,3,FALSE),""))</f>
        <v/>
      </c>
      <c r="E1967" s="6">
        <f>IFERROR(DATE(2000+VALUE(MID(H1967,FIND("15",H1967,FIND("01",H1967)+16)+2,2)),VALUE(MID(H1967,FIND("15",H1967,FIND("01",H1967)+16)+4,2)),VALUE(MID(H1967,FIND("15",H1967,FIND("01",H1967)+16)+6,2))),"")</f>
        <v/>
      </c>
      <c r="F1967" s="5">
        <f>IFERROR(MID(H1967,FIND("10",H1967,FIND("15",H1967,FIND("01",H1967)+16)+8)+2,50),"")</f>
        <v/>
      </c>
      <c r="G1967" s="5" t="n"/>
      <c r="H1967" s="5">
        <f>SUBSTITUTE(SUBSTITUTE(SUBSTITUTE(SUBSTITUTE(A1967,"(",""),")","")," ",""),CHAR(29),"")</f>
        <v/>
      </c>
    </row>
    <row r="1968">
      <c r="A1968" s="7" t="n"/>
      <c r="B1968" s="8">
        <f>IFERROR(MID(H1968,FIND("01",H1968)+2,14),"")</f>
        <v/>
      </c>
      <c r="C1968" s="7">
        <f>IF(A1968="","",IFERROR(VLOOKUP(B1968,TblArticles,2,FALSE),"GTIN inconnu"))</f>
        <v/>
      </c>
      <c r="D1968" s="8">
        <f>IF(A1968="","",IFERROR(VLOOKUP(B1968,TblArticles,3,FALSE),""))</f>
        <v/>
      </c>
      <c r="E1968" s="9">
        <f>IFERROR(DATE(2000+VALUE(MID(H1968,FIND("15",H1968,FIND("01",H1968)+16)+2,2)),VALUE(MID(H1968,FIND("15",H1968,FIND("01",H1968)+16)+4,2)),VALUE(MID(H1968,FIND("15",H1968,FIND("01",H1968)+16)+6,2))),"")</f>
        <v/>
      </c>
      <c r="F1968" s="8">
        <f>IFERROR(MID(H1968,FIND("10",H1968,FIND("15",H1968,FIND("01",H1968)+16)+8)+2,50),"")</f>
        <v/>
      </c>
      <c r="G1968" s="8" t="n"/>
      <c r="H1968" s="8">
        <f>SUBSTITUTE(SUBSTITUTE(SUBSTITUTE(SUBSTITUTE(A1968,"(",""),")","")," ",""),CHAR(29),"")</f>
        <v/>
      </c>
    </row>
    <row r="1969">
      <c r="A1969" s="4" t="n"/>
      <c r="B1969" s="5">
        <f>IFERROR(MID(H1969,FIND("01",H1969)+2,14),"")</f>
        <v/>
      </c>
      <c r="C1969" s="4">
        <f>IF(A1969="","",IFERROR(VLOOKUP(B1969,TblArticles,2,FALSE),"GTIN inconnu"))</f>
        <v/>
      </c>
      <c r="D1969" s="5">
        <f>IF(A1969="","",IFERROR(VLOOKUP(B1969,TblArticles,3,FALSE),""))</f>
        <v/>
      </c>
      <c r="E1969" s="6">
        <f>IFERROR(DATE(2000+VALUE(MID(H1969,FIND("15",H1969,FIND("01",H1969)+16)+2,2)),VALUE(MID(H1969,FIND("15",H1969,FIND("01",H1969)+16)+4,2)),VALUE(MID(H1969,FIND("15",H1969,FIND("01",H1969)+16)+6,2))),"")</f>
        <v/>
      </c>
      <c r="F1969" s="5">
        <f>IFERROR(MID(H1969,FIND("10",H1969,FIND("15",H1969,FIND("01",H1969)+16)+8)+2,50),"")</f>
        <v/>
      </c>
      <c r="G1969" s="5" t="n"/>
      <c r="H1969" s="5">
        <f>SUBSTITUTE(SUBSTITUTE(SUBSTITUTE(SUBSTITUTE(A1969,"(",""),")","")," ",""),CHAR(29),"")</f>
        <v/>
      </c>
    </row>
    <row r="1970">
      <c r="A1970" s="7" t="n"/>
      <c r="B1970" s="8">
        <f>IFERROR(MID(H1970,FIND("01",H1970)+2,14),"")</f>
        <v/>
      </c>
      <c r="C1970" s="7">
        <f>IF(A1970="","",IFERROR(VLOOKUP(B1970,TblArticles,2,FALSE),"GTIN inconnu"))</f>
        <v/>
      </c>
      <c r="D1970" s="8">
        <f>IF(A1970="","",IFERROR(VLOOKUP(B1970,TblArticles,3,FALSE),""))</f>
        <v/>
      </c>
      <c r="E1970" s="9">
        <f>IFERROR(DATE(2000+VALUE(MID(H1970,FIND("15",H1970,FIND("01",H1970)+16)+2,2)),VALUE(MID(H1970,FIND("15",H1970,FIND("01",H1970)+16)+4,2)),VALUE(MID(H1970,FIND("15",H1970,FIND("01",H1970)+16)+6,2))),"")</f>
        <v/>
      </c>
      <c r="F1970" s="8">
        <f>IFERROR(MID(H1970,FIND("10",H1970,FIND("15",H1970,FIND("01",H1970)+16)+8)+2,50),"")</f>
        <v/>
      </c>
      <c r="G1970" s="8" t="n"/>
      <c r="H1970" s="8">
        <f>SUBSTITUTE(SUBSTITUTE(SUBSTITUTE(SUBSTITUTE(A1970,"(",""),")","")," ",""),CHAR(29),"")</f>
        <v/>
      </c>
    </row>
    <row r="1971">
      <c r="A1971" s="4" t="n"/>
      <c r="B1971" s="5">
        <f>IFERROR(MID(H1971,FIND("01",H1971)+2,14),"")</f>
        <v/>
      </c>
      <c r="C1971" s="4">
        <f>IF(A1971="","",IFERROR(VLOOKUP(B1971,TblArticles,2,FALSE),"GTIN inconnu"))</f>
        <v/>
      </c>
      <c r="D1971" s="5">
        <f>IF(A1971="","",IFERROR(VLOOKUP(B1971,TblArticles,3,FALSE),""))</f>
        <v/>
      </c>
      <c r="E1971" s="6">
        <f>IFERROR(DATE(2000+VALUE(MID(H1971,FIND("15",H1971,FIND("01",H1971)+16)+2,2)),VALUE(MID(H1971,FIND("15",H1971,FIND("01",H1971)+16)+4,2)),VALUE(MID(H1971,FIND("15",H1971,FIND("01",H1971)+16)+6,2))),"")</f>
        <v/>
      </c>
      <c r="F1971" s="5">
        <f>IFERROR(MID(H1971,FIND("10",H1971,FIND("15",H1971,FIND("01",H1971)+16)+8)+2,50),"")</f>
        <v/>
      </c>
      <c r="G1971" s="5" t="n"/>
      <c r="H1971" s="5">
        <f>SUBSTITUTE(SUBSTITUTE(SUBSTITUTE(SUBSTITUTE(A1971,"(",""),")","")," ",""),CHAR(29),"")</f>
        <v/>
      </c>
    </row>
    <row r="1972">
      <c r="A1972" s="7" t="n"/>
      <c r="B1972" s="8">
        <f>IFERROR(MID(H1972,FIND("01",H1972)+2,14),"")</f>
        <v/>
      </c>
      <c r="C1972" s="7">
        <f>IF(A1972="","",IFERROR(VLOOKUP(B1972,TblArticles,2,FALSE),"GTIN inconnu"))</f>
        <v/>
      </c>
      <c r="D1972" s="8">
        <f>IF(A1972="","",IFERROR(VLOOKUP(B1972,TblArticles,3,FALSE),""))</f>
        <v/>
      </c>
      <c r="E1972" s="9">
        <f>IFERROR(DATE(2000+VALUE(MID(H1972,FIND("15",H1972,FIND("01",H1972)+16)+2,2)),VALUE(MID(H1972,FIND("15",H1972,FIND("01",H1972)+16)+4,2)),VALUE(MID(H1972,FIND("15",H1972,FIND("01",H1972)+16)+6,2))),"")</f>
        <v/>
      </c>
      <c r="F1972" s="8">
        <f>IFERROR(MID(H1972,FIND("10",H1972,FIND("15",H1972,FIND("01",H1972)+16)+8)+2,50),"")</f>
        <v/>
      </c>
      <c r="G1972" s="8" t="n"/>
      <c r="H1972" s="8">
        <f>SUBSTITUTE(SUBSTITUTE(SUBSTITUTE(SUBSTITUTE(A1972,"(",""),")","")," ",""),CHAR(29),"")</f>
        <v/>
      </c>
    </row>
    <row r="1973">
      <c r="A1973" s="4" t="n"/>
      <c r="B1973" s="5">
        <f>IFERROR(MID(H1973,FIND("01",H1973)+2,14),"")</f>
        <v/>
      </c>
      <c r="C1973" s="4">
        <f>IF(A1973="","",IFERROR(VLOOKUP(B1973,TblArticles,2,FALSE),"GTIN inconnu"))</f>
        <v/>
      </c>
      <c r="D1973" s="5">
        <f>IF(A1973="","",IFERROR(VLOOKUP(B1973,TblArticles,3,FALSE),""))</f>
        <v/>
      </c>
      <c r="E1973" s="6">
        <f>IFERROR(DATE(2000+VALUE(MID(H1973,FIND("15",H1973,FIND("01",H1973)+16)+2,2)),VALUE(MID(H1973,FIND("15",H1973,FIND("01",H1973)+16)+4,2)),VALUE(MID(H1973,FIND("15",H1973,FIND("01",H1973)+16)+6,2))),"")</f>
        <v/>
      </c>
      <c r="F1973" s="5">
        <f>IFERROR(MID(H1973,FIND("10",H1973,FIND("15",H1973,FIND("01",H1973)+16)+8)+2,50),"")</f>
        <v/>
      </c>
      <c r="G1973" s="5" t="n"/>
      <c r="H1973" s="5">
        <f>SUBSTITUTE(SUBSTITUTE(SUBSTITUTE(SUBSTITUTE(A1973,"(",""),")","")," ",""),CHAR(29),"")</f>
        <v/>
      </c>
    </row>
    <row r="1974">
      <c r="A1974" s="7" t="n"/>
      <c r="B1974" s="8">
        <f>IFERROR(MID(H1974,FIND("01",H1974)+2,14),"")</f>
        <v/>
      </c>
      <c r="C1974" s="7">
        <f>IF(A1974="","",IFERROR(VLOOKUP(B1974,TblArticles,2,FALSE),"GTIN inconnu"))</f>
        <v/>
      </c>
      <c r="D1974" s="8">
        <f>IF(A1974="","",IFERROR(VLOOKUP(B1974,TblArticles,3,FALSE),""))</f>
        <v/>
      </c>
      <c r="E1974" s="9">
        <f>IFERROR(DATE(2000+VALUE(MID(H1974,FIND("15",H1974,FIND("01",H1974)+16)+2,2)),VALUE(MID(H1974,FIND("15",H1974,FIND("01",H1974)+16)+4,2)),VALUE(MID(H1974,FIND("15",H1974,FIND("01",H1974)+16)+6,2))),"")</f>
        <v/>
      </c>
      <c r="F1974" s="8">
        <f>IFERROR(MID(H1974,FIND("10",H1974,FIND("15",H1974,FIND("01",H1974)+16)+8)+2,50),"")</f>
        <v/>
      </c>
      <c r="G1974" s="8" t="n"/>
      <c r="H1974" s="8">
        <f>SUBSTITUTE(SUBSTITUTE(SUBSTITUTE(SUBSTITUTE(A1974,"(",""),")","")," ",""),CHAR(29),"")</f>
        <v/>
      </c>
    </row>
    <row r="1975">
      <c r="A1975" s="4" t="n"/>
      <c r="B1975" s="5">
        <f>IFERROR(MID(H1975,FIND("01",H1975)+2,14),"")</f>
        <v/>
      </c>
      <c r="C1975" s="4">
        <f>IF(A1975="","",IFERROR(VLOOKUP(B1975,TblArticles,2,FALSE),"GTIN inconnu"))</f>
        <v/>
      </c>
      <c r="D1975" s="5">
        <f>IF(A1975="","",IFERROR(VLOOKUP(B1975,TblArticles,3,FALSE),""))</f>
        <v/>
      </c>
      <c r="E1975" s="6">
        <f>IFERROR(DATE(2000+VALUE(MID(H1975,FIND("15",H1975,FIND("01",H1975)+16)+2,2)),VALUE(MID(H1975,FIND("15",H1975,FIND("01",H1975)+16)+4,2)),VALUE(MID(H1975,FIND("15",H1975,FIND("01",H1975)+16)+6,2))),"")</f>
        <v/>
      </c>
      <c r="F1975" s="5">
        <f>IFERROR(MID(H1975,FIND("10",H1975,FIND("15",H1975,FIND("01",H1975)+16)+8)+2,50),"")</f>
        <v/>
      </c>
      <c r="G1975" s="5" t="n"/>
      <c r="H1975" s="5">
        <f>SUBSTITUTE(SUBSTITUTE(SUBSTITUTE(SUBSTITUTE(A1975,"(",""),")","")," ",""),CHAR(29),"")</f>
        <v/>
      </c>
    </row>
    <row r="1976">
      <c r="A1976" s="7" t="n"/>
      <c r="B1976" s="8">
        <f>IFERROR(MID(H1976,FIND("01",H1976)+2,14),"")</f>
        <v/>
      </c>
      <c r="C1976" s="7">
        <f>IF(A1976="","",IFERROR(VLOOKUP(B1976,TblArticles,2,FALSE),"GTIN inconnu"))</f>
        <v/>
      </c>
      <c r="D1976" s="8">
        <f>IF(A1976="","",IFERROR(VLOOKUP(B1976,TblArticles,3,FALSE),""))</f>
        <v/>
      </c>
      <c r="E1976" s="9">
        <f>IFERROR(DATE(2000+VALUE(MID(H1976,FIND("15",H1976,FIND("01",H1976)+16)+2,2)),VALUE(MID(H1976,FIND("15",H1976,FIND("01",H1976)+16)+4,2)),VALUE(MID(H1976,FIND("15",H1976,FIND("01",H1976)+16)+6,2))),"")</f>
        <v/>
      </c>
      <c r="F1976" s="8">
        <f>IFERROR(MID(H1976,FIND("10",H1976,FIND("15",H1976,FIND("01",H1976)+16)+8)+2,50),"")</f>
        <v/>
      </c>
      <c r="G1976" s="8" t="n"/>
      <c r="H1976" s="8">
        <f>SUBSTITUTE(SUBSTITUTE(SUBSTITUTE(SUBSTITUTE(A1976,"(",""),")","")," ",""),CHAR(29),"")</f>
        <v/>
      </c>
    </row>
    <row r="1977">
      <c r="A1977" s="4" t="n"/>
      <c r="B1977" s="5">
        <f>IFERROR(MID(H1977,FIND("01",H1977)+2,14),"")</f>
        <v/>
      </c>
      <c r="C1977" s="4">
        <f>IF(A1977="","",IFERROR(VLOOKUP(B1977,TblArticles,2,FALSE),"GTIN inconnu"))</f>
        <v/>
      </c>
      <c r="D1977" s="5">
        <f>IF(A1977="","",IFERROR(VLOOKUP(B1977,TblArticles,3,FALSE),""))</f>
        <v/>
      </c>
      <c r="E1977" s="6">
        <f>IFERROR(DATE(2000+VALUE(MID(H1977,FIND("15",H1977,FIND("01",H1977)+16)+2,2)),VALUE(MID(H1977,FIND("15",H1977,FIND("01",H1977)+16)+4,2)),VALUE(MID(H1977,FIND("15",H1977,FIND("01",H1977)+16)+6,2))),"")</f>
        <v/>
      </c>
      <c r="F1977" s="5">
        <f>IFERROR(MID(H1977,FIND("10",H1977,FIND("15",H1977,FIND("01",H1977)+16)+8)+2,50),"")</f>
        <v/>
      </c>
      <c r="G1977" s="5" t="n"/>
      <c r="H1977" s="5">
        <f>SUBSTITUTE(SUBSTITUTE(SUBSTITUTE(SUBSTITUTE(A1977,"(",""),")","")," ",""),CHAR(29),"")</f>
        <v/>
      </c>
    </row>
    <row r="1978">
      <c r="A1978" s="7" t="n"/>
      <c r="B1978" s="8">
        <f>IFERROR(MID(H1978,FIND("01",H1978)+2,14),"")</f>
        <v/>
      </c>
      <c r="C1978" s="7">
        <f>IF(A1978="","",IFERROR(VLOOKUP(B1978,TblArticles,2,FALSE),"GTIN inconnu"))</f>
        <v/>
      </c>
      <c r="D1978" s="8">
        <f>IF(A1978="","",IFERROR(VLOOKUP(B1978,TblArticles,3,FALSE),""))</f>
        <v/>
      </c>
      <c r="E1978" s="9">
        <f>IFERROR(DATE(2000+VALUE(MID(H1978,FIND("15",H1978,FIND("01",H1978)+16)+2,2)),VALUE(MID(H1978,FIND("15",H1978,FIND("01",H1978)+16)+4,2)),VALUE(MID(H1978,FIND("15",H1978,FIND("01",H1978)+16)+6,2))),"")</f>
        <v/>
      </c>
      <c r="F1978" s="8">
        <f>IFERROR(MID(H1978,FIND("10",H1978,FIND("15",H1978,FIND("01",H1978)+16)+8)+2,50),"")</f>
        <v/>
      </c>
      <c r="G1978" s="8" t="n"/>
      <c r="H1978" s="8">
        <f>SUBSTITUTE(SUBSTITUTE(SUBSTITUTE(SUBSTITUTE(A1978,"(",""),")","")," ",""),CHAR(29),"")</f>
        <v/>
      </c>
    </row>
    <row r="1979">
      <c r="A1979" s="4" t="n"/>
      <c r="B1979" s="5">
        <f>IFERROR(MID(H1979,FIND("01",H1979)+2,14),"")</f>
        <v/>
      </c>
      <c r="C1979" s="4">
        <f>IF(A1979="","",IFERROR(VLOOKUP(B1979,TblArticles,2,FALSE),"GTIN inconnu"))</f>
        <v/>
      </c>
      <c r="D1979" s="5">
        <f>IF(A1979="","",IFERROR(VLOOKUP(B1979,TblArticles,3,FALSE),""))</f>
        <v/>
      </c>
      <c r="E1979" s="6">
        <f>IFERROR(DATE(2000+VALUE(MID(H1979,FIND("15",H1979,FIND("01",H1979)+16)+2,2)),VALUE(MID(H1979,FIND("15",H1979,FIND("01",H1979)+16)+4,2)),VALUE(MID(H1979,FIND("15",H1979,FIND("01",H1979)+16)+6,2))),"")</f>
        <v/>
      </c>
      <c r="F1979" s="5">
        <f>IFERROR(MID(H1979,FIND("10",H1979,FIND("15",H1979,FIND("01",H1979)+16)+8)+2,50),"")</f>
        <v/>
      </c>
      <c r="G1979" s="5" t="n"/>
      <c r="H1979" s="5">
        <f>SUBSTITUTE(SUBSTITUTE(SUBSTITUTE(SUBSTITUTE(A1979,"(",""),")","")," ",""),CHAR(29),"")</f>
        <v/>
      </c>
    </row>
    <row r="1980">
      <c r="A1980" s="7" t="n"/>
      <c r="B1980" s="8">
        <f>IFERROR(MID(H1980,FIND("01",H1980)+2,14),"")</f>
        <v/>
      </c>
      <c r="C1980" s="7">
        <f>IF(A1980="","",IFERROR(VLOOKUP(B1980,TblArticles,2,FALSE),"GTIN inconnu"))</f>
        <v/>
      </c>
      <c r="D1980" s="8">
        <f>IF(A1980="","",IFERROR(VLOOKUP(B1980,TblArticles,3,FALSE),""))</f>
        <v/>
      </c>
      <c r="E1980" s="9">
        <f>IFERROR(DATE(2000+VALUE(MID(H1980,FIND("15",H1980,FIND("01",H1980)+16)+2,2)),VALUE(MID(H1980,FIND("15",H1980,FIND("01",H1980)+16)+4,2)),VALUE(MID(H1980,FIND("15",H1980,FIND("01",H1980)+16)+6,2))),"")</f>
        <v/>
      </c>
      <c r="F1980" s="8">
        <f>IFERROR(MID(H1980,FIND("10",H1980,FIND("15",H1980,FIND("01",H1980)+16)+8)+2,50),"")</f>
        <v/>
      </c>
      <c r="G1980" s="8" t="n"/>
      <c r="H1980" s="8">
        <f>SUBSTITUTE(SUBSTITUTE(SUBSTITUTE(SUBSTITUTE(A1980,"(",""),")","")," ",""),CHAR(29),"")</f>
        <v/>
      </c>
    </row>
    <row r="1981">
      <c r="A1981" s="4" t="n"/>
      <c r="B1981" s="5">
        <f>IFERROR(MID(H1981,FIND("01",H1981)+2,14),"")</f>
        <v/>
      </c>
      <c r="C1981" s="4">
        <f>IF(A1981="","",IFERROR(VLOOKUP(B1981,TblArticles,2,FALSE),"GTIN inconnu"))</f>
        <v/>
      </c>
      <c r="D1981" s="5">
        <f>IF(A1981="","",IFERROR(VLOOKUP(B1981,TblArticles,3,FALSE),""))</f>
        <v/>
      </c>
      <c r="E1981" s="6">
        <f>IFERROR(DATE(2000+VALUE(MID(H1981,FIND("15",H1981,FIND("01",H1981)+16)+2,2)),VALUE(MID(H1981,FIND("15",H1981,FIND("01",H1981)+16)+4,2)),VALUE(MID(H1981,FIND("15",H1981,FIND("01",H1981)+16)+6,2))),"")</f>
        <v/>
      </c>
      <c r="F1981" s="5">
        <f>IFERROR(MID(H1981,FIND("10",H1981,FIND("15",H1981,FIND("01",H1981)+16)+8)+2,50),"")</f>
        <v/>
      </c>
      <c r="G1981" s="5" t="n"/>
      <c r="H1981" s="5">
        <f>SUBSTITUTE(SUBSTITUTE(SUBSTITUTE(SUBSTITUTE(A1981,"(",""),")","")," ",""),CHAR(29),"")</f>
        <v/>
      </c>
    </row>
    <row r="1982">
      <c r="A1982" s="7" t="n"/>
      <c r="B1982" s="8">
        <f>IFERROR(MID(H1982,FIND("01",H1982)+2,14),"")</f>
        <v/>
      </c>
      <c r="C1982" s="7">
        <f>IF(A1982="","",IFERROR(VLOOKUP(B1982,TblArticles,2,FALSE),"GTIN inconnu"))</f>
        <v/>
      </c>
      <c r="D1982" s="8">
        <f>IF(A1982="","",IFERROR(VLOOKUP(B1982,TblArticles,3,FALSE),""))</f>
        <v/>
      </c>
      <c r="E1982" s="9">
        <f>IFERROR(DATE(2000+VALUE(MID(H1982,FIND("15",H1982,FIND("01",H1982)+16)+2,2)),VALUE(MID(H1982,FIND("15",H1982,FIND("01",H1982)+16)+4,2)),VALUE(MID(H1982,FIND("15",H1982,FIND("01",H1982)+16)+6,2))),"")</f>
        <v/>
      </c>
      <c r="F1982" s="8">
        <f>IFERROR(MID(H1982,FIND("10",H1982,FIND("15",H1982,FIND("01",H1982)+16)+8)+2,50),"")</f>
        <v/>
      </c>
      <c r="G1982" s="8" t="n"/>
      <c r="H1982" s="8">
        <f>SUBSTITUTE(SUBSTITUTE(SUBSTITUTE(SUBSTITUTE(A1982,"(",""),")","")," ",""),CHAR(29),"")</f>
        <v/>
      </c>
    </row>
    <row r="1983">
      <c r="A1983" s="4" t="n"/>
      <c r="B1983" s="5">
        <f>IFERROR(MID(H1983,FIND("01",H1983)+2,14),"")</f>
        <v/>
      </c>
      <c r="C1983" s="4">
        <f>IF(A1983="","",IFERROR(VLOOKUP(B1983,TblArticles,2,FALSE),"GTIN inconnu"))</f>
        <v/>
      </c>
      <c r="D1983" s="5">
        <f>IF(A1983="","",IFERROR(VLOOKUP(B1983,TblArticles,3,FALSE),""))</f>
        <v/>
      </c>
      <c r="E1983" s="6">
        <f>IFERROR(DATE(2000+VALUE(MID(H1983,FIND("15",H1983,FIND("01",H1983)+16)+2,2)),VALUE(MID(H1983,FIND("15",H1983,FIND("01",H1983)+16)+4,2)),VALUE(MID(H1983,FIND("15",H1983,FIND("01",H1983)+16)+6,2))),"")</f>
        <v/>
      </c>
      <c r="F1983" s="5">
        <f>IFERROR(MID(H1983,FIND("10",H1983,FIND("15",H1983,FIND("01",H1983)+16)+8)+2,50),"")</f>
        <v/>
      </c>
      <c r="G1983" s="5" t="n"/>
      <c r="H1983" s="5">
        <f>SUBSTITUTE(SUBSTITUTE(SUBSTITUTE(SUBSTITUTE(A1983,"(",""),")","")," ",""),CHAR(29),"")</f>
        <v/>
      </c>
    </row>
    <row r="1984">
      <c r="A1984" s="7" t="n"/>
      <c r="B1984" s="8">
        <f>IFERROR(MID(H1984,FIND("01",H1984)+2,14),"")</f>
        <v/>
      </c>
      <c r="C1984" s="7">
        <f>IF(A1984="","",IFERROR(VLOOKUP(B1984,TblArticles,2,FALSE),"GTIN inconnu"))</f>
        <v/>
      </c>
      <c r="D1984" s="8">
        <f>IF(A1984="","",IFERROR(VLOOKUP(B1984,TblArticles,3,FALSE),""))</f>
        <v/>
      </c>
      <c r="E1984" s="9">
        <f>IFERROR(DATE(2000+VALUE(MID(H1984,FIND("15",H1984,FIND("01",H1984)+16)+2,2)),VALUE(MID(H1984,FIND("15",H1984,FIND("01",H1984)+16)+4,2)),VALUE(MID(H1984,FIND("15",H1984,FIND("01",H1984)+16)+6,2))),"")</f>
        <v/>
      </c>
      <c r="F1984" s="8">
        <f>IFERROR(MID(H1984,FIND("10",H1984,FIND("15",H1984,FIND("01",H1984)+16)+8)+2,50),"")</f>
        <v/>
      </c>
      <c r="G1984" s="8" t="n"/>
      <c r="H1984" s="8">
        <f>SUBSTITUTE(SUBSTITUTE(SUBSTITUTE(SUBSTITUTE(A1984,"(",""),")","")," ",""),CHAR(29),"")</f>
        <v/>
      </c>
    </row>
    <row r="1985">
      <c r="A1985" s="4" t="n"/>
      <c r="B1985" s="5">
        <f>IFERROR(MID(H1985,FIND("01",H1985)+2,14),"")</f>
        <v/>
      </c>
      <c r="C1985" s="4">
        <f>IF(A1985="","",IFERROR(VLOOKUP(B1985,TblArticles,2,FALSE),"GTIN inconnu"))</f>
        <v/>
      </c>
      <c r="D1985" s="5">
        <f>IF(A1985="","",IFERROR(VLOOKUP(B1985,TblArticles,3,FALSE),""))</f>
        <v/>
      </c>
      <c r="E1985" s="6">
        <f>IFERROR(DATE(2000+VALUE(MID(H1985,FIND("15",H1985,FIND("01",H1985)+16)+2,2)),VALUE(MID(H1985,FIND("15",H1985,FIND("01",H1985)+16)+4,2)),VALUE(MID(H1985,FIND("15",H1985,FIND("01",H1985)+16)+6,2))),"")</f>
        <v/>
      </c>
      <c r="F1985" s="5">
        <f>IFERROR(MID(H1985,FIND("10",H1985,FIND("15",H1985,FIND("01",H1985)+16)+8)+2,50),"")</f>
        <v/>
      </c>
      <c r="G1985" s="5" t="n"/>
      <c r="H1985" s="5">
        <f>SUBSTITUTE(SUBSTITUTE(SUBSTITUTE(SUBSTITUTE(A1985,"(",""),")","")," ",""),CHAR(29),"")</f>
        <v/>
      </c>
    </row>
    <row r="1986">
      <c r="A1986" s="7" t="n"/>
      <c r="B1986" s="8">
        <f>IFERROR(MID(H1986,FIND("01",H1986)+2,14),"")</f>
        <v/>
      </c>
      <c r="C1986" s="7">
        <f>IF(A1986="","",IFERROR(VLOOKUP(B1986,TblArticles,2,FALSE),"GTIN inconnu"))</f>
        <v/>
      </c>
      <c r="D1986" s="8">
        <f>IF(A1986="","",IFERROR(VLOOKUP(B1986,TblArticles,3,FALSE),""))</f>
        <v/>
      </c>
      <c r="E1986" s="9">
        <f>IFERROR(DATE(2000+VALUE(MID(H1986,FIND("15",H1986,FIND("01",H1986)+16)+2,2)),VALUE(MID(H1986,FIND("15",H1986,FIND("01",H1986)+16)+4,2)),VALUE(MID(H1986,FIND("15",H1986,FIND("01",H1986)+16)+6,2))),"")</f>
        <v/>
      </c>
      <c r="F1986" s="8">
        <f>IFERROR(MID(H1986,FIND("10",H1986,FIND("15",H1986,FIND("01",H1986)+16)+8)+2,50),"")</f>
        <v/>
      </c>
      <c r="G1986" s="8" t="n"/>
      <c r="H1986" s="8">
        <f>SUBSTITUTE(SUBSTITUTE(SUBSTITUTE(SUBSTITUTE(A1986,"(",""),")","")," ",""),CHAR(29),"")</f>
        <v/>
      </c>
    </row>
    <row r="1987">
      <c r="A1987" s="4" t="n"/>
      <c r="B1987" s="5">
        <f>IFERROR(MID(H1987,FIND("01",H1987)+2,14),"")</f>
        <v/>
      </c>
      <c r="C1987" s="4">
        <f>IF(A1987="","",IFERROR(VLOOKUP(B1987,TblArticles,2,FALSE),"GTIN inconnu"))</f>
        <v/>
      </c>
      <c r="D1987" s="5">
        <f>IF(A1987="","",IFERROR(VLOOKUP(B1987,TblArticles,3,FALSE),""))</f>
        <v/>
      </c>
      <c r="E1987" s="6">
        <f>IFERROR(DATE(2000+VALUE(MID(H1987,FIND("15",H1987,FIND("01",H1987)+16)+2,2)),VALUE(MID(H1987,FIND("15",H1987,FIND("01",H1987)+16)+4,2)),VALUE(MID(H1987,FIND("15",H1987,FIND("01",H1987)+16)+6,2))),"")</f>
        <v/>
      </c>
      <c r="F1987" s="5">
        <f>IFERROR(MID(H1987,FIND("10",H1987,FIND("15",H1987,FIND("01",H1987)+16)+8)+2,50),"")</f>
        <v/>
      </c>
      <c r="G1987" s="5" t="n"/>
      <c r="H1987" s="5">
        <f>SUBSTITUTE(SUBSTITUTE(SUBSTITUTE(SUBSTITUTE(A1987,"(",""),")","")," ",""),CHAR(29),"")</f>
        <v/>
      </c>
    </row>
    <row r="1988">
      <c r="A1988" s="7" t="n"/>
      <c r="B1988" s="8">
        <f>IFERROR(MID(H1988,FIND("01",H1988)+2,14),"")</f>
        <v/>
      </c>
      <c r="C1988" s="7">
        <f>IF(A1988="","",IFERROR(VLOOKUP(B1988,TblArticles,2,FALSE),"GTIN inconnu"))</f>
        <v/>
      </c>
      <c r="D1988" s="8">
        <f>IF(A1988="","",IFERROR(VLOOKUP(B1988,TblArticles,3,FALSE),""))</f>
        <v/>
      </c>
      <c r="E1988" s="9">
        <f>IFERROR(DATE(2000+VALUE(MID(H1988,FIND("15",H1988,FIND("01",H1988)+16)+2,2)),VALUE(MID(H1988,FIND("15",H1988,FIND("01",H1988)+16)+4,2)),VALUE(MID(H1988,FIND("15",H1988,FIND("01",H1988)+16)+6,2))),"")</f>
        <v/>
      </c>
      <c r="F1988" s="8">
        <f>IFERROR(MID(H1988,FIND("10",H1988,FIND("15",H1988,FIND("01",H1988)+16)+8)+2,50),"")</f>
        <v/>
      </c>
      <c r="G1988" s="8" t="n"/>
      <c r="H1988" s="8">
        <f>SUBSTITUTE(SUBSTITUTE(SUBSTITUTE(SUBSTITUTE(A1988,"(",""),")","")," ",""),CHAR(29),"")</f>
        <v/>
      </c>
    </row>
    <row r="1989">
      <c r="A1989" s="4" t="n"/>
      <c r="B1989" s="5">
        <f>IFERROR(MID(H1989,FIND("01",H1989)+2,14),"")</f>
        <v/>
      </c>
      <c r="C1989" s="4">
        <f>IF(A1989="","",IFERROR(VLOOKUP(B1989,TblArticles,2,FALSE),"GTIN inconnu"))</f>
        <v/>
      </c>
      <c r="D1989" s="5">
        <f>IF(A1989="","",IFERROR(VLOOKUP(B1989,TblArticles,3,FALSE),""))</f>
        <v/>
      </c>
      <c r="E1989" s="6">
        <f>IFERROR(DATE(2000+VALUE(MID(H1989,FIND("15",H1989,FIND("01",H1989)+16)+2,2)),VALUE(MID(H1989,FIND("15",H1989,FIND("01",H1989)+16)+4,2)),VALUE(MID(H1989,FIND("15",H1989,FIND("01",H1989)+16)+6,2))),"")</f>
        <v/>
      </c>
      <c r="F1989" s="5">
        <f>IFERROR(MID(H1989,FIND("10",H1989,FIND("15",H1989,FIND("01",H1989)+16)+8)+2,50),"")</f>
        <v/>
      </c>
      <c r="G1989" s="5" t="n"/>
      <c r="H1989" s="5">
        <f>SUBSTITUTE(SUBSTITUTE(SUBSTITUTE(SUBSTITUTE(A1989,"(",""),")","")," ",""),CHAR(29),"")</f>
        <v/>
      </c>
    </row>
    <row r="1990">
      <c r="A1990" s="7" t="n"/>
      <c r="B1990" s="8">
        <f>IFERROR(MID(H1990,FIND("01",H1990)+2,14),"")</f>
        <v/>
      </c>
      <c r="C1990" s="7">
        <f>IF(A1990="","",IFERROR(VLOOKUP(B1990,TblArticles,2,FALSE),"GTIN inconnu"))</f>
        <v/>
      </c>
      <c r="D1990" s="8">
        <f>IF(A1990="","",IFERROR(VLOOKUP(B1990,TblArticles,3,FALSE),""))</f>
        <v/>
      </c>
      <c r="E1990" s="9">
        <f>IFERROR(DATE(2000+VALUE(MID(H1990,FIND("15",H1990,FIND("01",H1990)+16)+2,2)),VALUE(MID(H1990,FIND("15",H1990,FIND("01",H1990)+16)+4,2)),VALUE(MID(H1990,FIND("15",H1990,FIND("01",H1990)+16)+6,2))),"")</f>
        <v/>
      </c>
      <c r="F1990" s="8">
        <f>IFERROR(MID(H1990,FIND("10",H1990,FIND("15",H1990,FIND("01",H1990)+16)+8)+2,50),"")</f>
        <v/>
      </c>
      <c r="G1990" s="8" t="n"/>
      <c r="H1990" s="8">
        <f>SUBSTITUTE(SUBSTITUTE(SUBSTITUTE(SUBSTITUTE(A1990,"(",""),")","")," ",""),CHAR(29),"")</f>
        <v/>
      </c>
    </row>
    <row r="1991">
      <c r="A1991" s="4" t="n"/>
      <c r="B1991" s="5">
        <f>IFERROR(MID(H1991,FIND("01",H1991)+2,14),"")</f>
        <v/>
      </c>
      <c r="C1991" s="4">
        <f>IF(A1991="","",IFERROR(VLOOKUP(B1991,TblArticles,2,FALSE),"GTIN inconnu"))</f>
        <v/>
      </c>
      <c r="D1991" s="5">
        <f>IF(A1991="","",IFERROR(VLOOKUP(B1991,TblArticles,3,FALSE),""))</f>
        <v/>
      </c>
      <c r="E1991" s="6">
        <f>IFERROR(DATE(2000+VALUE(MID(H1991,FIND("15",H1991,FIND("01",H1991)+16)+2,2)),VALUE(MID(H1991,FIND("15",H1991,FIND("01",H1991)+16)+4,2)),VALUE(MID(H1991,FIND("15",H1991,FIND("01",H1991)+16)+6,2))),"")</f>
        <v/>
      </c>
      <c r="F1991" s="5">
        <f>IFERROR(MID(H1991,FIND("10",H1991,FIND("15",H1991,FIND("01",H1991)+16)+8)+2,50),"")</f>
        <v/>
      </c>
      <c r="G1991" s="5" t="n"/>
      <c r="H1991" s="5">
        <f>SUBSTITUTE(SUBSTITUTE(SUBSTITUTE(SUBSTITUTE(A1991,"(",""),")","")," ",""),CHAR(29),"")</f>
        <v/>
      </c>
    </row>
    <row r="1992">
      <c r="A1992" s="7" t="n"/>
      <c r="B1992" s="8">
        <f>IFERROR(MID(H1992,FIND("01",H1992)+2,14),"")</f>
        <v/>
      </c>
      <c r="C1992" s="7">
        <f>IF(A1992="","",IFERROR(VLOOKUP(B1992,TblArticles,2,FALSE),"GTIN inconnu"))</f>
        <v/>
      </c>
      <c r="D1992" s="8">
        <f>IF(A1992="","",IFERROR(VLOOKUP(B1992,TblArticles,3,FALSE),""))</f>
        <v/>
      </c>
      <c r="E1992" s="9">
        <f>IFERROR(DATE(2000+VALUE(MID(H1992,FIND("15",H1992,FIND("01",H1992)+16)+2,2)),VALUE(MID(H1992,FIND("15",H1992,FIND("01",H1992)+16)+4,2)),VALUE(MID(H1992,FIND("15",H1992,FIND("01",H1992)+16)+6,2))),"")</f>
        <v/>
      </c>
      <c r="F1992" s="8">
        <f>IFERROR(MID(H1992,FIND("10",H1992,FIND("15",H1992,FIND("01",H1992)+16)+8)+2,50),"")</f>
        <v/>
      </c>
      <c r="G1992" s="8" t="n"/>
      <c r="H1992" s="8">
        <f>SUBSTITUTE(SUBSTITUTE(SUBSTITUTE(SUBSTITUTE(A1992,"(",""),")","")," ",""),CHAR(29),"")</f>
        <v/>
      </c>
    </row>
    <row r="1993">
      <c r="A1993" s="4" t="n"/>
      <c r="B1993" s="5">
        <f>IFERROR(MID(H1993,FIND("01",H1993)+2,14),"")</f>
        <v/>
      </c>
      <c r="C1993" s="4">
        <f>IF(A1993="","",IFERROR(VLOOKUP(B1993,TblArticles,2,FALSE),"GTIN inconnu"))</f>
        <v/>
      </c>
      <c r="D1993" s="5">
        <f>IF(A1993="","",IFERROR(VLOOKUP(B1993,TblArticles,3,FALSE),""))</f>
        <v/>
      </c>
      <c r="E1993" s="6">
        <f>IFERROR(DATE(2000+VALUE(MID(H1993,FIND("15",H1993,FIND("01",H1993)+16)+2,2)),VALUE(MID(H1993,FIND("15",H1993,FIND("01",H1993)+16)+4,2)),VALUE(MID(H1993,FIND("15",H1993,FIND("01",H1993)+16)+6,2))),"")</f>
        <v/>
      </c>
      <c r="F1993" s="5">
        <f>IFERROR(MID(H1993,FIND("10",H1993,FIND("15",H1993,FIND("01",H1993)+16)+8)+2,50),"")</f>
        <v/>
      </c>
      <c r="G1993" s="5" t="n"/>
      <c r="H1993" s="5">
        <f>SUBSTITUTE(SUBSTITUTE(SUBSTITUTE(SUBSTITUTE(A1993,"(",""),")","")," ",""),CHAR(29),"")</f>
        <v/>
      </c>
    </row>
    <row r="1994">
      <c r="A1994" s="7" t="n"/>
      <c r="B1994" s="8">
        <f>IFERROR(MID(H1994,FIND("01",H1994)+2,14),"")</f>
        <v/>
      </c>
      <c r="C1994" s="7">
        <f>IF(A1994="","",IFERROR(VLOOKUP(B1994,TblArticles,2,FALSE),"GTIN inconnu"))</f>
        <v/>
      </c>
      <c r="D1994" s="8">
        <f>IF(A1994="","",IFERROR(VLOOKUP(B1994,TblArticles,3,FALSE),""))</f>
        <v/>
      </c>
      <c r="E1994" s="9">
        <f>IFERROR(DATE(2000+VALUE(MID(H1994,FIND("15",H1994,FIND("01",H1994)+16)+2,2)),VALUE(MID(H1994,FIND("15",H1994,FIND("01",H1994)+16)+4,2)),VALUE(MID(H1994,FIND("15",H1994,FIND("01",H1994)+16)+6,2))),"")</f>
        <v/>
      </c>
      <c r="F1994" s="8">
        <f>IFERROR(MID(H1994,FIND("10",H1994,FIND("15",H1994,FIND("01",H1994)+16)+8)+2,50),"")</f>
        <v/>
      </c>
      <c r="G1994" s="8" t="n"/>
      <c r="H1994" s="8">
        <f>SUBSTITUTE(SUBSTITUTE(SUBSTITUTE(SUBSTITUTE(A1994,"(",""),")","")," ",""),CHAR(29),"")</f>
        <v/>
      </c>
    </row>
    <row r="1995">
      <c r="A1995" s="4" t="n"/>
      <c r="B1995" s="5">
        <f>IFERROR(MID(H1995,FIND("01",H1995)+2,14),"")</f>
        <v/>
      </c>
      <c r="C1995" s="4">
        <f>IF(A1995="","",IFERROR(VLOOKUP(B1995,TblArticles,2,FALSE),"GTIN inconnu"))</f>
        <v/>
      </c>
      <c r="D1995" s="5">
        <f>IF(A1995="","",IFERROR(VLOOKUP(B1995,TblArticles,3,FALSE),""))</f>
        <v/>
      </c>
      <c r="E1995" s="6">
        <f>IFERROR(DATE(2000+VALUE(MID(H1995,FIND("15",H1995,FIND("01",H1995)+16)+2,2)),VALUE(MID(H1995,FIND("15",H1995,FIND("01",H1995)+16)+4,2)),VALUE(MID(H1995,FIND("15",H1995,FIND("01",H1995)+16)+6,2))),"")</f>
        <v/>
      </c>
      <c r="F1995" s="5">
        <f>IFERROR(MID(H1995,FIND("10",H1995,FIND("15",H1995,FIND("01",H1995)+16)+8)+2,50),"")</f>
        <v/>
      </c>
      <c r="G1995" s="5" t="n"/>
      <c r="H1995" s="5">
        <f>SUBSTITUTE(SUBSTITUTE(SUBSTITUTE(SUBSTITUTE(A1995,"(",""),")","")," ",""),CHAR(29),"")</f>
        <v/>
      </c>
    </row>
    <row r="1996">
      <c r="A1996" s="7" t="n"/>
      <c r="B1996" s="8">
        <f>IFERROR(MID(H1996,FIND("01",H1996)+2,14),"")</f>
        <v/>
      </c>
      <c r="C1996" s="7">
        <f>IF(A1996="","",IFERROR(VLOOKUP(B1996,TblArticles,2,FALSE),"GTIN inconnu"))</f>
        <v/>
      </c>
      <c r="D1996" s="8">
        <f>IF(A1996="","",IFERROR(VLOOKUP(B1996,TblArticles,3,FALSE),""))</f>
        <v/>
      </c>
      <c r="E1996" s="9">
        <f>IFERROR(DATE(2000+VALUE(MID(H1996,FIND("15",H1996,FIND("01",H1996)+16)+2,2)),VALUE(MID(H1996,FIND("15",H1996,FIND("01",H1996)+16)+4,2)),VALUE(MID(H1996,FIND("15",H1996,FIND("01",H1996)+16)+6,2))),"")</f>
        <v/>
      </c>
      <c r="F1996" s="8">
        <f>IFERROR(MID(H1996,FIND("10",H1996,FIND("15",H1996,FIND("01",H1996)+16)+8)+2,50),"")</f>
        <v/>
      </c>
      <c r="G1996" s="8" t="n"/>
      <c r="H1996" s="8">
        <f>SUBSTITUTE(SUBSTITUTE(SUBSTITUTE(SUBSTITUTE(A1996,"(",""),")","")," ",""),CHAR(29),"")</f>
        <v/>
      </c>
    </row>
    <row r="1997">
      <c r="A1997" s="4" t="n"/>
      <c r="B1997" s="5">
        <f>IFERROR(MID(H1997,FIND("01",H1997)+2,14),"")</f>
        <v/>
      </c>
      <c r="C1997" s="4">
        <f>IF(A1997="","",IFERROR(VLOOKUP(B1997,TblArticles,2,FALSE),"GTIN inconnu"))</f>
        <v/>
      </c>
      <c r="D1997" s="5">
        <f>IF(A1997="","",IFERROR(VLOOKUP(B1997,TblArticles,3,FALSE),""))</f>
        <v/>
      </c>
      <c r="E1997" s="6">
        <f>IFERROR(DATE(2000+VALUE(MID(H1997,FIND("15",H1997,FIND("01",H1997)+16)+2,2)),VALUE(MID(H1997,FIND("15",H1997,FIND("01",H1997)+16)+4,2)),VALUE(MID(H1997,FIND("15",H1997,FIND("01",H1997)+16)+6,2))),"")</f>
        <v/>
      </c>
      <c r="F1997" s="5">
        <f>IFERROR(MID(H1997,FIND("10",H1997,FIND("15",H1997,FIND("01",H1997)+16)+8)+2,50),"")</f>
        <v/>
      </c>
      <c r="G1997" s="5" t="n"/>
      <c r="H1997" s="5">
        <f>SUBSTITUTE(SUBSTITUTE(SUBSTITUTE(SUBSTITUTE(A1997,"(",""),")","")," ",""),CHAR(29),"")</f>
        <v/>
      </c>
    </row>
    <row r="1998">
      <c r="A1998" s="7" t="n"/>
      <c r="B1998" s="8">
        <f>IFERROR(MID(H1998,FIND("01",H1998)+2,14),"")</f>
        <v/>
      </c>
      <c r="C1998" s="7">
        <f>IF(A1998="","",IFERROR(VLOOKUP(B1998,TblArticles,2,FALSE),"GTIN inconnu"))</f>
        <v/>
      </c>
      <c r="D1998" s="8">
        <f>IF(A1998="","",IFERROR(VLOOKUP(B1998,TblArticles,3,FALSE),""))</f>
        <v/>
      </c>
      <c r="E1998" s="9">
        <f>IFERROR(DATE(2000+VALUE(MID(H1998,FIND("15",H1998,FIND("01",H1998)+16)+2,2)),VALUE(MID(H1998,FIND("15",H1998,FIND("01",H1998)+16)+4,2)),VALUE(MID(H1998,FIND("15",H1998,FIND("01",H1998)+16)+6,2))),"")</f>
        <v/>
      </c>
      <c r="F1998" s="8">
        <f>IFERROR(MID(H1998,FIND("10",H1998,FIND("15",H1998,FIND("01",H1998)+16)+8)+2,50),"")</f>
        <v/>
      </c>
      <c r="G1998" s="8" t="n"/>
      <c r="H1998" s="8">
        <f>SUBSTITUTE(SUBSTITUTE(SUBSTITUTE(SUBSTITUTE(A1998,"(",""),")","")," ",""),CHAR(29),"")</f>
        <v/>
      </c>
    </row>
    <row r="1999">
      <c r="A1999" s="4" t="n"/>
      <c r="B1999" s="5">
        <f>IFERROR(MID(H1999,FIND("01",H1999)+2,14),"")</f>
        <v/>
      </c>
      <c r="C1999" s="4">
        <f>IF(A1999="","",IFERROR(VLOOKUP(B1999,TblArticles,2,FALSE),"GTIN inconnu"))</f>
        <v/>
      </c>
      <c r="D1999" s="5">
        <f>IF(A1999="","",IFERROR(VLOOKUP(B1999,TblArticles,3,FALSE),""))</f>
        <v/>
      </c>
      <c r="E1999" s="6">
        <f>IFERROR(DATE(2000+VALUE(MID(H1999,FIND("15",H1999,FIND("01",H1999)+16)+2,2)),VALUE(MID(H1999,FIND("15",H1999,FIND("01",H1999)+16)+4,2)),VALUE(MID(H1999,FIND("15",H1999,FIND("01",H1999)+16)+6,2))),"")</f>
        <v/>
      </c>
      <c r="F1999" s="5">
        <f>IFERROR(MID(H1999,FIND("10",H1999,FIND("15",H1999,FIND("01",H1999)+16)+8)+2,50),"")</f>
        <v/>
      </c>
      <c r="G1999" s="5" t="n"/>
      <c r="H1999" s="5">
        <f>SUBSTITUTE(SUBSTITUTE(SUBSTITUTE(SUBSTITUTE(A1999,"(",""),")","")," ",""),CHAR(29),"")</f>
        <v/>
      </c>
    </row>
    <row r="2000">
      <c r="A2000" s="7" t="n"/>
      <c r="B2000" s="8">
        <f>IFERROR(MID(H2000,FIND("01",H2000)+2,14),"")</f>
        <v/>
      </c>
      <c r="C2000" s="7">
        <f>IF(A2000="","",IFERROR(VLOOKUP(B2000,TblArticles,2,FALSE),"GTIN inconnu"))</f>
        <v/>
      </c>
      <c r="D2000" s="8">
        <f>IF(A2000="","",IFERROR(VLOOKUP(B2000,TblArticles,3,FALSE),""))</f>
        <v/>
      </c>
      <c r="E2000" s="9">
        <f>IFERROR(DATE(2000+VALUE(MID(H2000,FIND("15",H2000,FIND("01",H2000)+16)+2,2)),VALUE(MID(H2000,FIND("15",H2000,FIND("01",H2000)+16)+4,2)),VALUE(MID(H2000,FIND("15",H2000,FIND("01",H2000)+16)+6,2))),"")</f>
        <v/>
      </c>
      <c r="F2000" s="8">
        <f>IFERROR(MID(H2000,FIND("10",H2000,FIND("15",H2000,FIND("01",H2000)+16)+8)+2,50),"")</f>
        <v/>
      </c>
      <c r="G2000" s="8" t="n"/>
      <c r="H2000" s="8">
        <f>SUBSTITUTE(SUBSTITUTE(SUBSTITUTE(SUBSTITUTE(A2000,"(",""),")","")," ",""),CHAR(29),"")</f>
        <v/>
      </c>
    </row>
    <row r="2001">
      <c r="A2001" s="4" t="n"/>
      <c r="B2001" s="5">
        <f>IFERROR(MID(H2001,FIND("01",H2001)+2,14),"")</f>
        <v/>
      </c>
      <c r="C2001" s="4">
        <f>IF(A2001="","",IFERROR(VLOOKUP(B2001,TblArticles,2,FALSE),"GTIN inconnu"))</f>
        <v/>
      </c>
      <c r="D2001" s="5">
        <f>IF(A2001="","",IFERROR(VLOOKUP(B2001,TblArticles,3,FALSE),""))</f>
        <v/>
      </c>
      <c r="E2001" s="6">
        <f>IFERROR(DATE(2000+VALUE(MID(H2001,FIND("15",H2001,FIND("01",H2001)+16)+2,2)),VALUE(MID(H2001,FIND("15",H2001,FIND("01",H2001)+16)+4,2)),VALUE(MID(H2001,FIND("15",H2001,FIND("01",H2001)+16)+6,2))),"")</f>
        <v/>
      </c>
      <c r="F2001" s="5">
        <f>IFERROR(MID(H2001,FIND("10",H2001,FIND("15",H2001,FIND("01",H2001)+16)+8)+2,50),"")</f>
        <v/>
      </c>
      <c r="G2001" s="5" t="n"/>
      <c r="H2001" s="5">
        <f>SUBSTITUTE(SUBSTITUTE(SUBSTITUTE(SUBSTITUTE(A2001,"(",""),")","")," ",""),CHAR(29),"")</f>
        <v/>
      </c>
    </row>
    <row r="2002">
      <c r="A2002" s="7" t="n"/>
      <c r="B2002" s="8">
        <f>IFERROR(MID(H2002,FIND("01",H2002)+2,14),"")</f>
        <v/>
      </c>
      <c r="C2002" s="7">
        <f>IF(A2002="","",IFERROR(VLOOKUP(B2002,TblArticles,2,FALSE),"GTIN inconnu"))</f>
        <v/>
      </c>
      <c r="D2002" s="8">
        <f>IF(A2002="","",IFERROR(VLOOKUP(B2002,TblArticles,3,FALSE),""))</f>
        <v/>
      </c>
      <c r="E2002" s="9">
        <f>IFERROR(DATE(2000+VALUE(MID(H2002,FIND("15",H2002,FIND("01",H2002)+16)+2,2)),VALUE(MID(H2002,FIND("15",H2002,FIND("01",H2002)+16)+4,2)),VALUE(MID(H2002,FIND("15",H2002,FIND("01",H2002)+16)+6,2))),"")</f>
        <v/>
      </c>
      <c r="F2002" s="8">
        <f>IFERROR(MID(H2002,FIND("10",H2002,FIND("15",H2002,FIND("01",H2002)+16)+8)+2,50),"")</f>
        <v/>
      </c>
      <c r="G2002" s="8" t="n"/>
      <c r="H2002" s="8">
        <f>SUBSTITUTE(SUBSTITUTE(SUBSTITUTE(SUBSTITUTE(A2002,"(",""),")","")," ",""),CHAR(29),"")</f>
        <v/>
      </c>
    </row>
    <row r="2003">
      <c r="A2003" s="4" t="n"/>
      <c r="B2003" s="5">
        <f>IFERROR(MID(H2003,FIND("01",H2003)+2,14),"")</f>
        <v/>
      </c>
      <c r="C2003" s="4">
        <f>IF(A2003="","",IFERROR(VLOOKUP(B2003,TblArticles,2,FALSE),"GTIN inconnu"))</f>
        <v/>
      </c>
      <c r="D2003" s="5">
        <f>IF(A2003="","",IFERROR(VLOOKUP(B2003,TblArticles,3,FALSE),""))</f>
        <v/>
      </c>
      <c r="E2003" s="6">
        <f>IFERROR(DATE(2000+VALUE(MID(H2003,FIND("15",H2003,FIND("01",H2003)+16)+2,2)),VALUE(MID(H2003,FIND("15",H2003,FIND("01",H2003)+16)+4,2)),VALUE(MID(H2003,FIND("15",H2003,FIND("01",H2003)+16)+6,2))),"")</f>
        <v/>
      </c>
      <c r="F2003" s="5">
        <f>IFERROR(MID(H2003,FIND("10",H2003,FIND("15",H2003,FIND("01",H2003)+16)+8)+2,50),"")</f>
        <v/>
      </c>
      <c r="G2003" s="5" t="n"/>
      <c r="H2003" s="5">
        <f>SUBSTITUTE(SUBSTITUTE(SUBSTITUTE(SUBSTITUTE(A2003,"(",""),")","")," ",""),CHAR(29),"")</f>
        <v/>
      </c>
    </row>
    <row r="2004">
      <c r="A2004" s="7" t="n"/>
      <c r="B2004" s="8">
        <f>IFERROR(MID(H2004,FIND("01",H2004)+2,14),"")</f>
        <v/>
      </c>
      <c r="C2004" s="7">
        <f>IF(A2004="","",IFERROR(VLOOKUP(B2004,TblArticles,2,FALSE),"GTIN inconnu"))</f>
        <v/>
      </c>
      <c r="D2004" s="8">
        <f>IF(A2004="","",IFERROR(VLOOKUP(B2004,TblArticles,3,FALSE),""))</f>
        <v/>
      </c>
      <c r="E2004" s="9">
        <f>IFERROR(DATE(2000+VALUE(MID(H2004,FIND("15",H2004,FIND("01",H2004)+16)+2,2)),VALUE(MID(H2004,FIND("15",H2004,FIND("01",H2004)+16)+4,2)),VALUE(MID(H2004,FIND("15",H2004,FIND("01",H2004)+16)+6,2))),"")</f>
        <v/>
      </c>
      <c r="F2004" s="8">
        <f>IFERROR(MID(H2004,FIND("10",H2004,FIND("15",H2004,FIND("01",H2004)+16)+8)+2,50),"")</f>
        <v/>
      </c>
      <c r="G2004" s="8" t="n"/>
      <c r="H2004" s="8">
        <f>SUBSTITUTE(SUBSTITUTE(SUBSTITUTE(SUBSTITUTE(A2004,"(",""),")","")," ",""),CHAR(29),"")</f>
        <v/>
      </c>
    </row>
  </sheetData>
  <conditionalFormatting sqref="C5:C2004">
    <cfRule type="cellIs" priority="1" operator="equal" dxfId="0">
      <formula>"GTIN inconnu"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16" customWidth="1" min="5" max="5"/>
  </cols>
  <sheetData>
    <row r="1">
      <c r="A1" s="10" t="inlineStr">
        <is>
          <t>SYNTHÈSE PACKING LISTE — cliquez sur le bouton (ou lancez GenerateSynthese)</t>
        </is>
      </c>
    </row>
    <row r="2">
      <c r="A2" s="11" t="inlineStr">
        <is>
          <t>Cette feuille se met à jour via la macro GenerateSynthese (voir Développeur &gt; Macros).</t>
        </is>
      </c>
    </row>
    <row r="4">
      <c r="A4" s="3" t="inlineStr">
        <is>
          <t>Code article</t>
        </is>
      </c>
      <c r="B4" s="3" t="inlineStr">
        <is>
          <t>Désignation</t>
        </is>
      </c>
      <c r="C4" s="3" t="inlineStr">
        <is>
          <t>Qté / palette</t>
        </is>
      </c>
      <c r="D4" s="3" t="inlineStr">
        <is>
          <t>Palettes</t>
        </is>
      </c>
      <c r="E4" s="3" t="inlineStr">
        <is>
          <t>Quantité totale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2" customWidth="1" min="4" max="4"/>
    <col width="12" customWidth="1" min="5" max="5"/>
    <col width="11" customWidth="1" min="6" max="6"/>
  </cols>
  <sheetData>
    <row r="1">
      <c r="A1" s="10" t="inlineStr">
        <is>
          <t>DÉTAIL PALETTES PAR ARTICLE — cliquez sur le bouton (ou lancez GenerateSynthese)</t>
        </is>
      </c>
    </row>
    <row r="2">
      <c r="A2" s="11" t="inlineStr">
        <is>
          <t>Tri : palettes complètes d'abord (par lot puis n° scan), incomplètes en fin de bloc</t>
        </is>
      </c>
    </row>
    <row r="4">
      <c r="A4" s="3" t="inlineStr">
        <is>
          <t>N° palette</t>
        </is>
      </c>
      <c r="B4" s="3" t="inlineStr">
        <is>
          <t>Code article</t>
        </is>
      </c>
      <c r="C4" s="3" t="inlineStr">
        <is>
          <t>Désignation</t>
        </is>
      </c>
      <c r="D4" s="3" t="inlineStr">
        <is>
          <t>Lot</t>
        </is>
      </c>
      <c r="E4" s="3" t="inlineStr">
        <is>
          <t>DLUO</t>
        </is>
      </c>
      <c r="F4" s="3" t="inlineStr">
        <is>
          <t>Quantité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</cols>
  <sheetData>
    <row r="1">
      <c r="A1" s="3" t="inlineStr">
        <is>
          <t>GTIN</t>
        </is>
      </c>
      <c r="B1" s="3" t="inlineStr">
        <is>
          <t>Désignation</t>
        </is>
      </c>
      <c r="C1" s="3" t="inlineStr">
        <is>
          <t>Code article</t>
        </is>
      </c>
    </row>
    <row r="2">
      <c r="A2" s="4" t="inlineStr">
        <is>
          <t>13179142040244</t>
        </is>
      </c>
      <c r="B2" s="4" t="inlineStr">
        <is>
          <t>BTE150G FRUIT ASSORTX012-VA</t>
        </is>
      </c>
      <c r="C2" s="4" t="inlineStr">
        <is>
          <t>901601698</t>
        </is>
      </c>
    </row>
    <row r="3">
      <c r="A3" s="4" t="inlineStr">
        <is>
          <t>13179142040251</t>
        </is>
      </c>
      <c r="B3" s="4" t="inlineStr">
        <is>
          <t>BTE150G MACEDOINE X012-VA</t>
        </is>
      </c>
      <c r="C3" s="4" t="inlineStr">
        <is>
          <t>901601699</t>
        </is>
      </c>
    </row>
    <row r="4">
      <c r="A4" s="4" t="inlineStr">
        <is>
          <t>13179142040299</t>
        </is>
      </c>
      <c r="B4" s="4" t="inlineStr">
        <is>
          <t>BTE100G LAMELLE ORANGX12-VA</t>
        </is>
      </c>
      <c r="C4" s="4" t="inlineStr">
        <is>
          <t>901602259</t>
        </is>
      </c>
    </row>
    <row r="5">
      <c r="A5" s="4" t="inlineStr">
        <is>
          <t>13179142040305</t>
        </is>
      </c>
      <c r="B5" s="4" t="inlineStr">
        <is>
          <t>BTE150G BIGARREAUX X012-VA</t>
        </is>
      </c>
      <c r="C5" s="4" t="inlineStr">
        <is>
          <t>901602260</t>
        </is>
      </c>
    </row>
    <row r="6">
      <c r="A6" s="4" t="inlineStr">
        <is>
          <t>03179143054458</t>
        </is>
      </c>
      <c r="B6" s="4" t="inlineStr">
        <is>
          <t>BLISTER COLORANTS LIQUIDES VAHINE Espagne Portugal</t>
        </is>
      </c>
      <c r="C6" s="4" t="inlineStr">
        <is>
          <t>804880</t>
        </is>
      </c>
    </row>
    <row r="7">
      <c r="A7" s="4" t="inlineStr">
        <is>
          <t>03179143054441</t>
        </is>
      </c>
      <c r="B7" s="4" t="inlineStr">
        <is>
          <t>BLISTER COLORANTS LIQUIDES VAHINE Belgique</t>
        </is>
      </c>
      <c r="C7" s="4" t="inlineStr">
        <is>
          <t>802410</t>
        </is>
      </c>
    </row>
    <row r="8">
      <c r="A8" s="4" t="inlineStr">
        <is>
          <t>13179140633455</t>
        </is>
      </c>
      <c r="B8" s="4" t="inlineStr">
        <is>
          <t>BLISTER COLORANTS LIQUIDES VAHINE France</t>
        </is>
      </c>
      <c r="C8" s="4" t="inlineStr">
        <is>
          <t>202330</t>
        </is>
      </c>
    </row>
    <row r="9">
      <c r="A9" s="4" t="inlineStr">
        <is>
          <t>00327592305246</t>
        </is>
      </c>
      <c r="B9" s="4" t="inlineStr">
        <is>
          <t>BLIS.COLORANT PATIS. GR x12-VAHINE</t>
        </is>
      </c>
      <c r="C9" s="4" t="inlineStr">
        <is>
          <t>M010153</t>
        </is>
      </c>
    </row>
    <row r="10">
      <c r="A10" s="4" t="inlineStr">
        <is>
          <t>13179142066589</t>
        </is>
      </c>
      <c r="B10" s="4" t="inlineStr">
        <is>
          <t>PAV 20S SUCRE VANILLEX11-VA</t>
        </is>
      </c>
      <c r="C10" s="4" t="inlineStr">
        <is>
          <t>901770216</t>
        </is>
      </c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4" t="n"/>
      <c r="B41" s="4" t="n"/>
      <c r="C41" s="4" t="n"/>
    </row>
    <row r="42">
      <c r="A42" s="4" t="n"/>
      <c r="B42" s="4" t="n"/>
      <c r="C42" s="4" t="n"/>
    </row>
    <row r="43">
      <c r="A43" s="4" t="n"/>
      <c r="B43" s="4" t="n"/>
      <c r="C43" s="4" t="n"/>
    </row>
    <row r="44">
      <c r="A44" s="4" t="n"/>
      <c r="B44" s="4" t="n"/>
      <c r="C44" s="4" t="n"/>
    </row>
    <row r="45">
      <c r="A45" s="4" t="n"/>
      <c r="B45" s="4" t="n"/>
      <c r="C45" s="4" t="n"/>
    </row>
    <row r="46">
      <c r="A46" s="4" t="n"/>
      <c r="B46" s="4" t="n"/>
      <c r="C46" s="4" t="n"/>
    </row>
    <row r="47">
      <c r="A47" s="4" t="n"/>
      <c r="B47" s="4" t="n"/>
      <c r="C47" s="4" t="n"/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4" t="n"/>
      <c r="B56" s="4" t="n"/>
      <c r="C56" s="4" t="n"/>
    </row>
    <row r="57">
      <c r="A57" s="4" t="n"/>
      <c r="B57" s="4" t="n"/>
      <c r="C57" s="4" t="n"/>
    </row>
    <row r="58">
      <c r="A58" s="4" t="n"/>
      <c r="B58" s="4" t="n"/>
      <c r="C58" s="4" t="n"/>
    </row>
    <row r="59">
      <c r="A59" s="4" t="n"/>
      <c r="B59" s="4" t="n"/>
      <c r="C59" s="4" t="n"/>
    </row>
    <row r="60">
      <c r="A60" s="4" t="n"/>
      <c r="B60" s="4" t="n"/>
      <c r="C60" s="4" t="n"/>
    </row>
    <row r="61">
      <c r="A61" s="4" t="n"/>
      <c r="B61" s="4" t="n"/>
      <c r="C61" s="4" t="n"/>
    </row>
    <row r="62">
      <c r="A62" s="4" t="n"/>
      <c r="B62" s="4" t="n"/>
      <c r="C62" s="4" t="n"/>
    </row>
    <row r="63">
      <c r="A63" s="4" t="n"/>
      <c r="B63" s="4" t="n"/>
      <c r="C63" s="4" t="n"/>
    </row>
    <row r="64">
      <c r="A64" s="4" t="n"/>
      <c r="B64" s="4" t="n"/>
      <c r="C64" s="4" t="n"/>
    </row>
    <row r="65">
      <c r="A65" s="4" t="n"/>
      <c r="B65" s="4" t="n"/>
      <c r="C65" s="4" t="n"/>
    </row>
    <row r="66">
      <c r="A66" s="4" t="n"/>
      <c r="B66" s="4" t="n"/>
      <c r="C66" s="4" t="n"/>
    </row>
    <row r="67">
      <c r="A67" s="4" t="n"/>
      <c r="B67" s="4" t="n"/>
      <c r="C67" s="4" t="n"/>
    </row>
    <row r="68">
      <c r="A68" s="4" t="n"/>
      <c r="B68" s="4" t="n"/>
      <c r="C68" s="4" t="n"/>
    </row>
    <row r="69">
      <c r="A69" s="4" t="n"/>
      <c r="B69" s="4" t="n"/>
      <c r="C69" s="4" t="n"/>
    </row>
    <row r="70">
      <c r="A70" s="4" t="n"/>
      <c r="B70" s="4" t="n"/>
      <c r="C70" s="4" t="n"/>
    </row>
    <row r="71">
      <c r="A71" s="4" t="n"/>
      <c r="B71" s="4" t="n"/>
      <c r="C71" s="4" t="n"/>
    </row>
    <row r="72">
      <c r="A72" s="4" t="n"/>
      <c r="B72" s="4" t="n"/>
      <c r="C72" s="4" t="n"/>
    </row>
    <row r="73">
      <c r="A73" s="4" t="n"/>
      <c r="B73" s="4" t="n"/>
      <c r="C73" s="4" t="n"/>
    </row>
    <row r="74">
      <c r="A74" s="4" t="n"/>
      <c r="B74" s="4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2026-07-29T11:40:42Z</dcterms:created>
  <dcterms:modified xsi:type="dcterms:W3CDTF">2026-07-29T11:40:44Z</dcterms:modified>
</cp:coreProperties>
</file>