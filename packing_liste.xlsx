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an" sheetId="1" state="visible" r:id="rId1"/>
    <sheet name="Synthese" sheetId="2" state="visible" r:id="rId2"/>
    <sheet name="Detail_palettes" sheetId="3" state="visible" r:id="rId3"/>
    <sheet name="Artic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68686D"/>
    </font>
    <font>
      <name val="Arial"/>
      <b val="1"/>
      <color rgb="00FFFFFF"/>
      <sz val="13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EAF0FA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0B8C8"/>
      </left>
      <right style="thin">
        <color rgb="00B0B8C8"/>
      </right>
      <top style="thin">
        <color rgb="00B0B8C8"/>
      </top>
      <bottom style="thin">
        <color rgb="00B0B8C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C0392B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blArticles" displayName="TblArticles" ref="A1:C301" headerRowCount="1">
  <autoFilter ref="A1:C301"/>
  <tableColumns count="3">
    <tableColumn id="1" name="GTIN"/>
    <tableColumn id="2" name="Désignation"/>
    <tableColumn id="3" name="Code article"/>
  </tableColumns>
  <tableStyleInfo name="TableStyleMedium2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2" customWidth="1" min="3" max="3"/>
    <col width="14" customWidth="1" min="4" max="4"/>
    <col width="12" customWidth="1" min="5" max="5"/>
    <col width="12" customWidth="1" min="6" max="6"/>
    <col width="11" customWidth="1" min="7" max="7"/>
  </cols>
  <sheetData>
    <row r="1">
      <c r="A1" s="1" t="inlineStr">
        <is>
          <t>PACKING LISTE — SAISIE / SCAN</t>
        </is>
      </c>
    </row>
    <row r="2">
      <c r="A2" s="2" t="inlineStr">
        <is>
          <t>Scannez en colonne A : GTIN/désignation/code/DLUO/lot se remplissent seuls, quantité en G.</t>
        </is>
      </c>
    </row>
    <row r="4">
      <c r="A4" s="3" t="inlineStr">
        <is>
          <t>Code scanné</t>
        </is>
      </c>
      <c r="B4" s="3" t="inlineStr">
        <is>
          <t>GTIN</t>
        </is>
      </c>
      <c r="C4" s="3" t="inlineStr">
        <is>
          <t>Désignation</t>
        </is>
      </c>
      <c r="D4" s="3" t="inlineStr">
        <is>
          <t>Code article</t>
        </is>
      </c>
      <c r="E4" s="3" t="inlineStr">
        <is>
          <t>DLUO</t>
        </is>
      </c>
      <c r="F4" s="3" t="inlineStr">
        <is>
          <t>Lot</t>
        </is>
      </c>
      <c r="G4" s="3" t="inlineStr">
        <is>
          <t>Quantité</t>
        </is>
      </c>
    </row>
    <row r="5">
      <c r="A5" s="4" t="n"/>
      <c r="B5" s="5">
        <f>IFERROR(MID(A5,FIND("01",A5)+2,14),"")</f>
        <v/>
      </c>
      <c r="C5" s="4">
        <f>IF(A5="","",IFERROR(VLOOKUP(B5,TblArticles,2,FALSE),"GTIN inconnu"))</f>
        <v/>
      </c>
      <c r="D5" s="5">
        <f>IF(A5="","",IFERROR(VLOOKUP(B5,TblArticles,3,FALSE),""))</f>
        <v/>
      </c>
      <c r="E5" s="6">
        <f>IFERROR(DATE(2000+VALUE(MID(A5,FIND("15",A5,FIND("01",A5)+16)+2,2)),VALUE(MID(A5,FIND("15",A5,FIND("01",A5)+16)+4,2)),VALUE(MID(A5,FIND("15",A5,FIND("01",A5)+16)+6,2))),"")</f>
        <v/>
      </c>
      <c r="F5" s="5">
        <f>IFERROR(MID(A5,FIND("10",A5,FIND("15",A5,FIND("01",A5)+16)+8)+2,50),"")</f>
        <v/>
      </c>
      <c r="G5" s="5" t="n"/>
    </row>
    <row r="6">
      <c r="A6" s="7" t="n"/>
      <c r="B6" s="8">
        <f>IFERROR(MID(A6,FIND("01",A6)+2,14),"")</f>
        <v/>
      </c>
      <c r="C6" s="7">
        <f>IF(A6="","",IFERROR(VLOOKUP(B6,TblArticles,2,FALSE),"GTIN inconnu"))</f>
        <v/>
      </c>
      <c r="D6" s="8">
        <f>IF(A6="","",IFERROR(VLOOKUP(B6,TblArticles,3,FALSE),""))</f>
        <v/>
      </c>
      <c r="E6" s="9">
        <f>IFERROR(DATE(2000+VALUE(MID(A6,FIND("15",A6,FIND("01",A6)+16)+2,2)),VALUE(MID(A6,FIND("15",A6,FIND("01",A6)+16)+4,2)),VALUE(MID(A6,FIND("15",A6,FIND("01",A6)+16)+6,2))),"")</f>
        <v/>
      </c>
      <c r="F6" s="8">
        <f>IFERROR(MID(A6,FIND("10",A6,FIND("15",A6,FIND("01",A6)+16)+8)+2,50),"")</f>
        <v/>
      </c>
      <c r="G6" s="8" t="n"/>
    </row>
    <row r="7">
      <c r="A7" s="4" t="n"/>
      <c r="B7" s="5">
        <f>IFERROR(MID(A7,FIND("01",A7)+2,14),"")</f>
        <v/>
      </c>
      <c r="C7" s="4">
        <f>IF(A7="","",IFERROR(VLOOKUP(B7,TblArticles,2,FALSE),"GTIN inconnu"))</f>
        <v/>
      </c>
      <c r="D7" s="5">
        <f>IF(A7="","",IFERROR(VLOOKUP(B7,TblArticles,3,FALSE),""))</f>
        <v/>
      </c>
      <c r="E7" s="6">
        <f>IFERROR(DATE(2000+VALUE(MID(A7,FIND("15",A7,FIND("01",A7)+16)+2,2)),VALUE(MID(A7,FIND("15",A7,FIND("01",A7)+16)+4,2)),VALUE(MID(A7,FIND("15",A7,FIND("01",A7)+16)+6,2))),"")</f>
        <v/>
      </c>
      <c r="F7" s="5">
        <f>IFERROR(MID(A7,FIND("10",A7,FIND("15",A7,FIND("01",A7)+16)+8)+2,50),"")</f>
        <v/>
      </c>
      <c r="G7" s="5" t="n"/>
    </row>
    <row r="8">
      <c r="A8" s="7" t="n"/>
      <c r="B8" s="8">
        <f>IFERROR(MID(A8,FIND("01",A8)+2,14),"")</f>
        <v/>
      </c>
      <c r="C8" s="7">
        <f>IF(A8="","",IFERROR(VLOOKUP(B8,TblArticles,2,FALSE),"GTIN inconnu"))</f>
        <v/>
      </c>
      <c r="D8" s="8">
        <f>IF(A8="","",IFERROR(VLOOKUP(B8,TblArticles,3,FALSE),""))</f>
        <v/>
      </c>
      <c r="E8" s="9">
        <f>IFERROR(DATE(2000+VALUE(MID(A8,FIND("15",A8,FIND("01",A8)+16)+2,2)),VALUE(MID(A8,FIND("15",A8,FIND("01",A8)+16)+4,2)),VALUE(MID(A8,FIND("15",A8,FIND("01",A8)+16)+6,2))),"")</f>
        <v/>
      </c>
      <c r="F8" s="8">
        <f>IFERROR(MID(A8,FIND("10",A8,FIND("15",A8,FIND("01",A8)+16)+8)+2,50),"")</f>
        <v/>
      </c>
      <c r="G8" s="8" t="n"/>
    </row>
    <row r="9">
      <c r="A9" s="4" t="n"/>
      <c r="B9" s="5">
        <f>IFERROR(MID(A9,FIND("01",A9)+2,14),"")</f>
        <v/>
      </c>
      <c r="C9" s="4">
        <f>IF(A9="","",IFERROR(VLOOKUP(B9,TblArticles,2,FALSE),"GTIN inconnu"))</f>
        <v/>
      </c>
      <c r="D9" s="5">
        <f>IF(A9="","",IFERROR(VLOOKUP(B9,TblArticles,3,FALSE),""))</f>
        <v/>
      </c>
      <c r="E9" s="6">
        <f>IFERROR(DATE(2000+VALUE(MID(A9,FIND("15",A9,FIND("01",A9)+16)+2,2)),VALUE(MID(A9,FIND("15",A9,FIND("01",A9)+16)+4,2)),VALUE(MID(A9,FIND("15",A9,FIND("01",A9)+16)+6,2))),"")</f>
        <v/>
      </c>
      <c r="F9" s="5">
        <f>IFERROR(MID(A9,FIND("10",A9,FIND("15",A9,FIND("01",A9)+16)+8)+2,50),"")</f>
        <v/>
      </c>
      <c r="G9" s="5" t="n"/>
    </row>
    <row r="10">
      <c r="A10" s="7" t="n"/>
      <c r="B10" s="8">
        <f>IFERROR(MID(A10,FIND("01",A10)+2,14),"")</f>
        <v/>
      </c>
      <c r="C10" s="7">
        <f>IF(A10="","",IFERROR(VLOOKUP(B10,TblArticles,2,FALSE),"GTIN inconnu"))</f>
        <v/>
      </c>
      <c r="D10" s="8">
        <f>IF(A10="","",IFERROR(VLOOKUP(B10,TblArticles,3,FALSE),""))</f>
        <v/>
      </c>
      <c r="E10" s="9">
        <f>IFERROR(DATE(2000+VALUE(MID(A10,FIND("15",A10,FIND("01",A10)+16)+2,2)),VALUE(MID(A10,FIND("15",A10,FIND("01",A10)+16)+4,2)),VALUE(MID(A10,FIND("15",A10,FIND("01",A10)+16)+6,2))),"")</f>
        <v/>
      </c>
      <c r="F10" s="8">
        <f>IFERROR(MID(A10,FIND("10",A10,FIND("15",A10,FIND("01",A10)+16)+8)+2,50),"")</f>
        <v/>
      </c>
      <c r="G10" s="8" t="n"/>
    </row>
    <row r="11">
      <c r="A11" s="4" t="n"/>
      <c r="B11" s="5">
        <f>IFERROR(MID(A11,FIND("01",A11)+2,14),"")</f>
        <v/>
      </c>
      <c r="C11" s="4">
        <f>IF(A11="","",IFERROR(VLOOKUP(B11,TblArticles,2,FALSE),"GTIN inconnu"))</f>
        <v/>
      </c>
      <c r="D11" s="5">
        <f>IF(A11="","",IFERROR(VLOOKUP(B11,TblArticles,3,FALSE),""))</f>
        <v/>
      </c>
      <c r="E11" s="6">
        <f>IFERROR(DATE(2000+VALUE(MID(A11,FIND("15",A11,FIND("01",A11)+16)+2,2)),VALUE(MID(A11,FIND("15",A11,FIND("01",A11)+16)+4,2)),VALUE(MID(A11,FIND("15",A11,FIND("01",A11)+16)+6,2))),"")</f>
        <v/>
      </c>
      <c r="F11" s="5">
        <f>IFERROR(MID(A11,FIND("10",A11,FIND("15",A11,FIND("01",A11)+16)+8)+2,50),"")</f>
        <v/>
      </c>
      <c r="G11" s="5" t="n"/>
    </row>
    <row r="12">
      <c r="A12" s="7" t="n"/>
      <c r="B12" s="8">
        <f>IFERROR(MID(A12,FIND("01",A12)+2,14),"")</f>
        <v/>
      </c>
      <c r="C12" s="7">
        <f>IF(A12="","",IFERROR(VLOOKUP(B12,TblArticles,2,FALSE),"GTIN inconnu"))</f>
        <v/>
      </c>
      <c r="D12" s="8">
        <f>IF(A12="","",IFERROR(VLOOKUP(B12,TblArticles,3,FALSE),""))</f>
        <v/>
      </c>
      <c r="E12" s="9">
        <f>IFERROR(DATE(2000+VALUE(MID(A12,FIND("15",A12,FIND("01",A12)+16)+2,2)),VALUE(MID(A12,FIND("15",A12,FIND("01",A12)+16)+4,2)),VALUE(MID(A12,FIND("15",A12,FIND("01",A12)+16)+6,2))),"")</f>
        <v/>
      </c>
      <c r="F12" s="8">
        <f>IFERROR(MID(A12,FIND("10",A12,FIND("15",A12,FIND("01",A12)+16)+8)+2,50),"")</f>
        <v/>
      </c>
      <c r="G12" s="8" t="n"/>
    </row>
    <row r="13">
      <c r="A13" s="4" t="n"/>
      <c r="B13" s="5">
        <f>IFERROR(MID(A13,FIND("01",A13)+2,14),"")</f>
        <v/>
      </c>
      <c r="C13" s="4">
        <f>IF(A13="","",IFERROR(VLOOKUP(B13,TblArticles,2,FALSE),"GTIN inconnu"))</f>
        <v/>
      </c>
      <c r="D13" s="5">
        <f>IF(A13="","",IFERROR(VLOOKUP(B13,TblArticles,3,FALSE),""))</f>
        <v/>
      </c>
      <c r="E13" s="6">
        <f>IFERROR(DATE(2000+VALUE(MID(A13,FIND("15",A13,FIND("01",A13)+16)+2,2)),VALUE(MID(A13,FIND("15",A13,FIND("01",A13)+16)+4,2)),VALUE(MID(A13,FIND("15",A13,FIND("01",A13)+16)+6,2))),"")</f>
        <v/>
      </c>
      <c r="F13" s="5">
        <f>IFERROR(MID(A13,FIND("10",A13,FIND("15",A13,FIND("01",A13)+16)+8)+2,50),"")</f>
        <v/>
      </c>
      <c r="G13" s="5" t="n"/>
    </row>
    <row r="14">
      <c r="A14" s="7" t="n"/>
      <c r="B14" s="8">
        <f>IFERROR(MID(A14,FIND("01",A14)+2,14),"")</f>
        <v/>
      </c>
      <c r="C14" s="7">
        <f>IF(A14="","",IFERROR(VLOOKUP(B14,TblArticles,2,FALSE),"GTIN inconnu"))</f>
        <v/>
      </c>
      <c r="D14" s="8">
        <f>IF(A14="","",IFERROR(VLOOKUP(B14,TblArticles,3,FALSE),""))</f>
        <v/>
      </c>
      <c r="E14" s="9">
        <f>IFERROR(DATE(2000+VALUE(MID(A14,FIND("15",A14,FIND("01",A14)+16)+2,2)),VALUE(MID(A14,FIND("15",A14,FIND("01",A14)+16)+4,2)),VALUE(MID(A14,FIND("15",A14,FIND("01",A14)+16)+6,2))),"")</f>
        <v/>
      </c>
      <c r="F14" s="8">
        <f>IFERROR(MID(A14,FIND("10",A14,FIND("15",A14,FIND("01",A14)+16)+8)+2,50),"")</f>
        <v/>
      </c>
      <c r="G14" s="8" t="n"/>
    </row>
    <row r="15">
      <c r="A15" s="4" t="n"/>
      <c r="B15" s="5">
        <f>IFERROR(MID(A15,FIND("01",A15)+2,14),"")</f>
        <v/>
      </c>
      <c r="C15" s="4">
        <f>IF(A15="","",IFERROR(VLOOKUP(B15,TblArticles,2,FALSE),"GTIN inconnu"))</f>
        <v/>
      </c>
      <c r="D15" s="5">
        <f>IF(A15="","",IFERROR(VLOOKUP(B15,TblArticles,3,FALSE),""))</f>
        <v/>
      </c>
      <c r="E15" s="6">
        <f>IFERROR(DATE(2000+VALUE(MID(A15,FIND("15",A15,FIND("01",A15)+16)+2,2)),VALUE(MID(A15,FIND("15",A15,FIND("01",A15)+16)+4,2)),VALUE(MID(A15,FIND("15",A15,FIND("01",A15)+16)+6,2))),"")</f>
        <v/>
      </c>
      <c r="F15" s="5">
        <f>IFERROR(MID(A15,FIND("10",A15,FIND("15",A15,FIND("01",A15)+16)+8)+2,50),"")</f>
        <v/>
      </c>
      <c r="G15" s="5" t="n"/>
    </row>
    <row r="16">
      <c r="A16" s="7" t="n"/>
      <c r="B16" s="8">
        <f>IFERROR(MID(A16,FIND("01",A16)+2,14),"")</f>
        <v/>
      </c>
      <c r="C16" s="7">
        <f>IF(A16="","",IFERROR(VLOOKUP(B16,TblArticles,2,FALSE),"GTIN inconnu"))</f>
        <v/>
      </c>
      <c r="D16" s="8">
        <f>IF(A16="","",IFERROR(VLOOKUP(B16,TblArticles,3,FALSE),""))</f>
        <v/>
      </c>
      <c r="E16" s="9">
        <f>IFERROR(DATE(2000+VALUE(MID(A16,FIND("15",A16,FIND("01",A16)+16)+2,2)),VALUE(MID(A16,FIND("15",A16,FIND("01",A16)+16)+4,2)),VALUE(MID(A16,FIND("15",A16,FIND("01",A16)+16)+6,2))),"")</f>
        <v/>
      </c>
      <c r="F16" s="8">
        <f>IFERROR(MID(A16,FIND("10",A16,FIND("15",A16,FIND("01",A16)+16)+8)+2,50),"")</f>
        <v/>
      </c>
      <c r="G16" s="8" t="n"/>
    </row>
    <row r="17">
      <c r="A17" s="4" t="n"/>
      <c r="B17" s="5">
        <f>IFERROR(MID(A17,FIND("01",A17)+2,14),"")</f>
        <v/>
      </c>
      <c r="C17" s="4">
        <f>IF(A17="","",IFERROR(VLOOKUP(B17,TblArticles,2,FALSE),"GTIN inconnu"))</f>
        <v/>
      </c>
      <c r="D17" s="5">
        <f>IF(A17="","",IFERROR(VLOOKUP(B17,TblArticles,3,FALSE),""))</f>
        <v/>
      </c>
      <c r="E17" s="6">
        <f>IFERROR(DATE(2000+VALUE(MID(A17,FIND("15",A17,FIND("01",A17)+16)+2,2)),VALUE(MID(A17,FIND("15",A17,FIND("01",A17)+16)+4,2)),VALUE(MID(A17,FIND("15",A17,FIND("01",A17)+16)+6,2))),"")</f>
        <v/>
      </c>
      <c r="F17" s="5">
        <f>IFERROR(MID(A17,FIND("10",A17,FIND("15",A17,FIND("01",A17)+16)+8)+2,50),"")</f>
        <v/>
      </c>
      <c r="G17" s="5" t="n"/>
    </row>
    <row r="18">
      <c r="A18" s="7" t="n"/>
      <c r="B18" s="8">
        <f>IFERROR(MID(A18,FIND("01",A18)+2,14),"")</f>
        <v/>
      </c>
      <c r="C18" s="7">
        <f>IF(A18="","",IFERROR(VLOOKUP(B18,TblArticles,2,FALSE),"GTIN inconnu"))</f>
        <v/>
      </c>
      <c r="D18" s="8">
        <f>IF(A18="","",IFERROR(VLOOKUP(B18,TblArticles,3,FALSE),""))</f>
        <v/>
      </c>
      <c r="E18" s="9">
        <f>IFERROR(DATE(2000+VALUE(MID(A18,FIND("15",A18,FIND("01",A18)+16)+2,2)),VALUE(MID(A18,FIND("15",A18,FIND("01",A18)+16)+4,2)),VALUE(MID(A18,FIND("15",A18,FIND("01",A18)+16)+6,2))),"")</f>
        <v/>
      </c>
      <c r="F18" s="8">
        <f>IFERROR(MID(A18,FIND("10",A18,FIND("15",A18,FIND("01",A18)+16)+8)+2,50),"")</f>
        <v/>
      </c>
      <c r="G18" s="8" t="n"/>
    </row>
    <row r="19">
      <c r="A19" s="4" t="n"/>
      <c r="B19" s="5">
        <f>IFERROR(MID(A19,FIND("01",A19)+2,14),"")</f>
        <v/>
      </c>
      <c r="C19" s="4">
        <f>IF(A19="","",IFERROR(VLOOKUP(B19,TblArticles,2,FALSE),"GTIN inconnu"))</f>
        <v/>
      </c>
      <c r="D19" s="5">
        <f>IF(A19="","",IFERROR(VLOOKUP(B19,TblArticles,3,FALSE),""))</f>
        <v/>
      </c>
      <c r="E19" s="6">
        <f>IFERROR(DATE(2000+VALUE(MID(A19,FIND("15",A19,FIND("01",A19)+16)+2,2)),VALUE(MID(A19,FIND("15",A19,FIND("01",A19)+16)+4,2)),VALUE(MID(A19,FIND("15",A19,FIND("01",A19)+16)+6,2))),"")</f>
        <v/>
      </c>
      <c r="F19" s="5">
        <f>IFERROR(MID(A19,FIND("10",A19,FIND("15",A19,FIND("01",A19)+16)+8)+2,50),"")</f>
        <v/>
      </c>
      <c r="G19" s="5" t="n"/>
    </row>
    <row r="20">
      <c r="A20" s="7" t="n"/>
      <c r="B20" s="8">
        <f>IFERROR(MID(A20,FIND("01",A20)+2,14),"")</f>
        <v/>
      </c>
      <c r="C20" s="7">
        <f>IF(A20="","",IFERROR(VLOOKUP(B20,TblArticles,2,FALSE),"GTIN inconnu"))</f>
        <v/>
      </c>
      <c r="D20" s="8">
        <f>IF(A20="","",IFERROR(VLOOKUP(B20,TblArticles,3,FALSE),""))</f>
        <v/>
      </c>
      <c r="E20" s="9">
        <f>IFERROR(DATE(2000+VALUE(MID(A20,FIND("15",A20,FIND("01",A20)+16)+2,2)),VALUE(MID(A20,FIND("15",A20,FIND("01",A20)+16)+4,2)),VALUE(MID(A20,FIND("15",A20,FIND("01",A20)+16)+6,2))),"")</f>
        <v/>
      </c>
      <c r="F20" s="8">
        <f>IFERROR(MID(A20,FIND("10",A20,FIND("15",A20,FIND("01",A20)+16)+8)+2,50),"")</f>
        <v/>
      </c>
      <c r="G20" s="8" t="n"/>
    </row>
    <row r="21">
      <c r="A21" s="4" t="n"/>
      <c r="B21" s="5">
        <f>IFERROR(MID(A21,FIND("01",A21)+2,14),"")</f>
        <v/>
      </c>
      <c r="C21" s="4">
        <f>IF(A21="","",IFERROR(VLOOKUP(B21,TblArticles,2,FALSE),"GTIN inconnu"))</f>
        <v/>
      </c>
      <c r="D21" s="5">
        <f>IF(A21="","",IFERROR(VLOOKUP(B21,TblArticles,3,FALSE),""))</f>
        <v/>
      </c>
      <c r="E21" s="6">
        <f>IFERROR(DATE(2000+VALUE(MID(A21,FIND("15",A21,FIND("01",A21)+16)+2,2)),VALUE(MID(A21,FIND("15",A21,FIND("01",A21)+16)+4,2)),VALUE(MID(A21,FIND("15",A21,FIND("01",A21)+16)+6,2))),"")</f>
        <v/>
      </c>
      <c r="F21" s="5">
        <f>IFERROR(MID(A21,FIND("10",A21,FIND("15",A21,FIND("01",A21)+16)+8)+2,50),"")</f>
        <v/>
      </c>
      <c r="G21" s="5" t="n"/>
    </row>
    <row r="22">
      <c r="A22" s="7" t="n"/>
      <c r="B22" s="8">
        <f>IFERROR(MID(A22,FIND("01",A22)+2,14),"")</f>
        <v/>
      </c>
      <c r="C22" s="7">
        <f>IF(A22="","",IFERROR(VLOOKUP(B22,TblArticles,2,FALSE),"GTIN inconnu"))</f>
        <v/>
      </c>
      <c r="D22" s="8">
        <f>IF(A22="","",IFERROR(VLOOKUP(B22,TblArticles,3,FALSE),""))</f>
        <v/>
      </c>
      <c r="E22" s="9">
        <f>IFERROR(DATE(2000+VALUE(MID(A22,FIND("15",A22,FIND("01",A22)+16)+2,2)),VALUE(MID(A22,FIND("15",A22,FIND("01",A22)+16)+4,2)),VALUE(MID(A22,FIND("15",A22,FIND("01",A22)+16)+6,2))),"")</f>
        <v/>
      </c>
      <c r="F22" s="8">
        <f>IFERROR(MID(A22,FIND("10",A22,FIND("15",A22,FIND("01",A22)+16)+8)+2,50),"")</f>
        <v/>
      </c>
      <c r="G22" s="8" t="n"/>
    </row>
    <row r="23">
      <c r="A23" s="4" t="n"/>
      <c r="B23" s="5">
        <f>IFERROR(MID(A23,FIND("01",A23)+2,14),"")</f>
        <v/>
      </c>
      <c r="C23" s="4">
        <f>IF(A23="","",IFERROR(VLOOKUP(B23,TblArticles,2,FALSE),"GTIN inconnu"))</f>
        <v/>
      </c>
      <c r="D23" s="5">
        <f>IF(A23="","",IFERROR(VLOOKUP(B23,TblArticles,3,FALSE),""))</f>
        <v/>
      </c>
      <c r="E23" s="6">
        <f>IFERROR(DATE(2000+VALUE(MID(A23,FIND("15",A23,FIND("01",A23)+16)+2,2)),VALUE(MID(A23,FIND("15",A23,FIND("01",A23)+16)+4,2)),VALUE(MID(A23,FIND("15",A23,FIND("01",A23)+16)+6,2))),"")</f>
        <v/>
      </c>
      <c r="F23" s="5">
        <f>IFERROR(MID(A23,FIND("10",A23,FIND("15",A23,FIND("01",A23)+16)+8)+2,50),"")</f>
        <v/>
      </c>
      <c r="G23" s="5" t="n"/>
    </row>
    <row r="24">
      <c r="A24" s="7" t="n"/>
      <c r="B24" s="8">
        <f>IFERROR(MID(A24,FIND("01",A24)+2,14),"")</f>
        <v/>
      </c>
      <c r="C24" s="7">
        <f>IF(A24="","",IFERROR(VLOOKUP(B24,TblArticles,2,FALSE),"GTIN inconnu"))</f>
        <v/>
      </c>
      <c r="D24" s="8">
        <f>IF(A24="","",IFERROR(VLOOKUP(B24,TblArticles,3,FALSE),""))</f>
        <v/>
      </c>
      <c r="E24" s="9">
        <f>IFERROR(DATE(2000+VALUE(MID(A24,FIND("15",A24,FIND("01",A24)+16)+2,2)),VALUE(MID(A24,FIND("15",A24,FIND("01",A24)+16)+4,2)),VALUE(MID(A24,FIND("15",A24,FIND("01",A24)+16)+6,2))),"")</f>
        <v/>
      </c>
      <c r="F24" s="8">
        <f>IFERROR(MID(A24,FIND("10",A24,FIND("15",A24,FIND("01",A24)+16)+8)+2,50),"")</f>
        <v/>
      </c>
      <c r="G24" s="8" t="n"/>
    </row>
    <row r="25">
      <c r="A25" s="4" t="n"/>
      <c r="B25" s="5">
        <f>IFERROR(MID(A25,FIND("01",A25)+2,14),"")</f>
        <v/>
      </c>
      <c r="C25" s="4">
        <f>IF(A25="","",IFERROR(VLOOKUP(B25,TblArticles,2,FALSE),"GTIN inconnu"))</f>
        <v/>
      </c>
      <c r="D25" s="5">
        <f>IF(A25="","",IFERROR(VLOOKUP(B25,TblArticles,3,FALSE),""))</f>
        <v/>
      </c>
      <c r="E25" s="6">
        <f>IFERROR(DATE(2000+VALUE(MID(A25,FIND("15",A25,FIND("01",A25)+16)+2,2)),VALUE(MID(A25,FIND("15",A25,FIND("01",A25)+16)+4,2)),VALUE(MID(A25,FIND("15",A25,FIND("01",A25)+16)+6,2))),"")</f>
        <v/>
      </c>
      <c r="F25" s="5">
        <f>IFERROR(MID(A25,FIND("10",A25,FIND("15",A25,FIND("01",A25)+16)+8)+2,50),"")</f>
        <v/>
      </c>
      <c r="G25" s="5" t="n"/>
    </row>
    <row r="26">
      <c r="A26" s="7" t="n"/>
      <c r="B26" s="8">
        <f>IFERROR(MID(A26,FIND("01",A26)+2,14),"")</f>
        <v/>
      </c>
      <c r="C26" s="7">
        <f>IF(A26="","",IFERROR(VLOOKUP(B26,TblArticles,2,FALSE),"GTIN inconnu"))</f>
        <v/>
      </c>
      <c r="D26" s="8">
        <f>IF(A26="","",IFERROR(VLOOKUP(B26,TblArticles,3,FALSE),""))</f>
        <v/>
      </c>
      <c r="E26" s="9">
        <f>IFERROR(DATE(2000+VALUE(MID(A26,FIND("15",A26,FIND("01",A26)+16)+2,2)),VALUE(MID(A26,FIND("15",A26,FIND("01",A26)+16)+4,2)),VALUE(MID(A26,FIND("15",A26,FIND("01",A26)+16)+6,2))),"")</f>
        <v/>
      </c>
      <c r="F26" s="8">
        <f>IFERROR(MID(A26,FIND("10",A26,FIND("15",A26,FIND("01",A26)+16)+8)+2,50),"")</f>
        <v/>
      </c>
      <c r="G26" s="8" t="n"/>
    </row>
    <row r="27">
      <c r="A27" s="4" t="n"/>
      <c r="B27" s="5">
        <f>IFERROR(MID(A27,FIND("01",A27)+2,14),"")</f>
        <v/>
      </c>
      <c r="C27" s="4">
        <f>IF(A27="","",IFERROR(VLOOKUP(B27,TblArticles,2,FALSE),"GTIN inconnu"))</f>
        <v/>
      </c>
      <c r="D27" s="5">
        <f>IF(A27="","",IFERROR(VLOOKUP(B27,TblArticles,3,FALSE),""))</f>
        <v/>
      </c>
      <c r="E27" s="6">
        <f>IFERROR(DATE(2000+VALUE(MID(A27,FIND("15",A27,FIND("01",A27)+16)+2,2)),VALUE(MID(A27,FIND("15",A27,FIND("01",A27)+16)+4,2)),VALUE(MID(A27,FIND("15",A27,FIND("01",A27)+16)+6,2))),"")</f>
        <v/>
      </c>
      <c r="F27" s="5">
        <f>IFERROR(MID(A27,FIND("10",A27,FIND("15",A27,FIND("01",A27)+16)+8)+2,50),"")</f>
        <v/>
      </c>
      <c r="G27" s="5" t="n"/>
    </row>
    <row r="28">
      <c r="A28" s="7" t="n"/>
      <c r="B28" s="8">
        <f>IFERROR(MID(A28,FIND("01",A28)+2,14),"")</f>
        <v/>
      </c>
      <c r="C28" s="7">
        <f>IF(A28="","",IFERROR(VLOOKUP(B28,TblArticles,2,FALSE),"GTIN inconnu"))</f>
        <v/>
      </c>
      <c r="D28" s="8">
        <f>IF(A28="","",IFERROR(VLOOKUP(B28,TblArticles,3,FALSE),""))</f>
        <v/>
      </c>
      <c r="E28" s="9">
        <f>IFERROR(DATE(2000+VALUE(MID(A28,FIND("15",A28,FIND("01",A28)+16)+2,2)),VALUE(MID(A28,FIND("15",A28,FIND("01",A28)+16)+4,2)),VALUE(MID(A28,FIND("15",A28,FIND("01",A28)+16)+6,2))),"")</f>
        <v/>
      </c>
      <c r="F28" s="8">
        <f>IFERROR(MID(A28,FIND("10",A28,FIND("15",A28,FIND("01",A28)+16)+8)+2,50),"")</f>
        <v/>
      </c>
      <c r="G28" s="8" t="n"/>
    </row>
    <row r="29">
      <c r="A29" s="4" t="n"/>
      <c r="B29" s="5">
        <f>IFERROR(MID(A29,FIND("01",A29)+2,14),"")</f>
        <v/>
      </c>
      <c r="C29" s="4">
        <f>IF(A29="","",IFERROR(VLOOKUP(B29,TblArticles,2,FALSE),"GTIN inconnu"))</f>
        <v/>
      </c>
      <c r="D29" s="5">
        <f>IF(A29="","",IFERROR(VLOOKUP(B29,TblArticles,3,FALSE),""))</f>
        <v/>
      </c>
      <c r="E29" s="6">
        <f>IFERROR(DATE(2000+VALUE(MID(A29,FIND("15",A29,FIND("01",A29)+16)+2,2)),VALUE(MID(A29,FIND("15",A29,FIND("01",A29)+16)+4,2)),VALUE(MID(A29,FIND("15",A29,FIND("01",A29)+16)+6,2))),"")</f>
        <v/>
      </c>
      <c r="F29" s="5">
        <f>IFERROR(MID(A29,FIND("10",A29,FIND("15",A29,FIND("01",A29)+16)+8)+2,50),"")</f>
        <v/>
      </c>
      <c r="G29" s="5" t="n"/>
    </row>
    <row r="30">
      <c r="A30" s="7" t="n"/>
      <c r="B30" s="8">
        <f>IFERROR(MID(A30,FIND("01",A30)+2,14),"")</f>
        <v/>
      </c>
      <c r="C30" s="7">
        <f>IF(A30="","",IFERROR(VLOOKUP(B30,TblArticles,2,FALSE),"GTIN inconnu"))</f>
        <v/>
      </c>
      <c r="D30" s="8">
        <f>IF(A30="","",IFERROR(VLOOKUP(B30,TblArticles,3,FALSE),""))</f>
        <v/>
      </c>
      <c r="E30" s="9">
        <f>IFERROR(DATE(2000+VALUE(MID(A30,FIND("15",A30,FIND("01",A30)+16)+2,2)),VALUE(MID(A30,FIND("15",A30,FIND("01",A30)+16)+4,2)),VALUE(MID(A30,FIND("15",A30,FIND("01",A30)+16)+6,2))),"")</f>
        <v/>
      </c>
      <c r="F30" s="8">
        <f>IFERROR(MID(A30,FIND("10",A30,FIND("15",A30,FIND("01",A30)+16)+8)+2,50),"")</f>
        <v/>
      </c>
      <c r="G30" s="8" t="n"/>
    </row>
    <row r="31">
      <c r="A31" s="4" t="n"/>
      <c r="B31" s="5">
        <f>IFERROR(MID(A31,FIND("01",A31)+2,14),"")</f>
        <v/>
      </c>
      <c r="C31" s="4">
        <f>IF(A31="","",IFERROR(VLOOKUP(B31,TblArticles,2,FALSE),"GTIN inconnu"))</f>
        <v/>
      </c>
      <c r="D31" s="5">
        <f>IF(A31="","",IFERROR(VLOOKUP(B31,TblArticles,3,FALSE),""))</f>
        <v/>
      </c>
      <c r="E31" s="6">
        <f>IFERROR(DATE(2000+VALUE(MID(A31,FIND("15",A31,FIND("01",A31)+16)+2,2)),VALUE(MID(A31,FIND("15",A31,FIND("01",A31)+16)+4,2)),VALUE(MID(A31,FIND("15",A31,FIND("01",A31)+16)+6,2))),"")</f>
        <v/>
      </c>
      <c r="F31" s="5">
        <f>IFERROR(MID(A31,FIND("10",A31,FIND("15",A31,FIND("01",A31)+16)+8)+2,50),"")</f>
        <v/>
      </c>
      <c r="G31" s="5" t="n"/>
    </row>
    <row r="32">
      <c r="A32" s="7" t="n"/>
      <c r="B32" s="8">
        <f>IFERROR(MID(A32,FIND("01",A32)+2,14),"")</f>
        <v/>
      </c>
      <c r="C32" s="7">
        <f>IF(A32="","",IFERROR(VLOOKUP(B32,TblArticles,2,FALSE),"GTIN inconnu"))</f>
        <v/>
      </c>
      <c r="D32" s="8">
        <f>IF(A32="","",IFERROR(VLOOKUP(B32,TblArticles,3,FALSE),""))</f>
        <v/>
      </c>
      <c r="E32" s="9">
        <f>IFERROR(DATE(2000+VALUE(MID(A32,FIND("15",A32,FIND("01",A32)+16)+2,2)),VALUE(MID(A32,FIND("15",A32,FIND("01",A32)+16)+4,2)),VALUE(MID(A32,FIND("15",A32,FIND("01",A32)+16)+6,2))),"")</f>
        <v/>
      </c>
      <c r="F32" s="8">
        <f>IFERROR(MID(A32,FIND("10",A32,FIND("15",A32,FIND("01",A32)+16)+8)+2,50),"")</f>
        <v/>
      </c>
      <c r="G32" s="8" t="n"/>
    </row>
    <row r="33">
      <c r="A33" s="4" t="n"/>
      <c r="B33" s="5">
        <f>IFERROR(MID(A33,FIND("01",A33)+2,14),"")</f>
        <v/>
      </c>
      <c r="C33" s="4">
        <f>IF(A33="","",IFERROR(VLOOKUP(B33,TblArticles,2,FALSE),"GTIN inconnu"))</f>
        <v/>
      </c>
      <c r="D33" s="5">
        <f>IF(A33="","",IFERROR(VLOOKUP(B33,TblArticles,3,FALSE),""))</f>
        <v/>
      </c>
      <c r="E33" s="6">
        <f>IFERROR(DATE(2000+VALUE(MID(A33,FIND("15",A33,FIND("01",A33)+16)+2,2)),VALUE(MID(A33,FIND("15",A33,FIND("01",A33)+16)+4,2)),VALUE(MID(A33,FIND("15",A33,FIND("01",A33)+16)+6,2))),"")</f>
        <v/>
      </c>
      <c r="F33" s="5">
        <f>IFERROR(MID(A33,FIND("10",A33,FIND("15",A33,FIND("01",A33)+16)+8)+2,50),"")</f>
        <v/>
      </c>
      <c r="G33" s="5" t="n"/>
    </row>
    <row r="34">
      <c r="A34" s="7" t="n"/>
      <c r="B34" s="8">
        <f>IFERROR(MID(A34,FIND("01",A34)+2,14),"")</f>
        <v/>
      </c>
      <c r="C34" s="7">
        <f>IF(A34="","",IFERROR(VLOOKUP(B34,TblArticles,2,FALSE),"GTIN inconnu"))</f>
        <v/>
      </c>
      <c r="D34" s="8">
        <f>IF(A34="","",IFERROR(VLOOKUP(B34,TblArticles,3,FALSE),""))</f>
        <v/>
      </c>
      <c r="E34" s="9">
        <f>IFERROR(DATE(2000+VALUE(MID(A34,FIND("15",A34,FIND("01",A34)+16)+2,2)),VALUE(MID(A34,FIND("15",A34,FIND("01",A34)+16)+4,2)),VALUE(MID(A34,FIND("15",A34,FIND("01",A34)+16)+6,2))),"")</f>
        <v/>
      </c>
      <c r="F34" s="8">
        <f>IFERROR(MID(A34,FIND("10",A34,FIND("15",A34,FIND("01",A34)+16)+8)+2,50),"")</f>
        <v/>
      </c>
      <c r="G34" s="8" t="n"/>
    </row>
    <row r="35">
      <c r="A35" s="4" t="n"/>
      <c r="B35" s="5">
        <f>IFERROR(MID(A35,FIND("01",A35)+2,14),"")</f>
        <v/>
      </c>
      <c r="C35" s="4">
        <f>IF(A35="","",IFERROR(VLOOKUP(B35,TblArticles,2,FALSE),"GTIN inconnu"))</f>
        <v/>
      </c>
      <c r="D35" s="5">
        <f>IF(A35="","",IFERROR(VLOOKUP(B35,TblArticles,3,FALSE),""))</f>
        <v/>
      </c>
      <c r="E35" s="6">
        <f>IFERROR(DATE(2000+VALUE(MID(A35,FIND("15",A35,FIND("01",A35)+16)+2,2)),VALUE(MID(A35,FIND("15",A35,FIND("01",A35)+16)+4,2)),VALUE(MID(A35,FIND("15",A35,FIND("01",A35)+16)+6,2))),"")</f>
        <v/>
      </c>
      <c r="F35" s="5">
        <f>IFERROR(MID(A35,FIND("10",A35,FIND("15",A35,FIND("01",A35)+16)+8)+2,50),"")</f>
        <v/>
      </c>
      <c r="G35" s="5" t="n"/>
    </row>
    <row r="36">
      <c r="A36" s="7" t="n"/>
      <c r="B36" s="8">
        <f>IFERROR(MID(A36,FIND("01",A36)+2,14),"")</f>
        <v/>
      </c>
      <c r="C36" s="7">
        <f>IF(A36="","",IFERROR(VLOOKUP(B36,TblArticles,2,FALSE),"GTIN inconnu"))</f>
        <v/>
      </c>
      <c r="D36" s="8">
        <f>IF(A36="","",IFERROR(VLOOKUP(B36,TblArticles,3,FALSE),""))</f>
        <v/>
      </c>
      <c r="E36" s="9">
        <f>IFERROR(DATE(2000+VALUE(MID(A36,FIND("15",A36,FIND("01",A36)+16)+2,2)),VALUE(MID(A36,FIND("15",A36,FIND("01",A36)+16)+4,2)),VALUE(MID(A36,FIND("15",A36,FIND("01",A36)+16)+6,2))),"")</f>
        <v/>
      </c>
      <c r="F36" s="8">
        <f>IFERROR(MID(A36,FIND("10",A36,FIND("15",A36,FIND("01",A36)+16)+8)+2,50),"")</f>
        <v/>
      </c>
      <c r="G36" s="8" t="n"/>
    </row>
    <row r="37">
      <c r="A37" s="4" t="n"/>
      <c r="B37" s="5">
        <f>IFERROR(MID(A37,FIND("01",A37)+2,14),"")</f>
        <v/>
      </c>
      <c r="C37" s="4">
        <f>IF(A37="","",IFERROR(VLOOKUP(B37,TblArticles,2,FALSE),"GTIN inconnu"))</f>
        <v/>
      </c>
      <c r="D37" s="5">
        <f>IF(A37="","",IFERROR(VLOOKUP(B37,TblArticles,3,FALSE),""))</f>
        <v/>
      </c>
      <c r="E37" s="6">
        <f>IFERROR(DATE(2000+VALUE(MID(A37,FIND("15",A37,FIND("01",A37)+16)+2,2)),VALUE(MID(A37,FIND("15",A37,FIND("01",A37)+16)+4,2)),VALUE(MID(A37,FIND("15",A37,FIND("01",A37)+16)+6,2))),"")</f>
        <v/>
      </c>
      <c r="F37" s="5">
        <f>IFERROR(MID(A37,FIND("10",A37,FIND("15",A37,FIND("01",A37)+16)+8)+2,50),"")</f>
        <v/>
      </c>
      <c r="G37" s="5" t="n"/>
    </row>
    <row r="38">
      <c r="A38" s="7" t="n"/>
      <c r="B38" s="8">
        <f>IFERROR(MID(A38,FIND("01",A38)+2,14),"")</f>
        <v/>
      </c>
      <c r="C38" s="7">
        <f>IF(A38="","",IFERROR(VLOOKUP(B38,TblArticles,2,FALSE),"GTIN inconnu"))</f>
        <v/>
      </c>
      <c r="D38" s="8">
        <f>IF(A38="","",IFERROR(VLOOKUP(B38,TblArticles,3,FALSE),""))</f>
        <v/>
      </c>
      <c r="E38" s="9">
        <f>IFERROR(DATE(2000+VALUE(MID(A38,FIND("15",A38,FIND("01",A38)+16)+2,2)),VALUE(MID(A38,FIND("15",A38,FIND("01",A38)+16)+4,2)),VALUE(MID(A38,FIND("15",A38,FIND("01",A38)+16)+6,2))),"")</f>
        <v/>
      </c>
      <c r="F38" s="8">
        <f>IFERROR(MID(A38,FIND("10",A38,FIND("15",A38,FIND("01",A38)+16)+8)+2,50),"")</f>
        <v/>
      </c>
      <c r="G38" s="8" t="n"/>
    </row>
    <row r="39">
      <c r="A39" s="4" t="n"/>
      <c r="B39" s="5">
        <f>IFERROR(MID(A39,FIND("01",A39)+2,14),"")</f>
        <v/>
      </c>
      <c r="C39" s="4">
        <f>IF(A39="","",IFERROR(VLOOKUP(B39,TblArticles,2,FALSE),"GTIN inconnu"))</f>
        <v/>
      </c>
      <c r="D39" s="5">
        <f>IF(A39="","",IFERROR(VLOOKUP(B39,TblArticles,3,FALSE),""))</f>
        <v/>
      </c>
      <c r="E39" s="6">
        <f>IFERROR(DATE(2000+VALUE(MID(A39,FIND("15",A39,FIND("01",A39)+16)+2,2)),VALUE(MID(A39,FIND("15",A39,FIND("01",A39)+16)+4,2)),VALUE(MID(A39,FIND("15",A39,FIND("01",A39)+16)+6,2))),"")</f>
        <v/>
      </c>
      <c r="F39" s="5">
        <f>IFERROR(MID(A39,FIND("10",A39,FIND("15",A39,FIND("01",A39)+16)+8)+2,50),"")</f>
        <v/>
      </c>
      <c r="G39" s="5" t="n"/>
    </row>
    <row r="40">
      <c r="A40" s="7" t="n"/>
      <c r="B40" s="8">
        <f>IFERROR(MID(A40,FIND("01",A40)+2,14),"")</f>
        <v/>
      </c>
      <c r="C40" s="7">
        <f>IF(A40="","",IFERROR(VLOOKUP(B40,TblArticles,2,FALSE),"GTIN inconnu"))</f>
        <v/>
      </c>
      <c r="D40" s="8">
        <f>IF(A40="","",IFERROR(VLOOKUP(B40,TblArticles,3,FALSE),""))</f>
        <v/>
      </c>
      <c r="E40" s="9">
        <f>IFERROR(DATE(2000+VALUE(MID(A40,FIND("15",A40,FIND("01",A40)+16)+2,2)),VALUE(MID(A40,FIND("15",A40,FIND("01",A40)+16)+4,2)),VALUE(MID(A40,FIND("15",A40,FIND("01",A40)+16)+6,2))),"")</f>
        <v/>
      </c>
      <c r="F40" s="8">
        <f>IFERROR(MID(A40,FIND("10",A40,FIND("15",A40,FIND("01",A40)+16)+8)+2,50),"")</f>
        <v/>
      </c>
      <c r="G40" s="8" t="n"/>
    </row>
    <row r="41">
      <c r="A41" s="4" t="n"/>
      <c r="B41" s="5">
        <f>IFERROR(MID(A41,FIND("01",A41)+2,14),"")</f>
        <v/>
      </c>
      <c r="C41" s="4">
        <f>IF(A41="","",IFERROR(VLOOKUP(B41,TblArticles,2,FALSE),"GTIN inconnu"))</f>
        <v/>
      </c>
      <c r="D41" s="5">
        <f>IF(A41="","",IFERROR(VLOOKUP(B41,TblArticles,3,FALSE),""))</f>
        <v/>
      </c>
      <c r="E41" s="6">
        <f>IFERROR(DATE(2000+VALUE(MID(A41,FIND("15",A41,FIND("01",A41)+16)+2,2)),VALUE(MID(A41,FIND("15",A41,FIND("01",A41)+16)+4,2)),VALUE(MID(A41,FIND("15",A41,FIND("01",A41)+16)+6,2))),"")</f>
        <v/>
      </c>
      <c r="F41" s="5">
        <f>IFERROR(MID(A41,FIND("10",A41,FIND("15",A41,FIND("01",A41)+16)+8)+2,50),"")</f>
        <v/>
      </c>
      <c r="G41" s="5" t="n"/>
    </row>
    <row r="42">
      <c r="A42" s="7" t="n"/>
      <c r="B42" s="8">
        <f>IFERROR(MID(A42,FIND("01",A42)+2,14),"")</f>
        <v/>
      </c>
      <c r="C42" s="7">
        <f>IF(A42="","",IFERROR(VLOOKUP(B42,TblArticles,2,FALSE),"GTIN inconnu"))</f>
        <v/>
      </c>
      <c r="D42" s="8">
        <f>IF(A42="","",IFERROR(VLOOKUP(B42,TblArticles,3,FALSE),""))</f>
        <v/>
      </c>
      <c r="E42" s="9">
        <f>IFERROR(DATE(2000+VALUE(MID(A42,FIND("15",A42,FIND("01",A42)+16)+2,2)),VALUE(MID(A42,FIND("15",A42,FIND("01",A42)+16)+4,2)),VALUE(MID(A42,FIND("15",A42,FIND("01",A42)+16)+6,2))),"")</f>
        <v/>
      </c>
      <c r="F42" s="8">
        <f>IFERROR(MID(A42,FIND("10",A42,FIND("15",A42,FIND("01",A42)+16)+8)+2,50),"")</f>
        <v/>
      </c>
      <c r="G42" s="8" t="n"/>
    </row>
    <row r="43">
      <c r="A43" s="4" t="n"/>
      <c r="B43" s="5">
        <f>IFERROR(MID(A43,FIND("01",A43)+2,14),"")</f>
        <v/>
      </c>
      <c r="C43" s="4">
        <f>IF(A43="","",IFERROR(VLOOKUP(B43,TblArticles,2,FALSE),"GTIN inconnu"))</f>
        <v/>
      </c>
      <c r="D43" s="5">
        <f>IF(A43="","",IFERROR(VLOOKUP(B43,TblArticles,3,FALSE),""))</f>
        <v/>
      </c>
      <c r="E43" s="6">
        <f>IFERROR(DATE(2000+VALUE(MID(A43,FIND("15",A43,FIND("01",A43)+16)+2,2)),VALUE(MID(A43,FIND("15",A43,FIND("01",A43)+16)+4,2)),VALUE(MID(A43,FIND("15",A43,FIND("01",A43)+16)+6,2))),"")</f>
        <v/>
      </c>
      <c r="F43" s="5">
        <f>IFERROR(MID(A43,FIND("10",A43,FIND("15",A43,FIND("01",A43)+16)+8)+2,50),"")</f>
        <v/>
      </c>
      <c r="G43" s="5" t="n"/>
    </row>
    <row r="44">
      <c r="A44" s="7" t="n"/>
      <c r="B44" s="8">
        <f>IFERROR(MID(A44,FIND("01",A44)+2,14),"")</f>
        <v/>
      </c>
      <c r="C44" s="7">
        <f>IF(A44="","",IFERROR(VLOOKUP(B44,TblArticles,2,FALSE),"GTIN inconnu"))</f>
        <v/>
      </c>
      <c r="D44" s="8">
        <f>IF(A44="","",IFERROR(VLOOKUP(B44,TblArticles,3,FALSE),""))</f>
        <v/>
      </c>
      <c r="E44" s="9">
        <f>IFERROR(DATE(2000+VALUE(MID(A44,FIND("15",A44,FIND("01",A44)+16)+2,2)),VALUE(MID(A44,FIND("15",A44,FIND("01",A44)+16)+4,2)),VALUE(MID(A44,FIND("15",A44,FIND("01",A44)+16)+6,2))),"")</f>
        <v/>
      </c>
      <c r="F44" s="8">
        <f>IFERROR(MID(A44,FIND("10",A44,FIND("15",A44,FIND("01",A44)+16)+8)+2,50),"")</f>
        <v/>
      </c>
      <c r="G44" s="8" t="n"/>
    </row>
    <row r="45">
      <c r="A45" s="4" t="n"/>
      <c r="B45" s="5">
        <f>IFERROR(MID(A45,FIND("01",A45)+2,14),"")</f>
        <v/>
      </c>
      <c r="C45" s="4">
        <f>IF(A45="","",IFERROR(VLOOKUP(B45,TblArticles,2,FALSE),"GTIN inconnu"))</f>
        <v/>
      </c>
      <c r="D45" s="5">
        <f>IF(A45="","",IFERROR(VLOOKUP(B45,TblArticles,3,FALSE),""))</f>
        <v/>
      </c>
      <c r="E45" s="6">
        <f>IFERROR(DATE(2000+VALUE(MID(A45,FIND("15",A45,FIND("01",A45)+16)+2,2)),VALUE(MID(A45,FIND("15",A45,FIND("01",A45)+16)+4,2)),VALUE(MID(A45,FIND("15",A45,FIND("01",A45)+16)+6,2))),"")</f>
        <v/>
      </c>
      <c r="F45" s="5">
        <f>IFERROR(MID(A45,FIND("10",A45,FIND("15",A45,FIND("01",A45)+16)+8)+2,50),"")</f>
        <v/>
      </c>
      <c r="G45" s="5" t="n"/>
    </row>
    <row r="46">
      <c r="A46" s="7" t="n"/>
      <c r="B46" s="8">
        <f>IFERROR(MID(A46,FIND("01",A46)+2,14),"")</f>
        <v/>
      </c>
      <c r="C46" s="7">
        <f>IF(A46="","",IFERROR(VLOOKUP(B46,TblArticles,2,FALSE),"GTIN inconnu"))</f>
        <v/>
      </c>
      <c r="D46" s="8">
        <f>IF(A46="","",IFERROR(VLOOKUP(B46,TblArticles,3,FALSE),""))</f>
        <v/>
      </c>
      <c r="E46" s="9">
        <f>IFERROR(DATE(2000+VALUE(MID(A46,FIND("15",A46,FIND("01",A46)+16)+2,2)),VALUE(MID(A46,FIND("15",A46,FIND("01",A46)+16)+4,2)),VALUE(MID(A46,FIND("15",A46,FIND("01",A46)+16)+6,2))),"")</f>
        <v/>
      </c>
      <c r="F46" s="8">
        <f>IFERROR(MID(A46,FIND("10",A46,FIND("15",A46,FIND("01",A46)+16)+8)+2,50),"")</f>
        <v/>
      </c>
      <c r="G46" s="8" t="n"/>
    </row>
    <row r="47">
      <c r="A47" s="4" t="n"/>
      <c r="B47" s="5">
        <f>IFERROR(MID(A47,FIND("01",A47)+2,14),"")</f>
        <v/>
      </c>
      <c r="C47" s="4">
        <f>IF(A47="","",IFERROR(VLOOKUP(B47,TblArticles,2,FALSE),"GTIN inconnu"))</f>
        <v/>
      </c>
      <c r="D47" s="5">
        <f>IF(A47="","",IFERROR(VLOOKUP(B47,TblArticles,3,FALSE),""))</f>
        <v/>
      </c>
      <c r="E47" s="6">
        <f>IFERROR(DATE(2000+VALUE(MID(A47,FIND("15",A47,FIND("01",A47)+16)+2,2)),VALUE(MID(A47,FIND("15",A47,FIND("01",A47)+16)+4,2)),VALUE(MID(A47,FIND("15",A47,FIND("01",A47)+16)+6,2))),"")</f>
        <v/>
      </c>
      <c r="F47" s="5">
        <f>IFERROR(MID(A47,FIND("10",A47,FIND("15",A47,FIND("01",A47)+16)+8)+2,50),"")</f>
        <v/>
      </c>
      <c r="G47" s="5" t="n"/>
    </row>
    <row r="48">
      <c r="A48" s="7" t="n"/>
      <c r="B48" s="8">
        <f>IFERROR(MID(A48,FIND("01",A48)+2,14),"")</f>
        <v/>
      </c>
      <c r="C48" s="7">
        <f>IF(A48="","",IFERROR(VLOOKUP(B48,TblArticles,2,FALSE),"GTIN inconnu"))</f>
        <v/>
      </c>
      <c r="D48" s="8">
        <f>IF(A48="","",IFERROR(VLOOKUP(B48,TblArticles,3,FALSE),""))</f>
        <v/>
      </c>
      <c r="E48" s="9">
        <f>IFERROR(DATE(2000+VALUE(MID(A48,FIND("15",A48,FIND("01",A48)+16)+2,2)),VALUE(MID(A48,FIND("15",A48,FIND("01",A48)+16)+4,2)),VALUE(MID(A48,FIND("15",A48,FIND("01",A48)+16)+6,2))),"")</f>
        <v/>
      </c>
      <c r="F48" s="8">
        <f>IFERROR(MID(A48,FIND("10",A48,FIND("15",A48,FIND("01",A48)+16)+8)+2,50),"")</f>
        <v/>
      </c>
      <c r="G48" s="8" t="n"/>
    </row>
    <row r="49">
      <c r="A49" s="4" t="n"/>
      <c r="B49" s="5">
        <f>IFERROR(MID(A49,FIND("01",A49)+2,14),"")</f>
        <v/>
      </c>
      <c r="C49" s="4">
        <f>IF(A49="","",IFERROR(VLOOKUP(B49,TblArticles,2,FALSE),"GTIN inconnu"))</f>
        <v/>
      </c>
      <c r="D49" s="5">
        <f>IF(A49="","",IFERROR(VLOOKUP(B49,TblArticles,3,FALSE),""))</f>
        <v/>
      </c>
      <c r="E49" s="6">
        <f>IFERROR(DATE(2000+VALUE(MID(A49,FIND("15",A49,FIND("01",A49)+16)+2,2)),VALUE(MID(A49,FIND("15",A49,FIND("01",A49)+16)+4,2)),VALUE(MID(A49,FIND("15",A49,FIND("01",A49)+16)+6,2))),"")</f>
        <v/>
      </c>
      <c r="F49" s="5">
        <f>IFERROR(MID(A49,FIND("10",A49,FIND("15",A49,FIND("01",A49)+16)+8)+2,50),"")</f>
        <v/>
      </c>
      <c r="G49" s="5" t="n"/>
    </row>
    <row r="50">
      <c r="A50" s="7" t="n"/>
      <c r="B50" s="8">
        <f>IFERROR(MID(A50,FIND("01",A50)+2,14),"")</f>
        <v/>
      </c>
      <c r="C50" s="7">
        <f>IF(A50="","",IFERROR(VLOOKUP(B50,TblArticles,2,FALSE),"GTIN inconnu"))</f>
        <v/>
      </c>
      <c r="D50" s="8">
        <f>IF(A50="","",IFERROR(VLOOKUP(B50,TblArticles,3,FALSE),""))</f>
        <v/>
      </c>
      <c r="E50" s="9">
        <f>IFERROR(DATE(2000+VALUE(MID(A50,FIND("15",A50,FIND("01",A50)+16)+2,2)),VALUE(MID(A50,FIND("15",A50,FIND("01",A50)+16)+4,2)),VALUE(MID(A50,FIND("15",A50,FIND("01",A50)+16)+6,2))),"")</f>
        <v/>
      </c>
      <c r="F50" s="8">
        <f>IFERROR(MID(A50,FIND("10",A50,FIND("15",A50,FIND("01",A50)+16)+8)+2,50),"")</f>
        <v/>
      </c>
      <c r="G50" s="8" t="n"/>
    </row>
    <row r="51">
      <c r="A51" s="4" t="n"/>
      <c r="B51" s="5">
        <f>IFERROR(MID(A51,FIND("01",A51)+2,14),"")</f>
        <v/>
      </c>
      <c r="C51" s="4">
        <f>IF(A51="","",IFERROR(VLOOKUP(B51,TblArticles,2,FALSE),"GTIN inconnu"))</f>
        <v/>
      </c>
      <c r="D51" s="5">
        <f>IF(A51="","",IFERROR(VLOOKUP(B51,TblArticles,3,FALSE),""))</f>
        <v/>
      </c>
      <c r="E51" s="6">
        <f>IFERROR(DATE(2000+VALUE(MID(A51,FIND("15",A51,FIND("01",A51)+16)+2,2)),VALUE(MID(A51,FIND("15",A51,FIND("01",A51)+16)+4,2)),VALUE(MID(A51,FIND("15",A51,FIND("01",A51)+16)+6,2))),"")</f>
        <v/>
      </c>
      <c r="F51" s="5">
        <f>IFERROR(MID(A51,FIND("10",A51,FIND("15",A51,FIND("01",A51)+16)+8)+2,50),"")</f>
        <v/>
      </c>
      <c r="G51" s="5" t="n"/>
    </row>
    <row r="52">
      <c r="A52" s="7" t="n"/>
      <c r="B52" s="8">
        <f>IFERROR(MID(A52,FIND("01",A52)+2,14),"")</f>
        <v/>
      </c>
      <c r="C52" s="7">
        <f>IF(A52="","",IFERROR(VLOOKUP(B52,TblArticles,2,FALSE),"GTIN inconnu"))</f>
        <v/>
      </c>
      <c r="D52" s="8">
        <f>IF(A52="","",IFERROR(VLOOKUP(B52,TblArticles,3,FALSE),""))</f>
        <v/>
      </c>
      <c r="E52" s="9">
        <f>IFERROR(DATE(2000+VALUE(MID(A52,FIND("15",A52,FIND("01",A52)+16)+2,2)),VALUE(MID(A52,FIND("15",A52,FIND("01",A52)+16)+4,2)),VALUE(MID(A52,FIND("15",A52,FIND("01",A52)+16)+6,2))),"")</f>
        <v/>
      </c>
      <c r="F52" s="8">
        <f>IFERROR(MID(A52,FIND("10",A52,FIND("15",A52,FIND("01",A52)+16)+8)+2,50),"")</f>
        <v/>
      </c>
      <c r="G52" s="8" t="n"/>
    </row>
    <row r="53">
      <c r="A53" s="4" t="n"/>
      <c r="B53" s="5">
        <f>IFERROR(MID(A53,FIND("01",A53)+2,14),"")</f>
        <v/>
      </c>
      <c r="C53" s="4">
        <f>IF(A53="","",IFERROR(VLOOKUP(B53,TblArticles,2,FALSE),"GTIN inconnu"))</f>
        <v/>
      </c>
      <c r="D53" s="5">
        <f>IF(A53="","",IFERROR(VLOOKUP(B53,TblArticles,3,FALSE),""))</f>
        <v/>
      </c>
      <c r="E53" s="6">
        <f>IFERROR(DATE(2000+VALUE(MID(A53,FIND("15",A53,FIND("01",A53)+16)+2,2)),VALUE(MID(A53,FIND("15",A53,FIND("01",A53)+16)+4,2)),VALUE(MID(A53,FIND("15",A53,FIND("01",A53)+16)+6,2))),"")</f>
        <v/>
      </c>
      <c r="F53" s="5">
        <f>IFERROR(MID(A53,FIND("10",A53,FIND("15",A53,FIND("01",A53)+16)+8)+2,50),"")</f>
        <v/>
      </c>
      <c r="G53" s="5" t="n"/>
    </row>
    <row r="54">
      <c r="A54" s="7" t="n"/>
      <c r="B54" s="8">
        <f>IFERROR(MID(A54,FIND("01",A54)+2,14),"")</f>
        <v/>
      </c>
      <c r="C54" s="7">
        <f>IF(A54="","",IFERROR(VLOOKUP(B54,TblArticles,2,FALSE),"GTIN inconnu"))</f>
        <v/>
      </c>
      <c r="D54" s="8">
        <f>IF(A54="","",IFERROR(VLOOKUP(B54,TblArticles,3,FALSE),""))</f>
        <v/>
      </c>
      <c r="E54" s="9">
        <f>IFERROR(DATE(2000+VALUE(MID(A54,FIND("15",A54,FIND("01",A54)+16)+2,2)),VALUE(MID(A54,FIND("15",A54,FIND("01",A54)+16)+4,2)),VALUE(MID(A54,FIND("15",A54,FIND("01",A54)+16)+6,2))),"")</f>
        <v/>
      </c>
      <c r="F54" s="8">
        <f>IFERROR(MID(A54,FIND("10",A54,FIND("15",A54,FIND("01",A54)+16)+8)+2,50),"")</f>
        <v/>
      </c>
      <c r="G54" s="8" t="n"/>
    </row>
    <row r="55">
      <c r="A55" s="4" t="n"/>
      <c r="B55" s="5">
        <f>IFERROR(MID(A55,FIND("01",A55)+2,14),"")</f>
        <v/>
      </c>
      <c r="C55" s="4">
        <f>IF(A55="","",IFERROR(VLOOKUP(B55,TblArticles,2,FALSE),"GTIN inconnu"))</f>
        <v/>
      </c>
      <c r="D55" s="5">
        <f>IF(A55="","",IFERROR(VLOOKUP(B55,TblArticles,3,FALSE),""))</f>
        <v/>
      </c>
      <c r="E55" s="6">
        <f>IFERROR(DATE(2000+VALUE(MID(A55,FIND("15",A55,FIND("01",A55)+16)+2,2)),VALUE(MID(A55,FIND("15",A55,FIND("01",A55)+16)+4,2)),VALUE(MID(A55,FIND("15",A55,FIND("01",A55)+16)+6,2))),"")</f>
        <v/>
      </c>
      <c r="F55" s="5">
        <f>IFERROR(MID(A55,FIND("10",A55,FIND("15",A55,FIND("01",A55)+16)+8)+2,50),"")</f>
        <v/>
      </c>
      <c r="G55" s="5" t="n"/>
    </row>
    <row r="56">
      <c r="A56" s="7" t="n"/>
      <c r="B56" s="8">
        <f>IFERROR(MID(A56,FIND("01",A56)+2,14),"")</f>
        <v/>
      </c>
      <c r="C56" s="7">
        <f>IF(A56="","",IFERROR(VLOOKUP(B56,TblArticles,2,FALSE),"GTIN inconnu"))</f>
        <v/>
      </c>
      <c r="D56" s="8">
        <f>IF(A56="","",IFERROR(VLOOKUP(B56,TblArticles,3,FALSE),""))</f>
        <v/>
      </c>
      <c r="E56" s="9">
        <f>IFERROR(DATE(2000+VALUE(MID(A56,FIND("15",A56,FIND("01",A56)+16)+2,2)),VALUE(MID(A56,FIND("15",A56,FIND("01",A56)+16)+4,2)),VALUE(MID(A56,FIND("15",A56,FIND("01",A56)+16)+6,2))),"")</f>
        <v/>
      </c>
      <c r="F56" s="8">
        <f>IFERROR(MID(A56,FIND("10",A56,FIND("15",A56,FIND("01",A56)+16)+8)+2,50),"")</f>
        <v/>
      </c>
      <c r="G56" s="8" t="n"/>
    </row>
    <row r="57">
      <c r="A57" s="4" t="n"/>
      <c r="B57" s="5">
        <f>IFERROR(MID(A57,FIND("01",A57)+2,14),"")</f>
        <v/>
      </c>
      <c r="C57" s="4">
        <f>IF(A57="","",IFERROR(VLOOKUP(B57,TblArticles,2,FALSE),"GTIN inconnu"))</f>
        <v/>
      </c>
      <c r="D57" s="5">
        <f>IF(A57="","",IFERROR(VLOOKUP(B57,TblArticles,3,FALSE),""))</f>
        <v/>
      </c>
      <c r="E57" s="6">
        <f>IFERROR(DATE(2000+VALUE(MID(A57,FIND("15",A57,FIND("01",A57)+16)+2,2)),VALUE(MID(A57,FIND("15",A57,FIND("01",A57)+16)+4,2)),VALUE(MID(A57,FIND("15",A57,FIND("01",A57)+16)+6,2))),"")</f>
        <v/>
      </c>
      <c r="F57" s="5">
        <f>IFERROR(MID(A57,FIND("10",A57,FIND("15",A57,FIND("01",A57)+16)+8)+2,50),"")</f>
        <v/>
      </c>
      <c r="G57" s="5" t="n"/>
    </row>
    <row r="58">
      <c r="A58" s="7" t="n"/>
      <c r="B58" s="8">
        <f>IFERROR(MID(A58,FIND("01",A58)+2,14),"")</f>
        <v/>
      </c>
      <c r="C58" s="7">
        <f>IF(A58="","",IFERROR(VLOOKUP(B58,TblArticles,2,FALSE),"GTIN inconnu"))</f>
        <v/>
      </c>
      <c r="D58" s="8">
        <f>IF(A58="","",IFERROR(VLOOKUP(B58,TblArticles,3,FALSE),""))</f>
        <v/>
      </c>
      <c r="E58" s="9">
        <f>IFERROR(DATE(2000+VALUE(MID(A58,FIND("15",A58,FIND("01",A58)+16)+2,2)),VALUE(MID(A58,FIND("15",A58,FIND("01",A58)+16)+4,2)),VALUE(MID(A58,FIND("15",A58,FIND("01",A58)+16)+6,2))),"")</f>
        <v/>
      </c>
      <c r="F58" s="8">
        <f>IFERROR(MID(A58,FIND("10",A58,FIND("15",A58,FIND("01",A58)+16)+8)+2,50),"")</f>
        <v/>
      </c>
      <c r="G58" s="8" t="n"/>
    </row>
    <row r="59">
      <c r="A59" s="4" t="n"/>
      <c r="B59" s="5">
        <f>IFERROR(MID(A59,FIND("01",A59)+2,14),"")</f>
        <v/>
      </c>
      <c r="C59" s="4">
        <f>IF(A59="","",IFERROR(VLOOKUP(B59,TblArticles,2,FALSE),"GTIN inconnu"))</f>
        <v/>
      </c>
      <c r="D59" s="5">
        <f>IF(A59="","",IFERROR(VLOOKUP(B59,TblArticles,3,FALSE),""))</f>
        <v/>
      </c>
      <c r="E59" s="6">
        <f>IFERROR(DATE(2000+VALUE(MID(A59,FIND("15",A59,FIND("01",A59)+16)+2,2)),VALUE(MID(A59,FIND("15",A59,FIND("01",A59)+16)+4,2)),VALUE(MID(A59,FIND("15",A59,FIND("01",A59)+16)+6,2))),"")</f>
        <v/>
      </c>
      <c r="F59" s="5">
        <f>IFERROR(MID(A59,FIND("10",A59,FIND("15",A59,FIND("01",A59)+16)+8)+2,50),"")</f>
        <v/>
      </c>
      <c r="G59" s="5" t="n"/>
    </row>
    <row r="60">
      <c r="A60" s="7" t="n"/>
      <c r="B60" s="8">
        <f>IFERROR(MID(A60,FIND("01",A60)+2,14),"")</f>
        <v/>
      </c>
      <c r="C60" s="7">
        <f>IF(A60="","",IFERROR(VLOOKUP(B60,TblArticles,2,FALSE),"GTIN inconnu"))</f>
        <v/>
      </c>
      <c r="D60" s="8">
        <f>IF(A60="","",IFERROR(VLOOKUP(B60,TblArticles,3,FALSE),""))</f>
        <v/>
      </c>
      <c r="E60" s="9">
        <f>IFERROR(DATE(2000+VALUE(MID(A60,FIND("15",A60,FIND("01",A60)+16)+2,2)),VALUE(MID(A60,FIND("15",A60,FIND("01",A60)+16)+4,2)),VALUE(MID(A60,FIND("15",A60,FIND("01",A60)+16)+6,2))),"")</f>
        <v/>
      </c>
      <c r="F60" s="8">
        <f>IFERROR(MID(A60,FIND("10",A60,FIND("15",A60,FIND("01",A60)+16)+8)+2,50),"")</f>
        <v/>
      </c>
      <c r="G60" s="8" t="n"/>
    </row>
    <row r="61">
      <c r="A61" s="4" t="n"/>
      <c r="B61" s="5">
        <f>IFERROR(MID(A61,FIND("01",A61)+2,14),"")</f>
        <v/>
      </c>
      <c r="C61" s="4">
        <f>IF(A61="","",IFERROR(VLOOKUP(B61,TblArticles,2,FALSE),"GTIN inconnu"))</f>
        <v/>
      </c>
      <c r="D61" s="5">
        <f>IF(A61="","",IFERROR(VLOOKUP(B61,TblArticles,3,FALSE),""))</f>
        <v/>
      </c>
      <c r="E61" s="6">
        <f>IFERROR(DATE(2000+VALUE(MID(A61,FIND("15",A61,FIND("01",A61)+16)+2,2)),VALUE(MID(A61,FIND("15",A61,FIND("01",A61)+16)+4,2)),VALUE(MID(A61,FIND("15",A61,FIND("01",A61)+16)+6,2))),"")</f>
        <v/>
      </c>
      <c r="F61" s="5">
        <f>IFERROR(MID(A61,FIND("10",A61,FIND("15",A61,FIND("01",A61)+16)+8)+2,50),"")</f>
        <v/>
      </c>
      <c r="G61" s="5" t="n"/>
    </row>
    <row r="62">
      <c r="A62" s="7" t="n"/>
      <c r="B62" s="8">
        <f>IFERROR(MID(A62,FIND("01",A62)+2,14),"")</f>
        <v/>
      </c>
      <c r="C62" s="7">
        <f>IF(A62="","",IFERROR(VLOOKUP(B62,TblArticles,2,FALSE),"GTIN inconnu"))</f>
        <v/>
      </c>
      <c r="D62" s="8">
        <f>IF(A62="","",IFERROR(VLOOKUP(B62,TblArticles,3,FALSE),""))</f>
        <v/>
      </c>
      <c r="E62" s="9">
        <f>IFERROR(DATE(2000+VALUE(MID(A62,FIND("15",A62,FIND("01",A62)+16)+2,2)),VALUE(MID(A62,FIND("15",A62,FIND("01",A62)+16)+4,2)),VALUE(MID(A62,FIND("15",A62,FIND("01",A62)+16)+6,2))),"")</f>
        <v/>
      </c>
      <c r="F62" s="8">
        <f>IFERROR(MID(A62,FIND("10",A62,FIND("15",A62,FIND("01",A62)+16)+8)+2,50),"")</f>
        <v/>
      </c>
      <c r="G62" s="8" t="n"/>
    </row>
    <row r="63">
      <c r="A63" s="4" t="n"/>
      <c r="B63" s="5">
        <f>IFERROR(MID(A63,FIND("01",A63)+2,14),"")</f>
        <v/>
      </c>
      <c r="C63" s="4">
        <f>IF(A63="","",IFERROR(VLOOKUP(B63,TblArticles,2,FALSE),"GTIN inconnu"))</f>
        <v/>
      </c>
      <c r="D63" s="5">
        <f>IF(A63="","",IFERROR(VLOOKUP(B63,TblArticles,3,FALSE),""))</f>
        <v/>
      </c>
      <c r="E63" s="6">
        <f>IFERROR(DATE(2000+VALUE(MID(A63,FIND("15",A63,FIND("01",A63)+16)+2,2)),VALUE(MID(A63,FIND("15",A63,FIND("01",A63)+16)+4,2)),VALUE(MID(A63,FIND("15",A63,FIND("01",A63)+16)+6,2))),"")</f>
        <v/>
      </c>
      <c r="F63" s="5">
        <f>IFERROR(MID(A63,FIND("10",A63,FIND("15",A63,FIND("01",A63)+16)+8)+2,50),"")</f>
        <v/>
      </c>
      <c r="G63" s="5" t="n"/>
    </row>
    <row r="64">
      <c r="A64" s="7" t="n"/>
      <c r="B64" s="8">
        <f>IFERROR(MID(A64,FIND("01",A64)+2,14),"")</f>
        <v/>
      </c>
      <c r="C64" s="7">
        <f>IF(A64="","",IFERROR(VLOOKUP(B64,TblArticles,2,FALSE),"GTIN inconnu"))</f>
        <v/>
      </c>
      <c r="D64" s="8">
        <f>IF(A64="","",IFERROR(VLOOKUP(B64,TblArticles,3,FALSE),""))</f>
        <v/>
      </c>
      <c r="E64" s="9">
        <f>IFERROR(DATE(2000+VALUE(MID(A64,FIND("15",A64,FIND("01",A64)+16)+2,2)),VALUE(MID(A64,FIND("15",A64,FIND("01",A64)+16)+4,2)),VALUE(MID(A64,FIND("15",A64,FIND("01",A64)+16)+6,2))),"")</f>
        <v/>
      </c>
      <c r="F64" s="8">
        <f>IFERROR(MID(A64,FIND("10",A64,FIND("15",A64,FIND("01",A64)+16)+8)+2,50),"")</f>
        <v/>
      </c>
      <c r="G64" s="8" t="n"/>
    </row>
    <row r="65">
      <c r="A65" s="4" t="n"/>
      <c r="B65" s="5">
        <f>IFERROR(MID(A65,FIND("01",A65)+2,14),"")</f>
        <v/>
      </c>
      <c r="C65" s="4">
        <f>IF(A65="","",IFERROR(VLOOKUP(B65,TblArticles,2,FALSE),"GTIN inconnu"))</f>
        <v/>
      </c>
      <c r="D65" s="5">
        <f>IF(A65="","",IFERROR(VLOOKUP(B65,TblArticles,3,FALSE),""))</f>
        <v/>
      </c>
      <c r="E65" s="6">
        <f>IFERROR(DATE(2000+VALUE(MID(A65,FIND("15",A65,FIND("01",A65)+16)+2,2)),VALUE(MID(A65,FIND("15",A65,FIND("01",A65)+16)+4,2)),VALUE(MID(A65,FIND("15",A65,FIND("01",A65)+16)+6,2))),"")</f>
        <v/>
      </c>
      <c r="F65" s="5">
        <f>IFERROR(MID(A65,FIND("10",A65,FIND("15",A65,FIND("01",A65)+16)+8)+2,50),"")</f>
        <v/>
      </c>
      <c r="G65" s="5" t="n"/>
    </row>
    <row r="66">
      <c r="A66" s="7" t="n"/>
      <c r="B66" s="8">
        <f>IFERROR(MID(A66,FIND("01",A66)+2,14),"")</f>
        <v/>
      </c>
      <c r="C66" s="7">
        <f>IF(A66="","",IFERROR(VLOOKUP(B66,TblArticles,2,FALSE),"GTIN inconnu"))</f>
        <v/>
      </c>
      <c r="D66" s="8">
        <f>IF(A66="","",IFERROR(VLOOKUP(B66,TblArticles,3,FALSE),""))</f>
        <v/>
      </c>
      <c r="E66" s="9">
        <f>IFERROR(DATE(2000+VALUE(MID(A66,FIND("15",A66,FIND("01",A66)+16)+2,2)),VALUE(MID(A66,FIND("15",A66,FIND("01",A66)+16)+4,2)),VALUE(MID(A66,FIND("15",A66,FIND("01",A66)+16)+6,2))),"")</f>
        <v/>
      </c>
      <c r="F66" s="8">
        <f>IFERROR(MID(A66,FIND("10",A66,FIND("15",A66,FIND("01",A66)+16)+8)+2,50),"")</f>
        <v/>
      </c>
      <c r="G66" s="8" t="n"/>
    </row>
    <row r="67">
      <c r="A67" s="4" t="n"/>
      <c r="B67" s="5">
        <f>IFERROR(MID(A67,FIND("01",A67)+2,14),"")</f>
        <v/>
      </c>
      <c r="C67" s="4">
        <f>IF(A67="","",IFERROR(VLOOKUP(B67,TblArticles,2,FALSE),"GTIN inconnu"))</f>
        <v/>
      </c>
      <c r="D67" s="5">
        <f>IF(A67="","",IFERROR(VLOOKUP(B67,TblArticles,3,FALSE),""))</f>
        <v/>
      </c>
      <c r="E67" s="6">
        <f>IFERROR(DATE(2000+VALUE(MID(A67,FIND("15",A67,FIND("01",A67)+16)+2,2)),VALUE(MID(A67,FIND("15",A67,FIND("01",A67)+16)+4,2)),VALUE(MID(A67,FIND("15",A67,FIND("01",A67)+16)+6,2))),"")</f>
        <v/>
      </c>
      <c r="F67" s="5">
        <f>IFERROR(MID(A67,FIND("10",A67,FIND("15",A67,FIND("01",A67)+16)+8)+2,50),"")</f>
        <v/>
      </c>
      <c r="G67" s="5" t="n"/>
    </row>
    <row r="68">
      <c r="A68" s="7" t="n"/>
      <c r="B68" s="8">
        <f>IFERROR(MID(A68,FIND("01",A68)+2,14),"")</f>
        <v/>
      </c>
      <c r="C68" s="7">
        <f>IF(A68="","",IFERROR(VLOOKUP(B68,TblArticles,2,FALSE),"GTIN inconnu"))</f>
        <v/>
      </c>
      <c r="D68" s="8">
        <f>IF(A68="","",IFERROR(VLOOKUP(B68,TblArticles,3,FALSE),""))</f>
        <v/>
      </c>
      <c r="E68" s="9">
        <f>IFERROR(DATE(2000+VALUE(MID(A68,FIND("15",A68,FIND("01",A68)+16)+2,2)),VALUE(MID(A68,FIND("15",A68,FIND("01",A68)+16)+4,2)),VALUE(MID(A68,FIND("15",A68,FIND("01",A68)+16)+6,2))),"")</f>
        <v/>
      </c>
      <c r="F68" s="8">
        <f>IFERROR(MID(A68,FIND("10",A68,FIND("15",A68,FIND("01",A68)+16)+8)+2,50),"")</f>
        <v/>
      </c>
      <c r="G68" s="8" t="n"/>
    </row>
    <row r="69">
      <c r="A69" s="4" t="n"/>
      <c r="B69" s="5">
        <f>IFERROR(MID(A69,FIND("01",A69)+2,14),"")</f>
        <v/>
      </c>
      <c r="C69" s="4">
        <f>IF(A69="","",IFERROR(VLOOKUP(B69,TblArticles,2,FALSE),"GTIN inconnu"))</f>
        <v/>
      </c>
      <c r="D69" s="5">
        <f>IF(A69="","",IFERROR(VLOOKUP(B69,TblArticles,3,FALSE),""))</f>
        <v/>
      </c>
      <c r="E69" s="6">
        <f>IFERROR(DATE(2000+VALUE(MID(A69,FIND("15",A69,FIND("01",A69)+16)+2,2)),VALUE(MID(A69,FIND("15",A69,FIND("01",A69)+16)+4,2)),VALUE(MID(A69,FIND("15",A69,FIND("01",A69)+16)+6,2))),"")</f>
        <v/>
      </c>
      <c r="F69" s="5">
        <f>IFERROR(MID(A69,FIND("10",A69,FIND("15",A69,FIND("01",A69)+16)+8)+2,50),"")</f>
        <v/>
      </c>
      <c r="G69" s="5" t="n"/>
    </row>
    <row r="70">
      <c r="A70" s="7" t="n"/>
      <c r="B70" s="8">
        <f>IFERROR(MID(A70,FIND("01",A70)+2,14),"")</f>
        <v/>
      </c>
      <c r="C70" s="7">
        <f>IF(A70="","",IFERROR(VLOOKUP(B70,TblArticles,2,FALSE),"GTIN inconnu"))</f>
        <v/>
      </c>
      <c r="D70" s="8">
        <f>IF(A70="","",IFERROR(VLOOKUP(B70,TblArticles,3,FALSE),""))</f>
        <v/>
      </c>
      <c r="E70" s="9">
        <f>IFERROR(DATE(2000+VALUE(MID(A70,FIND("15",A70,FIND("01",A70)+16)+2,2)),VALUE(MID(A70,FIND("15",A70,FIND("01",A70)+16)+4,2)),VALUE(MID(A70,FIND("15",A70,FIND("01",A70)+16)+6,2))),"")</f>
        <v/>
      </c>
      <c r="F70" s="8">
        <f>IFERROR(MID(A70,FIND("10",A70,FIND("15",A70,FIND("01",A70)+16)+8)+2,50),"")</f>
        <v/>
      </c>
      <c r="G70" s="8" t="n"/>
    </row>
    <row r="71">
      <c r="A71" s="4" t="n"/>
      <c r="B71" s="5">
        <f>IFERROR(MID(A71,FIND("01",A71)+2,14),"")</f>
        <v/>
      </c>
      <c r="C71" s="4">
        <f>IF(A71="","",IFERROR(VLOOKUP(B71,TblArticles,2,FALSE),"GTIN inconnu"))</f>
        <v/>
      </c>
      <c r="D71" s="5">
        <f>IF(A71="","",IFERROR(VLOOKUP(B71,TblArticles,3,FALSE),""))</f>
        <v/>
      </c>
      <c r="E71" s="6">
        <f>IFERROR(DATE(2000+VALUE(MID(A71,FIND("15",A71,FIND("01",A71)+16)+2,2)),VALUE(MID(A71,FIND("15",A71,FIND("01",A71)+16)+4,2)),VALUE(MID(A71,FIND("15",A71,FIND("01",A71)+16)+6,2))),"")</f>
        <v/>
      </c>
      <c r="F71" s="5">
        <f>IFERROR(MID(A71,FIND("10",A71,FIND("15",A71,FIND("01",A71)+16)+8)+2,50),"")</f>
        <v/>
      </c>
      <c r="G71" s="5" t="n"/>
    </row>
    <row r="72">
      <c r="A72" s="7" t="n"/>
      <c r="B72" s="8">
        <f>IFERROR(MID(A72,FIND("01",A72)+2,14),"")</f>
        <v/>
      </c>
      <c r="C72" s="7">
        <f>IF(A72="","",IFERROR(VLOOKUP(B72,TblArticles,2,FALSE),"GTIN inconnu"))</f>
        <v/>
      </c>
      <c r="D72" s="8">
        <f>IF(A72="","",IFERROR(VLOOKUP(B72,TblArticles,3,FALSE),""))</f>
        <v/>
      </c>
      <c r="E72" s="9">
        <f>IFERROR(DATE(2000+VALUE(MID(A72,FIND("15",A72,FIND("01",A72)+16)+2,2)),VALUE(MID(A72,FIND("15",A72,FIND("01",A72)+16)+4,2)),VALUE(MID(A72,FIND("15",A72,FIND("01",A72)+16)+6,2))),"")</f>
        <v/>
      </c>
      <c r="F72" s="8">
        <f>IFERROR(MID(A72,FIND("10",A72,FIND("15",A72,FIND("01",A72)+16)+8)+2,50),"")</f>
        <v/>
      </c>
      <c r="G72" s="8" t="n"/>
    </row>
    <row r="73">
      <c r="A73" s="4" t="n"/>
      <c r="B73" s="5">
        <f>IFERROR(MID(A73,FIND("01",A73)+2,14),"")</f>
        <v/>
      </c>
      <c r="C73" s="4">
        <f>IF(A73="","",IFERROR(VLOOKUP(B73,TblArticles,2,FALSE),"GTIN inconnu"))</f>
        <v/>
      </c>
      <c r="D73" s="5">
        <f>IF(A73="","",IFERROR(VLOOKUP(B73,TblArticles,3,FALSE),""))</f>
        <v/>
      </c>
      <c r="E73" s="6">
        <f>IFERROR(DATE(2000+VALUE(MID(A73,FIND("15",A73,FIND("01",A73)+16)+2,2)),VALUE(MID(A73,FIND("15",A73,FIND("01",A73)+16)+4,2)),VALUE(MID(A73,FIND("15",A73,FIND("01",A73)+16)+6,2))),"")</f>
        <v/>
      </c>
      <c r="F73" s="5">
        <f>IFERROR(MID(A73,FIND("10",A73,FIND("15",A73,FIND("01",A73)+16)+8)+2,50),"")</f>
        <v/>
      </c>
      <c r="G73" s="5" t="n"/>
    </row>
    <row r="74">
      <c r="A74" s="7" t="n"/>
      <c r="B74" s="8">
        <f>IFERROR(MID(A74,FIND("01",A74)+2,14),"")</f>
        <v/>
      </c>
      <c r="C74" s="7">
        <f>IF(A74="","",IFERROR(VLOOKUP(B74,TblArticles,2,FALSE),"GTIN inconnu"))</f>
        <v/>
      </c>
      <c r="D74" s="8">
        <f>IF(A74="","",IFERROR(VLOOKUP(B74,TblArticles,3,FALSE),""))</f>
        <v/>
      </c>
      <c r="E74" s="9">
        <f>IFERROR(DATE(2000+VALUE(MID(A74,FIND("15",A74,FIND("01",A74)+16)+2,2)),VALUE(MID(A74,FIND("15",A74,FIND("01",A74)+16)+4,2)),VALUE(MID(A74,FIND("15",A74,FIND("01",A74)+16)+6,2))),"")</f>
        <v/>
      </c>
      <c r="F74" s="8">
        <f>IFERROR(MID(A74,FIND("10",A74,FIND("15",A74,FIND("01",A74)+16)+8)+2,50),"")</f>
        <v/>
      </c>
      <c r="G74" s="8" t="n"/>
    </row>
    <row r="75">
      <c r="A75" s="4" t="n"/>
      <c r="B75" s="5">
        <f>IFERROR(MID(A75,FIND("01",A75)+2,14),"")</f>
        <v/>
      </c>
      <c r="C75" s="4">
        <f>IF(A75="","",IFERROR(VLOOKUP(B75,TblArticles,2,FALSE),"GTIN inconnu"))</f>
        <v/>
      </c>
      <c r="D75" s="5">
        <f>IF(A75="","",IFERROR(VLOOKUP(B75,TblArticles,3,FALSE),""))</f>
        <v/>
      </c>
      <c r="E75" s="6">
        <f>IFERROR(DATE(2000+VALUE(MID(A75,FIND("15",A75,FIND("01",A75)+16)+2,2)),VALUE(MID(A75,FIND("15",A75,FIND("01",A75)+16)+4,2)),VALUE(MID(A75,FIND("15",A75,FIND("01",A75)+16)+6,2))),"")</f>
        <v/>
      </c>
      <c r="F75" s="5">
        <f>IFERROR(MID(A75,FIND("10",A75,FIND("15",A75,FIND("01",A75)+16)+8)+2,50),"")</f>
        <v/>
      </c>
      <c r="G75" s="5" t="n"/>
    </row>
    <row r="76">
      <c r="A76" s="7" t="n"/>
      <c r="B76" s="8">
        <f>IFERROR(MID(A76,FIND("01",A76)+2,14),"")</f>
        <v/>
      </c>
      <c r="C76" s="7">
        <f>IF(A76="","",IFERROR(VLOOKUP(B76,TblArticles,2,FALSE),"GTIN inconnu"))</f>
        <v/>
      </c>
      <c r="D76" s="8">
        <f>IF(A76="","",IFERROR(VLOOKUP(B76,TblArticles,3,FALSE),""))</f>
        <v/>
      </c>
      <c r="E76" s="9">
        <f>IFERROR(DATE(2000+VALUE(MID(A76,FIND("15",A76,FIND("01",A76)+16)+2,2)),VALUE(MID(A76,FIND("15",A76,FIND("01",A76)+16)+4,2)),VALUE(MID(A76,FIND("15",A76,FIND("01",A76)+16)+6,2))),"")</f>
        <v/>
      </c>
      <c r="F76" s="8">
        <f>IFERROR(MID(A76,FIND("10",A76,FIND("15",A76,FIND("01",A76)+16)+8)+2,50),"")</f>
        <v/>
      </c>
      <c r="G76" s="8" t="n"/>
    </row>
    <row r="77">
      <c r="A77" s="4" t="n"/>
      <c r="B77" s="5">
        <f>IFERROR(MID(A77,FIND("01",A77)+2,14),"")</f>
        <v/>
      </c>
      <c r="C77" s="4">
        <f>IF(A77="","",IFERROR(VLOOKUP(B77,TblArticles,2,FALSE),"GTIN inconnu"))</f>
        <v/>
      </c>
      <c r="D77" s="5">
        <f>IF(A77="","",IFERROR(VLOOKUP(B77,TblArticles,3,FALSE),""))</f>
        <v/>
      </c>
      <c r="E77" s="6">
        <f>IFERROR(DATE(2000+VALUE(MID(A77,FIND("15",A77,FIND("01",A77)+16)+2,2)),VALUE(MID(A77,FIND("15",A77,FIND("01",A77)+16)+4,2)),VALUE(MID(A77,FIND("15",A77,FIND("01",A77)+16)+6,2))),"")</f>
        <v/>
      </c>
      <c r="F77" s="5">
        <f>IFERROR(MID(A77,FIND("10",A77,FIND("15",A77,FIND("01",A77)+16)+8)+2,50),"")</f>
        <v/>
      </c>
      <c r="G77" s="5" t="n"/>
    </row>
    <row r="78">
      <c r="A78" s="7" t="n"/>
      <c r="B78" s="8">
        <f>IFERROR(MID(A78,FIND("01",A78)+2,14),"")</f>
        <v/>
      </c>
      <c r="C78" s="7">
        <f>IF(A78="","",IFERROR(VLOOKUP(B78,TblArticles,2,FALSE),"GTIN inconnu"))</f>
        <v/>
      </c>
      <c r="D78" s="8">
        <f>IF(A78="","",IFERROR(VLOOKUP(B78,TblArticles,3,FALSE),""))</f>
        <v/>
      </c>
      <c r="E78" s="9">
        <f>IFERROR(DATE(2000+VALUE(MID(A78,FIND("15",A78,FIND("01",A78)+16)+2,2)),VALUE(MID(A78,FIND("15",A78,FIND("01",A78)+16)+4,2)),VALUE(MID(A78,FIND("15",A78,FIND("01",A78)+16)+6,2))),"")</f>
        <v/>
      </c>
      <c r="F78" s="8">
        <f>IFERROR(MID(A78,FIND("10",A78,FIND("15",A78,FIND("01",A78)+16)+8)+2,50),"")</f>
        <v/>
      </c>
      <c r="G78" s="8" t="n"/>
    </row>
    <row r="79">
      <c r="A79" s="4" t="n"/>
      <c r="B79" s="5">
        <f>IFERROR(MID(A79,FIND("01",A79)+2,14),"")</f>
        <v/>
      </c>
      <c r="C79" s="4">
        <f>IF(A79="","",IFERROR(VLOOKUP(B79,TblArticles,2,FALSE),"GTIN inconnu"))</f>
        <v/>
      </c>
      <c r="D79" s="5">
        <f>IF(A79="","",IFERROR(VLOOKUP(B79,TblArticles,3,FALSE),""))</f>
        <v/>
      </c>
      <c r="E79" s="6">
        <f>IFERROR(DATE(2000+VALUE(MID(A79,FIND("15",A79,FIND("01",A79)+16)+2,2)),VALUE(MID(A79,FIND("15",A79,FIND("01",A79)+16)+4,2)),VALUE(MID(A79,FIND("15",A79,FIND("01",A79)+16)+6,2))),"")</f>
        <v/>
      </c>
      <c r="F79" s="5">
        <f>IFERROR(MID(A79,FIND("10",A79,FIND("15",A79,FIND("01",A79)+16)+8)+2,50),"")</f>
        <v/>
      </c>
      <c r="G79" s="5" t="n"/>
    </row>
    <row r="80">
      <c r="A80" s="7" t="n"/>
      <c r="B80" s="8">
        <f>IFERROR(MID(A80,FIND("01",A80)+2,14),"")</f>
        <v/>
      </c>
      <c r="C80" s="7">
        <f>IF(A80="","",IFERROR(VLOOKUP(B80,TblArticles,2,FALSE),"GTIN inconnu"))</f>
        <v/>
      </c>
      <c r="D80" s="8">
        <f>IF(A80="","",IFERROR(VLOOKUP(B80,TblArticles,3,FALSE),""))</f>
        <v/>
      </c>
      <c r="E80" s="9">
        <f>IFERROR(DATE(2000+VALUE(MID(A80,FIND("15",A80,FIND("01",A80)+16)+2,2)),VALUE(MID(A80,FIND("15",A80,FIND("01",A80)+16)+4,2)),VALUE(MID(A80,FIND("15",A80,FIND("01",A80)+16)+6,2))),"")</f>
        <v/>
      </c>
      <c r="F80" s="8">
        <f>IFERROR(MID(A80,FIND("10",A80,FIND("15",A80,FIND("01",A80)+16)+8)+2,50),"")</f>
        <v/>
      </c>
      <c r="G80" s="8" t="n"/>
    </row>
    <row r="81">
      <c r="A81" s="4" t="n"/>
      <c r="B81" s="5">
        <f>IFERROR(MID(A81,FIND("01",A81)+2,14),"")</f>
        <v/>
      </c>
      <c r="C81" s="4">
        <f>IF(A81="","",IFERROR(VLOOKUP(B81,TblArticles,2,FALSE),"GTIN inconnu"))</f>
        <v/>
      </c>
      <c r="D81" s="5">
        <f>IF(A81="","",IFERROR(VLOOKUP(B81,TblArticles,3,FALSE),""))</f>
        <v/>
      </c>
      <c r="E81" s="6">
        <f>IFERROR(DATE(2000+VALUE(MID(A81,FIND("15",A81,FIND("01",A81)+16)+2,2)),VALUE(MID(A81,FIND("15",A81,FIND("01",A81)+16)+4,2)),VALUE(MID(A81,FIND("15",A81,FIND("01",A81)+16)+6,2))),"")</f>
        <v/>
      </c>
      <c r="F81" s="5">
        <f>IFERROR(MID(A81,FIND("10",A81,FIND("15",A81,FIND("01",A81)+16)+8)+2,50),"")</f>
        <v/>
      </c>
      <c r="G81" s="5" t="n"/>
    </row>
    <row r="82">
      <c r="A82" s="7" t="n"/>
      <c r="B82" s="8">
        <f>IFERROR(MID(A82,FIND("01",A82)+2,14),"")</f>
        <v/>
      </c>
      <c r="C82" s="7">
        <f>IF(A82="","",IFERROR(VLOOKUP(B82,TblArticles,2,FALSE),"GTIN inconnu"))</f>
        <v/>
      </c>
      <c r="D82" s="8">
        <f>IF(A82="","",IFERROR(VLOOKUP(B82,TblArticles,3,FALSE),""))</f>
        <v/>
      </c>
      <c r="E82" s="9">
        <f>IFERROR(DATE(2000+VALUE(MID(A82,FIND("15",A82,FIND("01",A82)+16)+2,2)),VALUE(MID(A82,FIND("15",A82,FIND("01",A82)+16)+4,2)),VALUE(MID(A82,FIND("15",A82,FIND("01",A82)+16)+6,2))),"")</f>
        <v/>
      </c>
      <c r="F82" s="8">
        <f>IFERROR(MID(A82,FIND("10",A82,FIND("15",A82,FIND("01",A82)+16)+8)+2,50),"")</f>
        <v/>
      </c>
      <c r="G82" s="8" t="n"/>
    </row>
    <row r="83">
      <c r="A83" s="4" t="n"/>
      <c r="B83" s="5">
        <f>IFERROR(MID(A83,FIND("01",A83)+2,14),"")</f>
        <v/>
      </c>
      <c r="C83" s="4">
        <f>IF(A83="","",IFERROR(VLOOKUP(B83,TblArticles,2,FALSE),"GTIN inconnu"))</f>
        <v/>
      </c>
      <c r="D83" s="5">
        <f>IF(A83="","",IFERROR(VLOOKUP(B83,TblArticles,3,FALSE),""))</f>
        <v/>
      </c>
      <c r="E83" s="6">
        <f>IFERROR(DATE(2000+VALUE(MID(A83,FIND("15",A83,FIND("01",A83)+16)+2,2)),VALUE(MID(A83,FIND("15",A83,FIND("01",A83)+16)+4,2)),VALUE(MID(A83,FIND("15",A83,FIND("01",A83)+16)+6,2))),"")</f>
        <v/>
      </c>
      <c r="F83" s="5">
        <f>IFERROR(MID(A83,FIND("10",A83,FIND("15",A83,FIND("01",A83)+16)+8)+2,50),"")</f>
        <v/>
      </c>
      <c r="G83" s="5" t="n"/>
    </row>
    <row r="84">
      <c r="A84" s="7" t="n"/>
      <c r="B84" s="8">
        <f>IFERROR(MID(A84,FIND("01",A84)+2,14),"")</f>
        <v/>
      </c>
      <c r="C84" s="7">
        <f>IF(A84="","",IFERROR(VLOOKUP(B84,TblArticles,2,FALSE),"GTIN inconnu"))</f>
        <v/>
      </c>
      <c r="D84" s="8">
        <f>IF(A84="","",IFERROR(VLOOKUP(B84,TblArticles,3,FALSE),""))</f>
        <v/>
      </c>
      <c r="E84" s="9">
        <f>IFERROR(DATE(2000+VALUE(MID(A84,FIND("15",A84,FIND("01",A84)+16)+2,2)),VALUE(MID(A84,FIND("15",A84,FIND("01",A84)+16)+4,2)),VALUE(MID(A84,FIND("15",A84,FIND("01",A84)+16)+6,2))),"")</f>
        <v/>
      </c>
      <c r="F84" s="8">
        <f>IFERROR(MID(A84,FIND("10",A84,FIND("15",A84,FIND("01",A84)+16)+8)+2,50),"")</f>
        <v/>
      </c>
      <c r="G84" s="8" t="n"/>
    </row>
    <row r="85">
      <c r="A85" s="4" t="n"/>
      <c r="B85" s="5">
        <f>IFERROR(MID(A85,FIND("01",A85)+2,14),"")</f>
        <v/>
      </c>
      <c r="C85" s="4">
        <f>IF(A85="","",IFERROR(VLOOKUP(B85,TblArticles,2,FALSE),"GTIN inconnu"))</f>
        <v/>
      </c>
      <c r="D85" s="5">
        <f>IF(A85="","",IFERROR(VLOOKUP(B85,TblArticles,3,FALSE),""))</f>
        <v/>
      </c>
      <c r="E85" s="6">
        <f>IFERROR(DATE(2000+VALUE(MID(A85,FIND("15",A85,FIND("01",A85)+16)+2,2)),VALUE(MID(A85,FIND("15",A85,FIND("01",A85)+16)+4,2)),VALUE(MID(A85,FIND("15",A85,FIND("01",A85)+16)+6,2))),"")</f>
        <v/>
      </c>
      <c r="F85" s="5">
        <f>IFERROR(MID(A85,FIND("10",A85,FIND("15",A85,FIND("01",A85)+16)+8)+2,50),"")</f>
        <v/>
      </c>
      <c r="G85" s="5" t="n"/>
    </row>
    <row r="86">
      <c r="A86" s="7" t="n"/>
      <c r="B86" s="8">
        <f>IFERROR(MID(A86,FIND("01",A86)+2,14),"")</f>
        <v/>
      </c>
      <c r="C86" s="7">
        <f>IF(A86="","",IFERROR(VLOOKUP(B86,TblArticles,2,FALSE),"GTIN inconnu"))</f>
        <v/>
      </c>
      <c r="D86" s="8">
        <f>IF(A86="","",IFERROR(VLOOKUP(B86,TblArticles,3,FALSE),""))</f>
        <v/>
      </c>
      <c r="E86" s="9">
        <f>IFERROR(DATE(2000+VALUE(MID(A86,FIND("15",A86,FIND("01",A86)+16)+2,2)),VALUE(MID(A86,FIND("15",A86,FIND("01",A86)+16)+4,2)),VALUE(MID(A86,FIND("15",A86,FIND("01",A86)+16)+6,2))),"")</f>
        <v/>
      </c>
      <c r="F86" s="8">
        <f>IFERROR(MID(A86,FIND("10",A86,FIND("15",A86,FIND("01",A86)+16)+8)+2,50),"")</f>
        <v/>
      </c>
      <c r="G86" s="8" t="n"/>
    </row>
    <row r="87">
      <c r="A87" s="4" t="n"/>
      <c r="B87" s="5">
        <f>IFERROR(MID(A87,FIND("01",A87)+2,14),"")</f>
        <v/>
      </c>
      <c r="C87" s="4">
        <f>IF(A87="","",IFERROR(VLOOKUP(B87,TblArticles,2,FALSE),"GTIN inconnu"))</f>
        <v/>
      </c>
      <c r="D87" s="5">
        <f>IF(A87="","",IFERROR(VLOOKUP(B87,TblArticles,3,FALSE),""))</f>
        <v/>
      </c>
      <c r="E87" s="6">
        <f>IFERROR(DATE(2000+VALUE(MID(A87,FIND("15",A87,FIND("01",A87)+16)+2,2)),VALUE(MID(A87,FIND("15",A87,FIND("01",A87)+16)+4,2)),VALUE(MID(A87,FIND("15",A87,FIND("01",A87)+16)+6,2))),"")</f>
        <v/>
      </c>
      <c r="F87" s="5">
        <f>IFERROR(MID(A87,FIND("10",A87,FIND("15",A87,FIND("01",A87)+16)+8)+2,50),"")</f>
        <v/>
      </c>
      <c r="G87" s="5" t="n"/>
    </row>
    <row r="88">
      <c r="A88" s="7" t="n"/>
      <c r="B88" s="8">
        <f>IFERROR(MID(A88,FIND("01",A88)+2,14),"")</f>
        <v/>
      </c>
      <c r="C88" s="7">
        <f>IF(A88="","",IFERROR(VLOOKUP(B88,TblArticles,2,FALSE),"GTIN inconnu"))</f>
        <v/>
      </c>
      <c r="D88" s="8">
        <f>IF(A88="","",IFERROR(VLOOKUP(B88,TblArticles,3,FALSE),""))</f>
        <v/>
      </c>
      <c r="E88" s="9">
        <f>IFERROR(DATE(2000+VALUE(MID(A88,FIND("15",A88,FIND("01",A88)+16)+2,2)),VALUE(MID(A88,FIND("15",A88,FIND("01",A88)+16)+4,2)),VALUE(MID(A88,FIND("15",A88,FIND("01",A88)+16)+6,2))),"")</f>
        <v/>
      </c>
      <c r="F88" s="8">
        <f>IFERROR(MID(A88,FIND("10",A88,FIND("15",A88,FIND("01",A88)+16)+8)+2,50),"")</f>
        <v/>
      </c>
      <c r="G88" s="8" t="n"/>
    </row>
    <row r="89">
      <c r="A89" s="4" t="n"/>
      <c r="B89" s="5">
        <f>IFERROR(MID(A89,FIND("01",A89)+2,14),"")</f>
        <v/>
      </c>
      <c r="C89" s="4">
        <f>IF(A89="","",IFERROR(VLOOKUP(B89,TblArticles,2,FALSE),"GTIN inconnu"))</f>
        <v/>
      </c>
      <c r="D89" s="5">
        <f>IF(A89="","",IFERROR(VLOOKUP(B89,TblArticles,3,FALSE),""))</f>
        <v/>
      </c>
      <c r="E89" s="6">
        <f>IFERROR(DATE(2000+VALUE(MID(A89,FIND("15",A89,FIND("01",A89)+16)+2,2)),VALUE(MID(A89,FIND("15",A89,FIND("01",A89)+16)+4,2)),VALUE(MID(A89,FIND("15",A89,FIND("01",A89)+16)+6,2))),"")</f>
        <v/>
      </c>
      <c r="F89" s="5">
        <f>IFERROR(MID(A89,FIND("10",A89,FIND("15",A89,FIND("01",A89)+16)+8)+2,50),"")</f>
        <v/>
      </c>
      <c r="G89" s="5" t="n"/>
    </row>
    <row r="90">
      <c r="A90" s="7" t="n"/>
      <c r="B90" s="8">
        <f>IFERROR(MID(A90,FIND("01",A90)+2,14),"")</f>
        <v/>
      </c>
      <c r="C90" s="7">
        <f>IF(A90="","",IFERROR(VLOOKUP(B90,TblArticles,2,FALSE),"GTIN inconnu"))</f>
        <v/>
      </c>
      <c r="D90" s="8">
        <f>IF(A90="","",IFERROR(VLOOKUP(B90,TblArticles,3,FALSE),""))</f>
        <v/>
      </c>
      <c r="E90" s="9">
        <f>IFERROR(DATE(2000+VALUE(MID(A90,FIND("15",A90,FIND("01",A90)+16)+2,2)),VALUE(MID(A90,FIND("15",A90,FIND("01",A90)+16)+4,2)),VALUE(MID(A90,FIND("15",A90,FIND("01",A90)+16)+6,2))),"")</f>
        <v/>
      </c>
      <c r="F90" s="8">
        <f>IFERROR(MID(A90,FIND("10",A90,FIND("15",A90,FIND("01",A90)+16)+8)+2,50),"")</f>
        <v/>
      </c>
      <c r="G90" s="8" t="n"/>
    </row>
    <row r="91">
      <c r="A91" s="4" t="n"/>
      <c r="B91" s="5">
        <f>IFERROR(MID(A91,FIND("01",A91)+2,14),"")</f>
        <v/>
      </c>
      <c r="C91" s="4">
        <f>IF(A91="","",IFERROR(VLOOKUP(B91,TblArticles,2,FALSE),"GTIN inconnu"))</f>
        <v/>
      </c>
      <c r="D91" s="5">
        <f>IF(A91="","",IFERROR(VLOOKUP(B91,TblArticles,3,FALSE),""))</f>
        <v/>
      </c>
      <c r="E91" s="6">
        <f>IFERROR(DATE(2000+VALUE(MID(A91,FIND("15",A91,FIND("01",A91)+16)+2,2)),VALUE(MID(A91,FIND("15",A91,FIND("01",A91)+16)+4,2)),VALUE(MID(A91,FIND("15",A91,FIND("01",A91)+16)+6,2))),"")</f>
        <v/>
      </c>
      <c r="F91" s="5">
        <f>IFERROR(MID(A91,FIND("10",A91,FIND("15",A91,FIND("01",A91)+16)+8)+2,50),"")</f>
        <v/>
      </c>
      <c r="G91" s="5" t="n"/>
    </row>
    <row r="92">
      <c r="A92" s="7" t="n"/>
      <c r="B92" s="8">
        <f>IFERROR(MID(A92,FIND("01",A92)+2,14),"")</f>
        <v/>
      </c>
      <c r="C92" s="7">
        <f>IF(A92="","",IFERROR(VLOOKUP(B92,TblArticles,2,FALSE),"GTIN inconnu"))</f>
        <v/>
      </c>
      <c r="D92" s="8">
        <f>IF(A92="","",IFERROR(VLOOKUP(B92,TblArticles,3,FALSE),""))</f>
        <v/>
      </c>
      <c r="E92" s="9">
        <f>IFERROR(DATE(2000+VALUE(MID(A92,FIND("15",A92,FIND("01",A92)+16)+2,2)),VALUE(MID(A92,FIND("15",A92,FIND("01",A92)+16)+4,2)),VALUE(MID(A92,FIND("15",A92,FIND("01",A92)+16)+6,2))),"")</f>
        <v/>
      </c>
      <c r="F92" s="8">
        <f>IFERROR(MID(A92,FIND("10",A92,FIND("15",A92,FIND("01",A92)+16)+8)+2,50),"")</f>
        <v/>
      </c>
      <c r="G92" s="8" t="n"/>
    </row>
    <row r="93">
      <c r="A93" s="4" t="n"/>
      <c r="B93" s="5">
        <f>IFERROR(MID(A93,FIND("01",A93)+2,14),"")</f>
        <v/>
      </c>
      <c r="C93" s="4">
        <f>IF(A93="","",IFERROR(VLOOKUP(B93,TblArticles,2,FALSE),"GTIN inconnu"))</f>
        <v/>
      </c>
      <c r="D93" s="5">
        <f>IF(A93="","",IFERROR(VLOOKUP(B93,TblArticles,3,FALSE),""))</f>
        <v/>
      </c>
      <c r="E93" s="6">
        <f>IFERROR(DATE(2000+VALUE(MID(A93,FIND("15",A93,FIND("01",A93)+16)+2,2)),VALUE(MID(A93,FIND("15",A93,FIND("01",A93)+16)+4,2)),VALUE(MID(A93,FIND("15",A93,FIND("01",A93)+16)+6,2))),"")</f>
        <v/>
      </c>
      <c r="F93" s="5">
        <f>IFERROR(MID(A93,FIND("10",A93,FIND("15",A93,FIND("01",A93)+16)+8)+2,50),"")</f>
        <v/>
      </c>
      <c r="G93" s="5" t="n"/>
    </row>
    <row r="94">
      <c r="A94" s="7" t="n"/>
      <c r="B94" s="8">
        <f>IFERROR(MID(A94,FIND("01",A94)+2,14),"")</f>
        <v/>
      </c>
      <c r="C94" s="7">
        <f>IF(A94="","",IFERROR(VLOOKUP(B94,TblArticles,2,FALSE),"GTIN inconnu"))</f>
        <v/>
      </c>
      <c r="D94" s="8">
        <f>IF(A94="","",IFERROR(VLOOKUP(B94,TblArticles,3,FALSE),""))</f>
        <v/>
      </c>
      <c r="E94" s="9">
        <f>IFERROR(DATE(2000+VALUE(MID(A94,FIND("15",A94,FIND("01",A94)+16)+2,2)),VALUE(MID(A94,FIND("15",A94,FIND("01",A94)+16)+4,2)),VALUE(MID(A94,FIND("15",A94,FIND("01",A94)+16)+6,2))),"")</f>
        <v/>
      </c>
      <c r="F94" s="8">
        <f>IFERROR(MID(A94,FIND("10",A94,FIND("15",A94,FIND("01",A94)+16)+8)+2,50),"")</f>
        <v/>
      </c>
      <c r="G94" s="8" t="n"/>
    </row>
    <row r="95">
      <c r="A95" s="4" t="n"/>
      <c r="B95" s="5">
        <f>IFERROR(MID(A95,FIND("01",A95)+2,14),"")</f>
        <v/>
      </c>
      <c r="C95" s="4">
        <f>IF(A95="","",IFERROR(VLOOKUP(B95,TblArticles,2,FALSE),"GTIN inconnu"))</f>
        <v/>
      </c>
      <c r="D95" s="5">
        <f>IF(A95="","",IFERROR(VLOOKUP(B95,TblArticles,3,FALSE),""))</f>
        <v/>
      </c>
      <c r="E95" s="6">
        <f>IFERROR(DATE(2000+VALUE(MID(A95,FIND("15",A95,FIND("01",A95)+16)+2,2)),VALUE(MID(A95,FIND("15",A95,FIND("01",A95)+16)+4,2)),VALUE(MID(A95,FIND("15",A95,FIND("01",A95)+16)+6,2))),"")</f>
        <v/>
      </c>
      <c r="F95" s="5">
        <f>IFERROR(MID(A95,FIND("10",A95,FIND("15",A95,FIND("01",A95)+16)+8)+2,50),"")</f>
        <v/>
      </c>
      <c r="G95" s="5" t="n"/>
    </row>
    <row r="96">
      <c r="A96" s="7" t="n"/>
      <c r="B96" s="8">
        <f>IFERROR(MID(A96,FIND("01",A96)+2,14),"")</f>
        <v/>
      </c>
      <c r="C96" s="7">
        <f>IF(A96="","",IFERROR(VLOOKUP(B96,TblArticles,2,FALSE),"GTIN inconnu"))</f>
        <v/>
      </c>
      <c r="D96" s="8">
        <f>IF(A96="","",IFERROR(VLOOKUP(B96,TblArticles,3,FALSE),""))</f>
        <v/>
      </c>
      <c r="E96" s="9">
        <f>IFERROR(DATE(2000+VALUE(MID(A96,FIND("15",A96,FIND("01",A96)+16)+2,2)),VALUE(MID(A96,FIND("15",A96,FIND("01",A96)+16)+4,2)),VALUE(MID(A96,FIND("15",A96,FIND("01",A96)+16)+6,2))),"")</f>
        <v/>
      </c>
      <c r="F96" s="8">
        <f>IFERROR(MID(A96,FIND("10",A96,FIND("15",A96,FIND("01",A96)+16)+8)+2,50),"")</f>
        <v/>
      </c>
      <c r="G96" s="8" t="n"/>
    </row>
    <row r="97">
      <c r="A97" s="4" t="n"/>
      <c r="B97" s="5">
        <f>IFERROR(MID(A97,FIND("01",A97)+2,14),"")</f>
        <v/>
      </c>
      <c r="C97" s="4">
        <f>IF(A97="","",IFERROR(VLOOKUP(B97,TblArticles,2,FALSE),"GTIN inconnu"))</f>
        <v/>
      </c>
      <c r="D97" s="5">
        <f>IF(A97="","",IFERROR(VLOOKUP(B97,TblArticles,3,FALSE),""))</f>
        <v/>
      </c>
      <c r="E97" s="6">
        <f>IFERROR(DATE(2000+VALUE(MID(A97,FIND("15",A97,FIND("01",A97)+16)+2,2)),VALUE(MID(A97,FIND("15",A97,FIND("01",A97)+16)+4,2)),VALUE(MID(A97,FIND("15",A97,FIND("01",A97)+16)+6,2))),"")</f>
        <v/>
      </c>
      <c r="F97" s="5">
        <f>IFERROR(MID(A97,FIND("10",A97,FIND("15",A97,FIND("01",A97)+16)+8)+2,50),"")</f>
        <v/>
      </c>
      <c r="G97" s="5" t="n"/>
    </row>
    <row r="98">
      <c r="A98" s="7" t="n"/>
      <c r="B98" s="8">
        <f>IFERROR(MID(A98,FIND("01",A98)+2,14),"")</f>
        <v/>
      </c>
      <c r="C98" s="7">
        <f>IF(A98="","",IFERROR(VLOOKUP(B98,TblArticles,2,FALSE),"GTIN inconnu"))</f>
        <v/>
      </c>
      <c r="D98" s="8">
        <f>IF(A98="","",IFERROR(VLOOKUP(B98,TblArticles,3,FALSE),""))</f>
        <v/>
      </c>
      <c r="E98" s="9">
        <f>IFERROR(DATE(2000+VALUE(MID(A98,FIND("15",A98,FIND("01",A98)+16)+2,2)),VALUE(MID(A98,FIND("15",A98,FIND("01",A98)+16)+4,2)),VALUE(MID(A98,FIND("15",A98,FIND("01",A98)+16)+6,2))),"")</f>
        <v/>
      </c>
      <c r="F98" s="8">
        <f>IFERROR(MID(A98,FIND("10",A98,FIND("15",A98,FIND("01",A98)+16)+8)+2,50),"")</f>
        <v/>
      </c>
      <c r="G98" s="8" t="n"/>
    </row>
    <row r="99">
      <c r="A99" s="4" t="n"/>
      <c r="B99" s="5">
        <f>IFERROR(MID(A99,FIND("01",A99)+2,14),"")</f>
        <v/>
      </c>
      <c r="C99" s="4">
        <f>IF(A99="","",IFERROR(VLOOKUP(B99,TblArticles,2,FALSE),"GTIN inconnu"))</f>
        <v/>
      </c>
      <c r="D99" s="5">
        <f>IF(A99="","",IFERROR(VLOOKUP(B99,TblArticles,3,FALSE),""))</f>
        <v/>
      </c>
      <c r="E99" s="6">
        <f>IFERROR(DATE(2000+VALUE(MID(A99,FIND("15",A99,FIND("01",A99)+16)+2,2)),VALUE(MID(A99,FIND("15",A99,FIND("01",A99)+16)+4,2)),VALUE(MID(A99,FIND("15",A99,FIND("01",A99)+16)+6,2))),"")</f>
        <v/>
      </c>
      <c r="F99" s="5">
        <f>IFERROR(MID(A99,FIND("10",A99,FIND("15",A99,FIND("01",A99)+16)+8)+2,50),"")</f>
        <v/>
      </c>
      <c r="G99" s="5" t="n"/>
    </row>
    <row r="100">
      <c r="A100" s="7" t="n"/>
      <c r="B100" s="8">
        <f>IFERROR(MID(A100,FIND("01",A100)+2,14),"")</f>
        <v/>
      </c>
      <c r="C100" s="7">
        <f>IF(A100="","",IFERROR(VLOOKUP(B100,TblArticles,2,FALSE),"GTIN inconnu"))</f>
        <v/>
      </c>
      <c r="D100" s="8">
        <f>IF(A100="","",IFERROR(VLOOKUP(B100,TblArticles,3,FALSE),""))</f>
        <v/>
      </c>
      <c r="E100" s="9">
        <f>IFERROR(DATE(2000+VALUE(MID(A100,FIND("15",A100,FIND("01",A100)+16)+2,2)),VALUE(MID(A100,FIND("15",A100,FIND("01",A100)+16)+4,2)),VALUE(MID(A100,FIND("15",A100,FIND("01",A100)+16)+6,2))),"")</f>
        <v/>
      </c>
      <c r="F100" s="8">
        <f>IFERROR(MID(A100,FIND("10",A100,FIND("15",A100,FIND("01",A100)+16)+8)+2,50),"")</f>
        <v/>
      </c>
      <c r="G100" s="8" t="n"/>
    </row>
    <row r="101">
      <c r="A101" s="4" t="n"/>
      <c r="B101" s="5">
        <f>IFERROR(MID(A101,FIND("01",A101)+2,14),"")</f>
        <v/>
      </c>
      <c r="C101" s="4">
        <f>IF(A101="","",IFERROR(VLOOKUP(B101,TblArticles,2,FALSE),"GTIN inconnu"))</f>
        <v/>
      </c>
      <c r="D101" s="5">
        <f>IF(A101="","",IFERROR(VLOOKUP(B101,TblArticles,3,FALSE),""))</f>
        <v/>
      </c>
      <c r="E101" s="6">
        <f>IFERROR(DATE(2000+VALUE(MID(A101,FIND("15",A101,FIND("01",A101)+16)+2,2)),VALUE(MID(A101,FIND("15",A101,FIND("01",A101)+16)+4,2)),VALUE(MID(A101,FIND("15",A101,FIND("01",A101)+16)+6,2))),"")</f>
        <v/>
      </c>
      <c r="F101" s="5">
        <f>IFERROR(MID(A101,FIND("10",A101,FIND("15",A101,FIND("01",A101)+16)+8)+2,50),"")</f>
        <v/>
      </c>
      <c r="G101" s="5" t="n"/>
    </row>
    <row r="102">
      <c r="A102" s="7" t="n"/>
      <c r="B102" s="8">
        <f>IFERROR(MID(A102,FIND("01",A102)+2,14),"")</f>
        <v/>
      </c>
      <c r="C102" s="7">
        <f>IF(A102="","",IFERROR(VLOOKUP(B102,TblArticles,2,FALSE),"GTIN inconnu"))</f>
        <v/>
      </c>
      <c r="D102" s="8">
        <f>IF(A102="","",IFERROR(VLOOKUP(B102,TblArticles,3,FALSE),""))</f>
        <v/>
      </c>
      <c r="E102" s="9">
        <f>IFERROR(DATE(2000+VALUE(MID(A102,FIND("15",A102,FIND("01",A102)+16)+2,2)),VALUE(MID(A102,FIND("15",A102,FIND("01",A102)+16)+4,2)),VALUE(MID(A102,FIND("15",A102,FIND("01",A102)+16)+6,2))),"")</f>
        <v/>
      </c>
      <c r="F102" s="8">
        <f>IFERROR(MID(A102,FIND("10",A102,FIND("15",A102,FIND("01",A102)+16)+8)+2,50),"")</f>
        <v/>
      </c>
      <c r="G102" s="8" t="n"/>
    </row>
    <row r="103">
      <c r="A103" s="4" t="n"/>
      <c r="B103" s="5">
        <f>IFERROR(MID(A103,FIND("01",A103)+2,14),"")</f>
        <v/>
      </c>
      <c r="C103" s="4">
        <f>IF(A103="","",IFERROR(VLOOKUP(B103,TblArticles,2,FALSE),"GTIN inconnu"))</f>
        <v/>
      </c>
      <c r="D103" s="5">
        <f>IF(A103="","",IFERROR(VLOOKUP(B103,TblArticles,3,FALSE),""))</f>
        <v/>
      </c>
      <c r="E103" s="6">
        <f>IFERROR(DATE(2000+VALUE(MID(A103,FIND("15",A103,FIND("01",A103)+16)+2,2)),VALUE(MID(A103,FIND("15",A103,FIND("01",A103)+16)+4,2)),VALUE(MID(A103,FIND("15",A103,FIND("01",A103)+16)+6,2))),"")</f>
        <v/>
      </c>
      <c r="F103" s="5">
        <f>IFERROR(MID(A103,FIND("10",A103,FIND("15",A103,FIND("01",A103)+16)+8)+2,50),"")</f>
        <v/>
      </c>
      <c r="G103" s="5" t="n"/>
    </row>
    <row r="104">
      <c r="A104" s="7" t="n"/>
      <c r="B104" s="8">
        <f>IFERROR(MID(A104,FIND("01",A104)+2,14),"")</f>
        <v/>
      </c>
      <c r="C104" s="7">
        <f>IF(A104="","",IFERROR(VLOOKUP(B104,TblArticles,2,FALSE),"GTIN inconnu"))</f>
        <v/>
      </c>
      <c r="D104" s="8">
        <f>IF(A104="","",IFERROR(VLOOKUP(B104,TblArticles,3,FALSE),""))</f>
        <v/>
      </c>
      <c r="E104" s="9">
        <f>IFERROR(DATE(2000+VALUE(MID(A104,FIND("15",A104,FIND("01",A104)+16)+2,2)),VALUE(MID(A104,FIND("15",A104,FIND("01",A104)+16)+4,2)),VALUE(MID(A104,FIND("15",A104,FIND("01",A104)+16)+6,2))),"")</f>
        <v/>
      </c>
      <c r="F104" s="8">
        <f>IFERROR(MID(A104,FIND("10",A104,FIND("15",A104,FIND("01",A104)+16)+8)+2,50),"")</f>
        <v/>
      </c>
      <c r="G104" s="8" t="n"/>
    </row>
    <row r="105">
      <c r="A105" s="4" t="n"/>
      <c r="B105" s="5">
        <f>IFERROR(MID(A105,FIND("01",A105)+2,14),"")</f>
        <v/>
      </c>
      <c r="C105" s="4">
        <f>IF(A105="","",IFERROR(VLOOKUP(B105,TblArticles,2,FALSE),"GTIN inconnu"))</f>
        <v/>
      </c>
      <c r="D105" s="5">
        <f>IF(A105="","",IFERROR(VLOOKUP(B105,TblArticles,3,FALSE),""))</f>
        <v/>
      </c>
      <c r="E105" s="6">
        <f>IFERROR(DATE(2000+VALUE(MID(A105,FIND("15",A105,FIND("01",A105)+16)+2,2)),VALUE(MID(A105,FIND("15",A105,FIND("01",A105)+16)+4,2)),VALUE(MID(A105,FIND("15",A105,FIND("01",A105)+16)+6,2))),"")</f>
        <v/>
      </c>
      <c r="F105" s="5">
        <f>IFERROR(MID(A105,FIND("10",A105,FIND("15",A105,FIND("01",A105)+16)+8)+2,50),"")</f>
        <v/>
      </c>
      <c r="G105" s="5" t="n"/>
    </row>
    <row r="106">
      <c r="A106" s="7" t="n"/>
      <c r="B106" s="8">
        <f>IFERROR(MID(A106,FIND("01",A106)+2,14),"")</f>
        <v/>
      </c>
      <c r="C106" s="7">
        <f>IF(A106="","",IFERROR(VLOOKUP(B106,TblArticles,2,FALSE),"GTIN inconnu"))</f>
        <v/>
      </c>
      <c r="D106" s="8">
        <f>IF(A106="","",IFERROR(VLOOKUP(B106,TblArticles,3,FALSE),""))</f>
        <v/>
      </c>
      <c r="E106" s="9">
        <f>IFERROR(DATE(2000+VALUE(MID(A106,FIND("15",A106,FIND("01",A106)+16)+2,2)),VALUE(MID(A106,FIND("15",A106,FIND("01",A106)+16)+4,2)),VALUE(MID(A106,FIND("15",A106,FIND("01",A106)+16)+6,2))),"")</f>
        <v/>
      </c>
      <c r="F106" s="8">
        <f>IFERROR(MID(A106,FIND("10",A106,FIND("15",A106,FIND("01",A106)+16)+8)+2,50),"")</f>
        <v/>
      </c>
      <c r="G106" s="8" t="n"/>
    </row>
    <row r="107">
      <c r="A107" s="4" t="n"/>
      <c r="B107" s="5">
        <f>IFERROR(MID(A107,FIND("01",A107)+2,14),"")</f>
        <v/>
      </c>
      <c r="C107" s="4">
        <f>IF(A107="","",IFERROR(VLOOKUP(B107,TblArticles,2,FALSE),"GTIN inconnu"))</f>
        <v/>
      </c>
      <c r="D107" s="5">
        <f>IF(A107="","",IFERROR(VLOOKUP(B107,TblArticles,3,FALSE),""))</f>
        <v/>
      </c>
      <c r="E107" s="6">
        <f>IFERROR(DATE(2000+VALUE(MID(A107,FIND("15",A107,FIND("01",A107)+16)+2,2)),VALUE(MID(A107,FIND("15",A107,FIND("01",A107)+16)+4,2)),VALUE(MID(A107,FIND("15",A107,FIND("01",A107)+16)+6,2))),"")</f>
        <v/>
      </c>
      <c r="F107" s="5">
        <f>IFERROR(MID(A107,FIND("10",A107,FIND("15",A107,FIND("01",A107)+16)+8)+2,50),"")</f>
        <v/>
      </c>
      <c r="G107" s="5" t="n"/>
    </row>
    <row r="108">
      <c r="A108" s="7" t="n"/>
      <c r="B108" s="8">
        <f>IFERROR(MID(A108,FIND("01",A108)+2,14),"")</f>
        <v/>
      </c>
      <c r="C108" s="7">
        <f>IF(A108="","",IFERROR(VLOOKUP(B108,TblArticles,2,FALSE),"GTIN inconnu"))</f>
        <v/>
      </c>
      <c r="D108" s="8">
        <f>IF(A108="","",IFERROR(VLOOKUP(B108,TblArticles,3,FALSE),""))</f>
        <v/>
      </c>
      <c r="E108" s="9">
        <f>IFERROR(DATE(2000+VALUE(MID(A108,FIND("15",A108,FIND("01",A108)+16)+2,2)),VALUE(MID(A108,FIND("15",A108,FIND("01",A108)+16)+4,2)),VALUE(MID(A108,FIND("15",A108,FIND("01",A108)+16)+6,2))),"")</f>
        <v/>
      </c>
      <c r="F108" s="8">
        <f>IFERROR(MID(A108,FIND("10",A108,FIND("15",A108,FIND("01",A108)+16)+8)+2,50),"")</f>
        <v/>
      </c>
      <c r="G108" s="8" t="n"/>
    </row>
    <row r="109">
      <c r="A109" s="4" t="n"/>
      <c r="B109" s="5">
        <f>IFERROR(MID(A109,FIND("01",A109)+2,14),"")</f>
        <v/>
      </c>
      <c r="C109" s="4">
        <f>IF(A109="","",IFERROR(VLOOKUP(B109,TblArticles,2,FALSE),"GTIN inconnu"))</f>
        <v/>
      </c>
      <c r="D109" s="5">
        <f>IF(A109="","",IFERROR(VLOOKUP(B109,TblArticles,3,FALSE),""))</f>
        <v/>
      </c>
      <c r="E109" s="6">
        <f>IFERROR(DATE(2000+VALUE(MID(A109,FIND("15",A109,FIND("01",A109)+16)+2,2)),VALUE(MID(A109,FIND("15",A109,FIND("01",A109)+16)+4,2)),VALUE(MID(A109,FIND("15",A109,FIND("01",A109)+16)+6,2))),"")</f>
        <v/>
      </c>
      <c r="F109" s="5">
        <f>IFERROR(MID(A109,FIND("10",A109,FIND("15",A109,FIND("01",A109)+16)+8)+2,50),"")</f>
        <v/>
      </c>
      <c r="G109" s="5" t="n"/>
    </row>
    <row r="110">
      <c r="A110" s="7" t="n"/>
      <c r="B110" s="8">
        <f>IFERROR(MID(A110,FIND("01",A110)+2,14),"")</f>
        <v/>
      </c>
      <c r="C110" s="7">
        <f>IF(A110="","",IFERROR(VLOOKUP(B110,TblArticles,2,FALSE),"GTIN inconnu"))</f>
        <v/>
      </c>
      <c r="D110" s="8">
        <f>IF(A110="","",IFERROR(VLOOKUP(B110,TblArticles,3,FALSE),""))</f>
        <v/>
      </c>
      <c r="E110" s="9">
        <f>IFERROR(DATE(2000+VALUE(MID(A110,FIND("15",A110,FIND("01",A110)+16)+2,2)),VALUE(MID(A110,FIND("15",A110,FIND("01",A110)+16)+4,2)),VALUE(MID(A110,FIND("15",A110,FIND("01",A110)+16)+6,2))),"")</f>
        <v/>
      </c>
      <c r="F110" s="8">
        <f>IFERROR(MID(A110,FIND("10",A110,FIND("15",A110,FIND("01",A110)+16)+8)+2,50),"")</f>
        <v/>
      </c>
      <c r="G110" s="8" t="n"/>
    </row>
    <row r="111">
      <c r="A111" s="4" t="n"/>
      <c r="B111" s="5">
        <f>IFERROR(MID(A111,FIND("01",A111)+2,14),"")</f>
        <v/>
      </c>
      <c r="C111" s="4">
        <f>IF(A111="","",IFERROR(VLOOKUP(B111,TblArticles,2,FALSE),"GTIN inconnu"))</f>
        <v/>
      </c>
      <c r="D111" s="5">
        <f>IF(A111="","",IFERROR(VLOOKUP(B111,TblArticles,3,FALSE),""))</f>
        <v/>
      </c>
      <c r="E111" s="6">
        <f>IFERROR(DATE(2000+VALUE(MID(A111,FIND("15",A111,FIND("01",A111)+16)+2,2)),VALUE(MID(A111,FIND("15",A111,FIND("01",A111)+16)+4,2)),VALUE(MID(A111,FIND("15",A111,FIND("01",A111)+16)+6,2))),"")</f>
        <v/>
      </c>
      <c r="F111" s="5">
        <f>IFERROR(MID(A111,FIND("10",A111,FIND("15",A111,FIND("01",A111)+16)+8)+2,50),"")</f>
        <v/>
      </c>
      <c r="G111" s="5" t="n"/>
    </row>
    <row r="112">
      <c r="A112" s="7" t="n"/>
      <c r="B112" s="8">
        <f>IFERROR(MID(A112,FIND("01",A112)+2,14),"")</f>
        <v/>
      </c>
      <c r="C112" s="7">
        <f>IF(A112="","",IFERROR(VLOOKUP(B112,TblArticles,2,FALSE),"GTIN inconnu"))</f>
        <v/>
      </c>
      <c r="D112" s="8">
        <f>IF(A112="","",IFERROR(VLOOKUP(B112,TblArticles,3,FALSE),""))</f>
        <v/>
      </c>
      <c r="E112" s="9">
        <f>IFERROR(DATE(2000+VALUE(MID(A112,FIND("15",A112,FIND("01",A112)+16)+2,2)),VALUE(MID(A112,FIND("15",A112,FIND("01",A112)+16)+4,2)),VALUE(MID(A112,FIND("15",A112,FIND("01",A112)+16)+6,2))),"")</f>
        <v/>
      </c>
      <c r="F112" s="8">
        <f>IFERROR(MID(A112,FIND("10",A112,FIND("15",A112,FIND("01",A112)+16)+8)+2,50),"")</f>
        <v/>
      </c>
      <c r="G112" s="8" t="n"/>
    </row>
    <row r="113">
      <c r="A113" s="4" t="n"/>
      <c r="B113" s="5">
        <f>IFERROR(MID(A113,FIND("01",A113)+2,14),"")</f>
        <v/>
      </c>
      <c r="C113" s="4">
        <f>IF(A113="","",IFERROR(VLOOKUP(B113,TblArticles,2,FALSE),"GTIN inconnu"))</f>
        <v/>
      </c>
      <c r="D113" s="5">
        <f>IF(A113="","",IFERROR(VLOOKUP(B113,TblArticles,3,FALSE),""))</f>
        <v/>
      </c>
      <c r="E113" s="6">
        <f>IFERROR(DATE(2000+VALUE(MID(A113,FIND("15",A113,FIND("01",A113)+16)+2,2)),VALUE(MID(A113,FIND("15",A113,FIND("01",A113)+16)+4,2)),VALUE(MID(A113,FIND("15",A113,FIND("01",A113)+16)+6,2))),"")</f>
        <v/>
      </c>
      <c r="F113" s="5">
        <f>IFERROR(MID(A113,FIND("10",A113,FIND("15",A113,FIND("01",A113)+16)+8)+2,50),"")</f>
        <v/>
      </c>
      <c r="G113" s="5" t="n"/>
    </row>
    <row r="114">
      <c r="A114" s="7" t="n"/>
      <c r="B114" s="8">
        <f>IFERROR(MID(A114,FIND("01",A114)+2,14),"")</f>
        <v/>
      </c>
      <c r="C114" s="7">
        <f>IF(A114="","",IFERROR(VLOOKUP(B114,TblArticles,2,FALSE),"GTIN inconnu"))</f>
        <v/>
      </c>
      <c r="D114" s="8">
        <f>IF(A114="","",IFERROR(VLOOKUP(B114,TblArticles,3,FALSE),""))</f>
        <v/>
      </c>
      <c r="E114" s="9">
        <f>IFERROR(DATE(2000+VALUE(MID(A114,FIND("15",A114,FIND("01",A114)+16)+2,2)),VALUE(MID(A114,FIND("15",A114,FIND("01",A114)+16)+4,2)),VALUE(MID(A114,FIND("15",A114,FIND("01",A114)+16)+6,2))),"")</f>
        <v/>
      </c>
      <c r="F114" s="8">
        <f>IFERROR(MID(A114,FIND("10",A114,FIND("15",A114,FIND("01",A114)+16)+8)+2,50),"")</f>
        <v/>
      </c>
      <c r="G114" s="8" t="n"/>
    </row>
    <row r="115">
      <c r="A115" s="4" t="n"/>
      <c r="B115" s="5">
        <f>IFERROR(MID(A115,FIND("01",A115)+2,14),"")</f>
        <v/>
      </c>
      <c r="C115" s="4">
        <f>IF(A115="","",IFERROR(VLOOKUP(B115,TblArticles,2,FALSE),"GTIN inconnu"))</f>
        <v/>
      </c>
      <c r="D115" s="5">
        <f>IF(A115="","",IFERROR(VLOOKUP(B115,TblArticles,3,FALSE),""))</f>
        <v/>
      </c>
      <c r="E115" s="6">
        <f>IFERROR(DATE(2000+VALUE(MID(A115,FIND("15",A115,FIND("01",A115)+16)+2,2)),VALUE(MID(A115,FIND("15",A115,FIND("01",A115)+16)+4,2)),VALUE(MID(A115,FIND("15",A115,FIND("01",A115)+16)+6,2))),"")</f>
        <v/>
      </c>
      <c r="F115" s="5">
        <f>IFERROR(MID(A115,FIND("10",A115,FIND("15",A115,FIND("01",A115)+16)+8)+2,50),"")</f>
        <v/>
      </c>
      <c r="G115" s="5" t="n"/>
    </row>
    <row r="116">
      <c r="A116" s="7" t="n"/>
      <c r="B116" s="8">
        <f>IFERROR(MID(A116,FIND("01",A116)+2,14),"")</f>
        <v/>
      </c>
      <c r="C116" s="7">
        <f>IF(A116="","",IFERROR(VLOOKUP(B116,TblArticles,2,FALSE),"GTIN inconnu"))</f>
        <v/>
      </c>
      <c r="D116" s="8">
        <f>IF(A116="","",IFERROR(VLOOKUP(B116,TblArticles,3,FALSE),""))</f>
        <v/>
      </c>
      <c r="E116" s="9">
        <f>IFERROR(DATE(2000+VALUE(MID(A116,FIND("15",A116,FIND("01",A116)+16)+2,2)),VALUE(MID(A116,FIND("15",A116,FIND("01",A116)+16)+4,2)),VALUE(MID(A116,FIND("15",A116,FIND("01",A116)+16)+6,2))),"")</f>
        <v/>
      </c>
      <c r="F116" s="8">
        <f>IFERROR(MID(A116,FIND("10",A116,FIND("15",A116,FIND("01",A116)+16)+8)+2,50),"")</f>
        <v/>
      </c>
      <c r="G116" s="8" t="n"/>
    </row>
    <row r="117">
      <c r="A117" s="4" t="n"/>
      <c r="B117" s="5">
        <f>IFERROR(MID(A117,FIND("01",A117)+2,14),"")</f>
        <v/>
      </c>
      <c r="C117" s="4">
        <f>IF(A117="","",IFERROR(VLOOKUP(B117,TblArticles,2,FALSE),"GTIN inconnu"))</f>
        <v/>
      </c>
      <c r="D117" s="5">
        <f>IF(A117="","",IFERROR(VLOOKUP(B117,TblArticles,3,FALSE),""))</f>
        <v/>
      </c>
      <c r="E117" s="6">
        <f>IFERROR(DATE(2000+VALUE(MID(A117,FIND("15",A117,FIND("01",A117)+16)+2,2)),VALUE(MID(A117,FIND("15",A117,FIND("01",A117)+16)+4,2)),VALUE(MID(A117,FIND("15",A117,FIND("01",A117)+16)+6,2))),"")</f>
        <v/>
      </c>
      <c r="F117" s="5">
        <f>IFERROR(MID(A117,FIND("10",A117,FIND("15",A117,FIND("01",A117)+16)+8)+2,50),"")</f>
        <v/>
      </c>
      <c r="G117" s="5" t="n"/>
    </row>
    <row r="118">
      <c r="A118" s="7" t="n"/>
      <c r="B118" s="8">
        <f>IFERROR(MID(A118,FIND("01",A118)+2,14),"")</f>
        <v/>
      </c>
      <c r="C118" s="7">
        <f>IF(A118="","",IFERROR(VLOOKUP(B118,TblArticles,2,FALSE),"GTIN inconnu"))</f>
        <v/>
      </c>
      <c r="D118" s="8">
        <f>IF(A118="","",IFERROR(VLOOKUP(B118,TblArticles,3,FALSE),""))</f>
        <v/>
      </c>
      <c r="E118" s="9">
        <f>IFERROR(DATE(2000+VALUE(MID(A118,FIND("15",A118,FIND("01",A118)+16)+2,2)),VALUE(MID(A118,FIND("15",A118,FIND("01",A118)+16)+4,2)),VALUE(MID(A118,FIND("15",A118,FIND("01",A118)+16)+6,2))),"")</f>
        <v/>
      </c>
      <c r="F118" s="8">
        <f>IFERROR(MID(A118,FIND("10",A118,FIND("15",A118,FIND("01",A118)+16)+8)+2,50),"")</f>
        <v/>
      </c>
      <c r="G118" s="8" t="n"/>
    </row>
    <row r="119">
      <c r="A119" s="4" t="n"/>
      <c r="B119" s="5">
        <f>IFERROR(MID(A119,FIND("01",A119)+2,14),"")</f>
        <v/>
      </c>
      <c r="C119" s="4">
        <f>IF(A119="","",IFERROR(VLOOKUP(B119,TblArticles,2,FALSE),"GTIN inconnu"))</f>
        <v/>
      </c>
      <c r="D119" s="5">
        <f>IF(A119="","",IFERROR(VLOOKUP(B119,TblArticles,3,FALSE),""))</f>
        <v/>
      </c>
      <c r="E119" s="6">
        <f>IFERROR(DATE(2000+VALUE(MID(A119,FIND("15",A119,FIND("01",A119)+16)+2,2)),VALUE(MID(A119,FIND("15",A119,FIND("01",A119)+16)+4,2)),VALUE(MID(A119,FIND("15",A119,FIND("01",A119)+16)+6,2))),"")</f>
        <v/>
      </c>
      <c r="F119" s="5">
        <f>IFERROR(MID(A119,FIND("10",A119,FIND("15",A119,FIND("01",A119)+16)+8)+2,50),"")</f>
        <v/>
      </c>
      <c r="G119" s="5" t="n"/>
    </row>
    <row r="120">
      <c r="A120" s="7" t="n"/>
      <c r="B120" s="8">
        <f>IFERROR(MID(A120,FIND("01",A120)+2,14),"")</f>
        <v/>
      </c>
      <c r="C120" s="7">
        <f>IF(A120="","",IFERROR(VLOOKUP(B120,TblArticles,2,FALSE),"GTIN inconnu"))</f>
        <v/>
      </c>
      <c r="D120" s="8">
        <f>IF(A120="","",IFERROR(VLOOKUP(B120,TblArticles,3,FALSE),""))</f>
        <v/>
      </c>
      <c r="E120" s="9">
        <f>IFERROR(DATE(2000+VALUE(MID(A120,FIND("15",A120,FIND("01",A120)+16)+2,2)),VALUE(MID(A120,FIND("15",A120,FIND("01",A120)+16)+4,2)),VALUE(MID(A120,FIND("15",A120,FIND("01",A120)+16)+6,2))),"")</f>
        <v/>
      </c>
      <c r="F120" s="8">
        <f>IFERROR(MID(A120,FIND("10",A120,FIND("15",A120,FIND("01",A120)+16)+8)+2,50),"")</f>
        <v/>
      </c>
      <c r="G120" s="8" t="n"/>
    </row>
    <row r="121">
      <c r="A121" s="4" t="n"/>
      <c r="B121" s="5">
        <f>IFERROR(MID(A121,FIND("01",A121)+2,14),"")</f>
        <v/>
      </c>
      <c r="C121" s="4">
        <f>IF(A121="","",IFERROR(VLOOKUP(B121,TblArticles,2,FALSE),"GTIN inconnu"))</f>
        <v/>
      </c>
      <c r="D121" s="5">
        <f>IF(A121="","",IFERROR(VLOOKUP(B121,TblArticles,3,FALSE),""))</f>
        <v/>
      </c>
      <c r="E121" s="6">
        <f>IFERROR(DATE(2000+VALUE(MID(A121,FIND("15",A121,FIND("01",A121)+16)+2,2)),VALUE(MID(A121,FIND("15",A121,FIND("01",A121)+16)+4,2)),VALUE(MID(A121,FIND("15",A121,FIND("01",A121)+16)+6,2))),"")</f>
        <v/>
      </c>
      <c r="F121" s="5">
        <f>IFERROR(MID(A121,FIND("10",A121,FIND("15",A121,FIND("01",A121)+16)+8)+2,50),"")</f>
        <v/>
      </c>
      <c r="G121" s="5" t="n"/>
    </row>
    <row r="122">
      <c r="A122" s="7" t="n"/>
      <c r="B122" s="8">
        <f>IFERROR(MID(A122,FIND("01",A122)+2,14),"")</f>
        <v/>
      </c>
      <c r="C122" s="7">
        <f>IF(A122="","",IFERROR(VLOOKUP(B122,TblArticles,2,FALSE),"GTIN inconnu"))</f>
        <v/>
      </c>
      <c r="D122" s="8">
        <f>IF(A122="","",IFERROR(VLOOKUP(B122,TblArticles,3,FALSE),""))</f>
        <v/>
      </c>
      <c r="E122" s="9">
        <f>IFERROR(DATE(2000+VALUE(MID(A122,FIND("15",A122,FIND("01",A122)+16)+2,2)),VALUE(MID(A122,FIND("15",A122,FIND("01",A122)+16)+4,2)),VALUE(MID(A122,FIND("15",A122,FIND("01",A122)+16)+6,2))),"")</f>
        <v/>
      </c>
      <c r="F122" s="8">
        <f>IFERROR(MID(A122,FIND("10",A122,FIND("15",A122,FIND("01",A122)+16)+8)+2,50),"")</f>
        <v/>
      </c>
      <c r="G122" s="8" t="n"/>
    </row>
    <row r="123">
      <c r="A123" s="4" t="n"/>
      <c r="B123" s="5">
        <f>IFERROR(MID(A123,FIND("01",A123)+2,14),"")</f>
        <v/>
      </c>
      <c r="C123" s="4">
        <f>IF(A123="","",IFERROR(VLOOKUP(B123,TblArticles,2,FALSE),"GTIN inconnu"))</f>
        <v/>
      </c>
      <c r="D123" s="5">
        <f>IF(A123="","",IFERROR(VLOOKUP(B123,TblArticles,3,FALSE),""))</f>
        <v/>
      </c>
      <c r="E123" s="6">
        <f>IFERROR(DATE(2000+VALUE(MID(A123,FIND("15",A123,FIND("01",A123)+16)+2,2)),VALUE(MID(A123,FIND("15",A123,FIND("01",A123)+16)+4,2)),VALUE(MID(A123,FIND("15",A123,FIND("01",A123)+16)+6,2))),"")</f>
        <v/>
      </c>
      <c r="F123" s="5">
        <f>IFERROR(MID(A123,FIND("10",A123,FIND("15",A123,FIND("01",A123)+16)+8)+2,50),"")</f>
        <v/>
      </c>
      <c r="G123" s="5" t="n"/>
    </row>
    <row r="124">
      <c r="A124" s="7" t="n"/>
      <c r="B124" s="8">
        <f>IFERROR(MID(A124,FIND("01",A124)+2,14),"")</f>
        <v/>
      </c>
      <c r="C124" s="7">
        <f>IF(A124="","",IFERROR(VLOOKUP(B124,TblArticles,2,FALSE),"GTIN inconnu"))</f>
        <v/>
      </c>
      <c r="D124" s="8">
        <f>IF(A124="","",IFERROR(VLOOKUP(B124,TblArticles,3,FALSE),""))</f>
        <v/>
      </c>
      <c r="E124" s="9">
        <f>IFERROR(DATE(2000+VALUE(MID(A124,FIND("15",A124,FIND("01",A124)+16)+2,2)),VALUE(MID(A124,FIND("15",A124,FIND("01",A124)+16)+4,2)),VALUE(MID(A124,FIND("15",A124,FIND("01",A124)+16)+6,2))),"")</f>
        <v/>
      </c>
      <c r="F124" s="8">
        <f>IFERROR(MID(A124,FIND("10",A124,FIND("15",A124,FIND("01",A124)+16)+8)+2,50),"")</f>
        <v/>
      </c>
      <c r="G124" s="8" t="n"/>
    </row>
    <row r="125">
      <c r="A125" s="4" t="n"/>
      <c r="B125" s="5">
        <f>IFERROR(MID(A125,FIND("01",A125)+2,14),"")</f>
        <v/>
      </c>
      <c r="C125" s="4">
        <f>IF(A125="","",IFERROR(VLOOKUP(B125,TblArticles,2,FALSE),"GTIN inconnu"))</f>
        <v/>
      </c>
      <c r="D125" s="5">
        <f>IF(A125="","",IFERROR(VLOOKUP(B125,TblArticles,3,FALSE),""))</f>
        <v/>
      </c>
      <c r="E125" s="6">
        <f>IFERROR(DATE(2000+VALUE(MID(A125,FIND("15",A125,FIND("01",A125)+16)+2,2)),VALUE(MID(A125,FIND("15",A125,FIND("01",A125)+16)+4,2)),VALUE(MID(A125,FIND("15",A125,FIND("01",A125)+16)+6,2))),"")</f>
        <v/>
      </c>
      <c r="F125" s="5">
        <f>IFERROR(MID(A125,FIND("10",A125,FIND("15",A125,FIND("01",A125)+16)+8)+2,50),"")</f>
        <v/>
      </c>
      <c r="G125" s="5" t="n"/>
    </row>
    <row r="126">
      <c r="A126" s="7" t="n"/>
      <c r="B126" s="8">
        <f>IFERROR(MID(A126,FIND("01",A126)+2,14),"")</f>
        <v/>
      </c>
      <c r="C126" s="7">
        <f>IF(A126="","",IFERROR(VLOOKUP(B126,TblArticles,2,FALSE),"GTIN inconnu"))</f>
        <v/>
      </c>
      <c r="D126" s="8">
        <f>IF(A126="","",IFERROR(VLOOKUP(B126,TblArticles,3,FALSE),""))</f>
        <v/>
      </c>
      <c r="E126" s="9">
        <f>IFERROR(DATE(2000+VALUE(MID(A126,FIND("15",A126,FIND("01",A126)+16)+2,2)),VALUE(MID(A126,FIND("15",A126,FIND("01",A126)+16)+4,2)),VALUE(MID(A126,FIND("15",A126,FIND("01",A126)+16)+6,2))),"")</f>
        <v/>
      </c>
      <c r="F126" s="8">
        <f>IFERROR(MID(A126,FIND("10",A126,FIND("15",A126,FIND("01",A126)+16)+8)+2,50),"")</f>
        <v/>
      </c>
      <c r="G126" s="8" t="n"/>
    </row>
    <row r="127">
      <c r="A127" s="4" t="n"/>
      <c r="B127" s="5">
        <f>IFERROR(MID(A127,FIND("01",A127)+2,14),"")</f>
        <v/>
      </c>
      <c r="C127" s="4">
        <f>IF(A127="","",IFERROR(VLOOKUP(B127,TblArticles,2,FALSE),"GTIN inconnu"))</f>
        <v/>
      </c>
      <c r="D127" s="5">
        <f>IF(A127="","",IFERROR(VLOOKUP(B127,TblArticles,3,FALSE),""))</f>
        <v/>
      </c>
      <c r="E127" s="6">
        <f>IFERROR(DATE(2000+VALUE(MID(A127,FIND("15",A127,FIND("01",A127)+16)+2,2)),VALUE(MID(A127,FIND("15",A127,FIND("01",A127)+16)+4,2)),VALUE(MID(A127,FIND("15",A127,FIND("01",A127)+16)+6,2))),"")</f>
        <v/>
      </c>
      <c r="F127" s="5">
        <f>IFERROR(MID(A127,FIND("10",A127,FIND("15",A127,FIND("01",A127)+16)+8)+2,50),"")</f>
        <v/>
      </c>
      <c r="G127" s="5" t="n"/>
    </row>
    <row r="128">
      <c r="A128" s="7" t="n"/>
      <c r="B128" s="8">
        <f>IFERROR(MID(A128,FIND("01",A128)+2,14),"")</f>
        <v/>
      </c>
      <c r="C128" s="7">
        <f>IF(A128="","",IFERROR(VLOOKUP(B128,TblArticles,2,FALSE),"GTIN inconnu"))</f>
        <v/>
      </c>
      <c r="D128" s="8">
        <f>IF(A128="","",IFERROR(VLOOKUP(B128,TblArticles,3,FALSE),""))</f>
        <v/>
      </c>
      <c r="E128" s="9">
        <f>IFERROR(DATE(2000+VALUE(MID(A128,FIND("15",A128,FIND("01",A128)+16)+2,2)),VALUE(MID(A128,FIND("15",A128,FIND("01",A128)+16)+4,2)),VALUE(MID(A128,FIND("15",A128,FIND("01",A128)+16)+6,2))),"")</f>
        <v/>
      </c>
      <c r="F128" s="8">
        <f>IFERROR(MID(A128,FIND("10",A128,FIND("15",A128,FIND("01",A128)+16)+8)+2,50),"")</f>
        <v/>
      </c>
      <c r="G128" s="8" t="n"/>
    </row>
    <row r="129">
      <c r="A129" s="4" t="n"/>
      <c r="B129" s="5">
        <f>IFERROR(MID(A129,FIND("01",A129)+2,14),"")</f>
        <v/>
      </c>
      <c r="C129" s="4">
        <f>IF(A129="","",IFERROR(VLOOKUP(B129,TblArticles,2,FALSE),"GTIN inconnu"))</f>
        <v/>
      </c>
      <c r="D129" s="5">
        <f>IF(A129="","",IFERROR(VLOOKUP(B129,TblArticles,3,FALSE),""))</f>
        <v/>
      </c>
      <c r="E129" s="6">
        <f>IFERROR(DATE(2000+VALUE(MID(A129,FIND("15",A129,FIND("01",A129)+16)+2,2)),VALUE(MID(A129,FIND("15",A129,FIND("01",A129)+16)+4,2)),VALUE(MID(A129,FIND("15",A129,FIND("01",A129)+16)+6,2))),"")</f>
        <v/>
      </c>
      <c r="F129" s="5">
        <f>IFERROR(MID(A129,FIND("10",A129,FIND("15",A129,FIND("01",A129)+16)+8)+2,50),"")</f>
        <v/>
      </c>
      <c r="G129" s="5" t="n"/>
    </row>
    <row r="130">
      <c r="A130" s="7" t="n"/>
      <c r="B130" s="8">
        <f>IFERROR(MID(A130,FIND("01",A130)+2,14),"")</f>
        <v/>
      </c>
      <c r="C130" s="7">
        <f>IF(A130="","",IFERROR(VLOOKUP(B130,TblArticles,2,FALSE),"GTIN inconnu"))</f>
        <v/>
      </c>
      <c r="D130" s="8">
        <f>IF(A130="","",IFERROR(VLOOKUP(B130,TblArticles,3,FALSE),""))</f>
        <v/>
      </c>
      <c r="E130" s="9">
        <f>IFERROR(DATE(2000+VALUE(MID(A130,FIND("15",A130,FIND("01",A130)+16)+2,2)),VALUE(MID(A130,FIND("15",A130,FIND("01",A130)+16)+4,2)),VALUE(MID(A130,FIND("15",A130,FIND("01",A130)+16)+6,2))),"")</f>
        <v/>
      </c>
      <c r="F130" s="8">
        <f>IFERROR(MID(A130,FIND("10",A130,FIND("15",A130,FIND("01",A130)+16)+8)+2,50),"")</f>
        <v/>
      </c>
      <c r="G130" s="8" t="n"/>
    </row>
    <row r="131">
      <c r="A131" s="4" t="n"/>
      <c r="B131" s="5">
        <f>IFERROR(MID(A131,FIND("01",A131)+2,14),"")</f>
        <v/>
      </c>
      <c r="C131" s="4">
        <f>IF(A131="","",IFERROR(VLOOKUP(B131,TblArticles,2,FALSE),"GTIN inconnu"))</f>
        <v/>
      </c>
      <c r="D131" s="5">
        <f>IF(A131="","",IFERROR(VLOOKUP(B131,TblArticles,3,FALSE),""))</f>
        <v/>
      </c>
      <c r="E131" s="6">
        <f>IFERROR(DATE(2000+VALUE(MID(A131,FIND("15",A131,FIND("01",A131)+16)+2,2)),VALUE(MID(A131,FIND("15",A131,FIND("01",A131)+16)+4,2)),VALUE(MID(A131,FIND("15",A131,FIND("01",A131)+16)+6,2))),"")</f>
        <v/>
      </c>
      <c r="F131" s="5">
        <f>IFERROR(MID(A131,FIND("10",A131,FIND("15",A131,FIND("01",A131)+16)+8)+2,50),"")</f>
        <v/>
      </c>
      <c r="G131" s="5" t="n"/>
    </row>
    <row r="132">
      <c r="A132" s="7" t="n"/>
      <c r="B132" s="8">
        <f>IFERROR(MID(A132,FIND("01",A132)+2,14),"")</f>
        <v/>
      </c>
      <c r="C132" s="7">
        <f>IF(A132="","",IFERROR(VLOOKUP(B132,TblArticles,2,FALSE),"GTIN inconnu"))</f>
        <v/>
      </c>
      <c r="D132" s="8">
        <f>IF(A132="","",IFERROR(VLOOKUP(B132,TblArticles,3,FALSE),""))</f>
        <v/>
      </c>
      <c r="E132" s="9">
        <f>IFERROR(DATE(2000+VALUE(MID(A132,FIND("15",A132,FIND("01",A132)+16)+2,2)),VALUE(MID(A132,FIND("15",A132,FIND("01",A132)+16)+4,2)),VALUE(MID(A132,FIND("15",A132,FIND("01",A132)+16)+6,2))),"")</f>
        <v/>
      </c>
      <c r="F132" s="8">
        <f>IFERROR(MID(A132,FIND("10",A132,FIND("15",A132,FIND("01",A132)+16)+8)+2,50),"")</f>
        <v/>
      </c>
      <c r="G132" s="8" t="n"/>
    </row>
    <row r="133">
      <c r="A133" s="4" t="n"/>
      <c r="B133" s="5">
        <f>IFERROR(MID(A133,FIND("01",A133)+2,14),"")</f>
        <v/>
      </c>
      <c r="C133" s="4">
        <f>IF(A133="","",IFERROR(VLOOKUP(B133,TblArticles,2,FALSE),"GTIN inconnu"))</f>
        <v/>
      </c>
      <c r="D133" s="5">
        <f>IF(A133="","",IFERROR(VLOOKUP(B133,TblArticles,3,FALSE),""))</f>
        <v/>
      </c>
      <c r="E133" s="6">
        <f>IFERROR(DATE(2000+VALUE(MID(A133,FIND("15",A133,FIND("01",A133)+16)+2,2)),VALUE(MID(A133,FIND("15",A133,FIND("01",A133)+16)+4,2)),VALUE(MID(A133,FIND("15",A133,FIND("01",A133)+16)+6,2))),"")</f>
        <v/>
      </c>
      <c r="F133" s="5">
        <f>IFERROR(MID(A133,FIND("10",A133,FIND("15",A133,FIND("01",A133)+16)+8)+2,50),"")</f>
        <v/>
      </c>
      <c r="G133" s="5" t="n"/>
    </row>
    <row r="134">
      <c r="A134" s="7" t="n"/>
      <c r="B134" s="8">
        <f>IFERROR(MID(A134,FIND("01",A134)+2,14),"")</f>
        <v/>
      </c>
      <c r="C134" s="7">
        <f>IF(A134="","",IFERROR(VLOOKUP(B134,TblArticles,2,FALSE),"GTIN inconnu"))</f>
        <v/>
      </c>
      <c r="D134" s="8">
        <f>IF(A134="","",IFERROR(VLOOKUP(B134,TblArticles,3,FALSE),""))</f>
        <v/>
      </c>
      <c r="E134" s="9">
        <f>IFERROR(DATE(2000+VALUE(MID(A134,FIND("15",A134,FIND("01",A134)+16)+2,2)),VALUE(MID(A134,FIND("15",A134,FIND("01",A134)+16)+4,2)),VALUE(MID(A134,FIND("15",A134,FIND("01",A134)+16)+6,2))),"")</f>
        <v/>
      </c>
      <c r="F134" s="8">
        <f>IFERROR(MID(A134,FIND("10",A134,FIND("15",A134,FIND("01",A134)+16)+8)+2,50),"")</f>
        <v/>
      </c>
      <c r="G134" s="8" t="n"/>
    </row>
    <row r="135">
      <c r="A135" s="4" t="n"/>
      <c r="B135" s="5">
        <f>IFERROR(MID(A135,FIND("01",A135)+2,14),"")</f>
        <v/>
      </c>
      <c r="C135" s="4">
        <f>IF(A135="","",IFERROR(VLOOKUP(B135,TblArticles,2,FALSE),"GTIN inconnu"))</f>
        <v/>
      </c>
      <c r="D135" s="5">
        <f>IF(A135="","",IFERROR(VLOOKUP(B135,TblArticles,3,FALSE),""))</f>
        <v/>
      </c>
      <c r="E135" s="6">
        <f>IFERROR(DATE(2000+VALUE(MID(A135,FIND("15",A135,FIND("01",A135)+16)+2,2)),VALUE(MID(A135,FIND("15",A135,FIND("01",A135)+16)+4,2)),VALUE(MID(A135,FIND("15",A135,FIND("01",A135)+16)+6,2))),"")</f>
        <v/>
      </c>
      <c r="F135" s="5">
        <f>IFERROR(MID(A135,FIND("10",A135,FIND("15",A135,FIND("01",A135)+16)+8)+2,50),"")</f>
        <v/>
      </c>
      <c r="G135" s="5" t="n"/>
    </row>
    <row r="136">
      <c r="A136" s="7" t="n"/>
      <c r="B136" s="8">
        <f>IFERROR(MID(A136,FIND("01",A136)+2,14),"")</f>
        <v/>
      </c>
      <c r="C136" s="7">
        <f>IF(A136="","",IFERROR(VLOOKUP(B136,TblArticles,2,FALSE),"GTIN inconnu"))</f>
        <v/>
      </c>
      <c r="D136" s="8">
        <f>IF(A136="","",IFERROR(VLOOKUP(B136,TblArticles,3,FALSE),""))</f>
        <v/>
      </c>
      <c r="E136" s="9">
        <f>IFERROR(DATE(2000+VALUE(MID(A136,FIND("15",A136,FIND("01",A136)+16)+2,2)),VALUE(MID(A136,FIND("15",A136,FIND("01",A136)+16)+4,2)),VALUE(MID(A136,FIND("15",A136,FIND("01",A136)+16)+6,2))),"")</f>
        <v/>
      </c>
      <c r="F136" s="8">
        <f>IFERROR(MID(A136,FIND("10",A136,FIND("15",A136,FIND("01",A136)+16)+8)+2,50),"")</f>
        <v/>
      </c>
      <c r="G136" s="8" t="n"/>
    </row>
    <row r="137">
      <c r="A137" s="4" t="n"/>
      <c r="B137" s="5">
        <f>IFERROR(MID(A137,FIND("01",A137)+2,14),"")</f>
        <v/>
      </c>
      <c r="C137" s="4">
        <f>IF(A137="","",IFERROR(VLOOKUP(B137,TblArticles,2,FALSE),"GTIN inconnu"))</f>
        <v/>
      </c>
      <c r="D137" s="5">
        <f>IF(A137="","",IFERROR(VLOOKUP(B137,TblArticles,3,FALSE),""))</f>
        <v/>
      </c>
      <c r="E137" s="6">
        <f>IFERROR(DATE(2000+VALUE(MID(A137,FIND("15",A137,FIND("01",A137)+16)+2,2)),VALUE(MID(A137,FIND("15",A137,FIND("01",A137)+16)+4,2)),VALUE(MID(A137,FIND("15",A137,FIND("01",A137)+16)+6,2))),"")</f>
        <v/>
      </c>
      <c r="F137" s="5">
        <f>IFERROR(MID(A137,FIND("10",A137,FIND("15",A137,FIND("01",A137)+16)+8)+2,50),"")</f>
        <v/>
      </c>
      <c r="G137" s="5" t="n"/>
    </row>
    <row r="138">
      <c r="A138" s="7" t="n"/>
      <c r="B138" s="8">
        <f>IFERROR(MID(A138,FIND("01",A138)+2,14),"")</f>
        <v/>
      </c>
      <c r="C138" s="7">
        <f>IF(A138="","",IFERROR(VLOOKUP(B138,TblArticles,2,FALSE),"GTIN inconnu"))</f>
        <v/>
      </c>
      <c r="D138" s="8">
        <f>IF(A138="","",IFERROR(VLOOKUP(B138,TblArticles,3,FALSE),""))</f>
        <v/>
      </c>
      <c r="E138" s="9">
        <f>IFERROR(DATE(2000+VALUE(MID(A138,FIND("15",A138,FIND("01",A138)+16)+2,2)),VALUE(MID(A138,FIND("15",A138,FIND("01",A138)+16)+4,2)),VALUE(MID(A138,FIND("15",A138,FIND("01",A138)+16)+6,2))),"")</f>
        <v/>
      </c>
      <c r="F138" s="8">
        <f>IFERROR(MID(A138,FIND("10",A138,FIND("15",A138,FIND("01",A138)+16)+8)+2,50),"")</f>
        <v/>
      </c>
      <c r="G138" s="8" t="n"/>
    </row>
    <row r="139">
      <c r="A139" s="4" t="n"/>
      <c r="B139" s="5">
        <f>IFERROR(MID(A139,FIND("01",A139)+2,14),"")</f>
        <v/>
      </c>
      <c r="C139" s="4">
        <f>IF(A139="","",IFERROR(VLOOKUP(B139,TblArticles,2,FALSE),"GTIN inconnu"))</f>
        <v/>
      </c>
      <c r="D139" s="5">
        <f>IF(A139="","",IFERROR(VLOOKUP(B139,TblArticles,3,FALSE),""))</f>
        <v/>
      </c>
      <c r="E139" s="6">
        <f>IFERROR(DATE(2000+VALUE(MID(A139,FIND("15",A139,FIND("01",A139)+16)+2,2)),VALUE(MID(A139,FIND("15",A139,FIND("01",A139)+16)+4,2)),VALUE(MID(A139,FIND("15",A139,FIND("01",A139)+16)+6,2))),"")</f>
        <v/>
      </c>
      <c r="F139" s="5">
        <f>IFERROR(MID(A139,FIND("10",A139,FIND("15",A139,FIND("01",A139)+16)+8)+2,50),"")</f>
        <v/>
      </c>
      <c r="G139" s="5" t="n"/>
    </row>
    <row r="140">
      <c r="A140" s="7" t="n"/>
      <c r="B140" s="8">
        <f>IFERROR(MID(A140,FIND("01",A140)+2,14),"")</f>
        <v/>
      </c>
      <c r="C140" s="7">
        <f>IF(A140="","",IFERROR(VLOOKUP(B140,TblArticles,2,FALSE),"GTIN inconnu"))</f>
        <v/>
      </c>
      <c r="D140" s="8">
        <f>IF(A140="","",IFERROR(VLOOKUP(B140,TblArticles,3,FALSE),""))</f>
        <v/>
      </c>
      <c r="E140" s="9">
        <f>IFERROR(DATE(2000+VALUE(MID(A140,FIND("15",A140,FIND("01",A140)+16)+2,2)),VALUE(MID(A140,FIND("15",A140,FIND("01",A140)+16)+4,2)),VALUE(MID(A140,FIND("15",A140,FIND("01",A140)+16)+6,2))),"")</f>
        <v/>
      </c>
      <c r="F140" s="8">
        <f>IFERROR(MID(A140,FIND("10",A140,FIND("15",A140,FIND("01",A140)+16)+8)+2,50),"")</f>
        <v/>
      </c>
      <c r="G140" s="8" t="n"/>
    </row>
    <row r="141">
      <c r="A141" s="4" t="n"/>
      <c r="B141" s="5">
        <f>IFERROR(MID(A141,FIND("01",A141)+2,14),"")</f>
        <v/>
      </c>
      <c r="C141" s="4">
        <f>IF(A141="","",IFERROR(VLOOKUP(B141,TblArticles,2,FALSE),"GTIN inconnu"))</f>
        <v/>
      </c>
      <c r="D141" s="5">
        <f>IF(A141="","",IFERROR(VLOOKUP(B141,TblArticles,3,FALSE),""))</f>
        <v/>
      </c>
      <c r="E141" s="6">
        <f>IFERROR(DATE(2000+VALUE(MID(A141,FIND("15",A141,FIND("01",A141)+16)+2,2)),VALUE(MID(A141,FIND("15",A141,FIND("01",A141)+16)+4,2)),VALUE(MID(A141,FIND("15",A141,FIND("01",A141)+16)+6,2))),"")</f>
        <v/>
      </c>
      <c r="F141" s="5">
        <f>IFERROR(MID(A141,FIND("10",A141,FIND("15",A141,FIND("01",A141)+16)+8)+2,50),"")</f>
        <v/>
      </c>
      <c r="G141" s="5" t="n"/>
    </row>
    <row r="142">
      <c r="A142" s="7" t="n"/>
      <c r="B142" s="8">
        <f>IFERROR(MID(A142,FIND("01",A142)+2,14),"")</f>
        <v/>
      </c>
      <c r="C142" s="7">
        <f>IF(A142="","",IFERROR(VLOOKUP(B142,TblArticles,2,FALSE),"GTIN inconnu"))</f>
        <v/>
      </c>
      <c r="D142" s="8">
        <f>IF(A142="","",IFERROR(VLOOKUP(B142,TblArticles,3,FALSE),""))</f>
        <v/>
      </c>
      <c r="E142" s="9">
        <f>IFERROR(DATE(2000+VALUE(MID(A142,FIND("15",A142,FIND("01",A142)+16)+2,2)),VALUE(MID(A142,FIND("15",A142,FIND("01",A142)+16)+4,2)),VALUE(MID(A142,FIND("15",A142,FIND("01",A142)+16)+6,2))),"")</f>
        <v/>
      </c>
      <c r="F142" s="8">
        <f>IFERROR(MID(A142,FIND("10",A142,FIND("15",A142,FIND("01",A142)+16)+8)+2,50),"")</f>
        <v/>
      </c>
      <c r="G142" s="8" t="n"/>
    </row>
    <row r="143">
      <c r="A143" s="4" t="n"/>
      <c r="B143" s="5">
        <f>IFERROR(MID(A143,FIND("01",A143)+2,14),"")</f>
        <v/>
      </c>
      <c r="C143" s="4">
        <f>IF(A143="","",IFERROR(VLOOKUP(B143,TblArticles,2,FALSE),"GTIN inconnu"))</f>
        <v/>
      </c>
      <c r="D143" s="5">
        <f>IF(A143="","",IFERROR(VLOOKUP(B143,TblArticles,3,FALSE),""))</f>
        <v/>
      </c>
      <c r="E143" s="6">
        <f>IFERROR(DATE(2000+VALUE(MID(A143,FIND("15",A143,FIND("01",A143)+16)+2,2)),VALUE(MID(A143,FIND("15",A143,FIND("01",A143)+16)+4,2)),VALUE(MID(A143,FIND("15",A143,FIND("01",A143)+16)+6,2))),"")</f>
        <v/>
      </c>
      <c r="F143" s="5">
        <f>IFERROR(MID(A143,FIND("10",A143,FIND("15",A143,FIND("01",A143)+16)+8)+2,50),"")</f>
        <v/>
      </c>
      <c r="G143" s="5" t="n"/>
    </row>
    <row r="144">
      <c r="A144" s="7" t="n"/>
      <c r="B144" s="8">
        <f>IFERROR(MID(A144,FIND("01",A144)+2,14),"")</f>
        <v/>
      </c>
      <c r="C144" s="7">
        <f>IF(A144="","",IFERROR(VLOOKUP(B144,TblArticles,2,FALSE),"GTIN inconnu"))</f>
        <v/>
      </c>
      <c r="D144" s="8">
        <f>IF(A144="","",IFERROR(VLOOKUP(B144,TblArticles,3,FALSE),""))</f>
        <v/>
      </c>
      <c r="E144" s="9">
        <f>IFERROR(DATE(2000+VALUE(MID(A144,FIND("15",A144,FIND("01",A144)+16)+2,2)),VALUE(MID(A144,FIND("15",A144,FIND("01",A144)+16)+4,2)),VALUE(MID(A144,FIND("15",A144,FIND("01",A144)+16)+6,2))),"")</f>
        <v/>
      </c>
      <c r="F144" s="8">
        <f>IFERROR(MID(A144,FIND("10",A144,FIND("15",A144,FIND("01",A144)+16)+8)+2,50),"")</f>
        <v/>
      </c>
      <c r="G144" s="8" t="n"/>
    </row>
    <row r="145">
      <c r="A145" s="4" t="n"/>
      <c r="B145" s="5">
        <f>IFERROR(MID(A145,FIND("01",A145)+2,14),"")</f>
        <v/>
      </c>
      <c r="C145" s="4">
        <f>IF(A145="","",IFERROR(VLOOKUP(B145,TblArticles,2,FALSE),"GTIN inconnu"))</f>
        <v/>
      </c>
      <c r="D145" s="5">
        <f>IF(A145="","",IFERROR(VLOOKUP(B145,TblArticles,3,FALSE),""))</f>
        <v/>
      </c>
      <c r="E145" s="6">
        <f>IFERROR(DATE(2000+VALUE(MID(A145,FIND("15",A145,FIND("01",A145)+16)+2,2)),VALUE(MID(A145,FIND("15",A145,FIND("01",A145)+16)+4,2)),VALUE(MID(A145,FIND("15",A145,FIND("01",A145)+16)+6,2))),"")</f>
        <v/>
      </c>
      <c r="F145" s="5">
        <f>IFERROR(MID(A145,FIND("10",A145,FIND("15",A145,FIND("01",A145)+16)+8)+2,50),"")</f>
        <v/>
      </c>
      <c r="G145" s="5" t="n"/>
    </row>
    <row r="146">
      <c r="A146" s="7" t="n"/>
      <c r="B146" s="8">
        <f>IFERROR(MID(A146,FIND("01",A146)+2,14),"")</f>
        <v/>
      </c>
      <c r="C146" s="7">
        <f>IF(A146="","",IFERROR(VLOOKUP(B146,TblArticles,2,FALSE),"GTIN inconnu"))</f>
        <v/>
      </c>
      <c r="D146" s="8">
        <f>IF(A146="","",IFERROR(VLOOKUP(B146,TblArticles,3,FALSE),""))</f>
        <v/>
      </c>
      <c r="E146" s="9">
        <f>IFERROR(DATE(2000+VALUE(MID(A146,FIND("15",A146,FIND("01",A146)+16)+2,2)),VALUE(MID(A146,FIND("15",A146,FIND("01",A146)+16)+4,2)),VALUE(MID(A146,FIND("15",A146,FIND("01",A146)+16)+6,2))),"")</f>
        <v/>
      </c>
      <c r="F146" s="8">
        <f>IFERROR(MID(A146,FIND("10",A146,FIND("15",A146,FIND("01",A146)+16)+8)+2,50),"")</f>
        <v/>
      </c>
      <c r="G146" s="8" t="n"/>
    </row>
    <row r="147">
      <c r="A147" s="4" t="n"/>
      <c r="B147" s="5">
        <f>IFERROR(MID(A147,FIND("01",A147)+2,14),"")</f>
        <v/>
      </c>
      <c r="C147" s="4">
        <f>IF(A147="","",IFERROR(VLOOKUP(B147,TblArticles,2,FALSE),"GTIN inconnu"))</f>
        <v/>
      </c>
      <c r="D147" s="5">
        <f>IF(A147="","",IFERROR(VLOOKUP(B147,TblArticles,3,FALSE),""))</f>
        <v/>
      </c>
      <c r="E147" s="6">
        <f>IFERROR(DATE(2000+VALUE(MID(A147,FIND("15",A147,FIND("01",A147)+16)+2,2)),VALUE(MID(A147,FIND("15",A147,FIND("01",A147)+16)+4,2)),VALUE(MID(A147,FIND("15",A147,FIND("01",A147)+16)+6,2))),"")</f>
        <v/>
      </c>
      <c r="F147" s="5">
        <f>IFERROR(MID(A147,FIND("10",A147,FIND("15",A147,FIND("01",A147)+16)+8)+2,50),"")</f>
        <v/>
      </c>
      <c r="G147" s="5" t="n"/>
    </row>
    <row r="148">
      <c r="A148" s="7" t="n"/>
      <c r="B148" s="8">
        <f>IFERROR(MID(A148,FIND("01",A148)+2,14),"")</f>
        <v/>
      </c>
      <c r="C148" s="7">
        <f>IF(A148="","",IFERROR(VLOOKUP(B148,TblArticles,2,FALSE),"GTIN inconnu"))</f>
        <v/>
      </c>
      <c r="D148" s="8">
        <f>IF(A148="","",IFERROR(VLOOKUP(B148,TblArticles,3,FALSE),""))</f>
        <v/>
      </c>
      <c r="E148" s="9">
        <f>IFERROR(DATE(2000+VALUE(MID(A148,FIND("15",A148,FIND("01",A148)+16)+2,2)),VALUE(MID(A148,FIND("15",A148,FIND("01",A148)+16)+4,2)),VALUE(MID(A148,FIND("15",A148,FIND("01",A148)+16)+6,2))),"")</f>
        <v/>
      </c>
      <c r="F148" s="8">
        <f>IFERROR(MID(A148,FIND("10",A148,FIND("15",A148,FIND("01",A148)+16)+8)+2,50),"")</f>
        <v/>
      </c>
      <c r="G148" s="8" t="n"/>
    </row>
    <row r="149">
      <c r="A149" s="4" t="n"/>
      <c r="B149" s="5">
        <f>IFERROR(MID(A149,FIND("01",A149)+2,14),"")</f>
        <v/>
      </c>
      <c r="C149" s="4">
        <f>IF(A149="","",IFERROR(VLOOKUP(B149,TblArticles,2,FALSE),"GTIN inconnu"))</f>
        <v/>
      </c>
      <c r="D149" s="5">
        <f>IF(A149="","",IFERROR(VLOOKUP(B149,TblArticles,3,FALSE),""))</f>
        <v/>
      </c>
      <c r="E149" s="6">
        <f>IFERROR(DATE(2000+VALUE(MID(A149,FIND("15",A149,FIND("01",A149)+16)+2,2)),VALUE(MID(A149,FIND("15",A149,FIND("01",A149)+16)+4,2)),VALUE(MID(A149,FIND("15",A149,FIND("01",A149)+16)+6,2))),"")</f>
        <v/>
      </c>
      <c r="F149" s="5">
        <f>IFERROR(MID(A149,FIND("10",A149,FIND("15",A149,FIND("01",A149)+16)+8)+2,50),"")</f>
        <v/>
      </c>
      <c r="G149" s="5" t="n"/>
    </row>
    <row r="150">
      <c r="A150" s="7" t="n"/>
      <c r="B150" s="8">
        <f>IFERROR(MID(A150,FIND("01",A150)+2,14),"")</f>
        <v/>
      </c>
      <c r="C150" s="7">
        <f>IF(A150="","",IFERROR(VLOOKUP(B150,TblArticles,2,FALSE),"GTIN inconnu"))</f>
        <v/>
      </c>
      <c r="D150" s="8">
        <f>IF(A150="","",IFERROR(VLOOKUP(B150,TblArticles,3,FALSE),""))</f>
        <v/>
      </c>
      <c r="E150" s="9">
        <f>IFERROR(DATE(2000+VALUE(MID(A150,FIND("15",A150,FIND("01",A150)+16)+2,2)),VALUE(MID(A150,FIND("15",A150,FIND("01",A150)+16)+4,2)),VALUE(MID(A150,FIND("15",A150,FIND("01",A150)+16)+6,2))),"")</f>
        <v/>
      </c>
      <c r="F150" s="8">
        <f>IFERROR(MID(A150,FIND("10",A150,FIND("15",A150,FIND("01",A150)+16)+8)+2,50),"")</f>
        <v/>
      </c>
      <c r="G150" s="8" t="n"/>
    </row>
    <row r="151">
      <c r="A151" s="4" t="n"/>
      <c r="B151" s="5">
        <f>IFERROR(MID(A151,FIND("01",A151)+2,14),"")</f>
        <v/>
      </c>
      <c r="C151" s="4">
        <f>IF(A151="","",IFERROR(VLOOKUP(B151,TblArticles,2,FALSE),"GTIN inconnu"))</f>
        <v/>
      </c>
      <c r="D151" s="5">
        <f>IF(A151="","",IFERROR(VLOOKUP(B151,TblArticles,3,FALSE),""))</f>
        <v/>
      </c>
      <c r="E151" s="6">
        <f>IFERROR(DATE(2000+VALUE(MID(A151,FIND("15",A151,FIND("01",A151)+16)+2,2)),VALUE(MID(A151,FIND("15",A151,FIND("01",A151)+16)+4,2)),VALUE(MID(A151,FIND("15",A151,FIND("01",A151)+16)+6,2))),"")</f>
        <v/>
      </c>
      <c r="F151" s="5">
        <f>IFERROR(MID(A151,FIND("10",A151,FIND("15",A151,FIND("01",A151)+16)+8)+2,50),"")</f>
        <v/>
      </c>
      <c r="G151" s="5" t="n"/>
    </row>
    <row r="152">
      <c r="A152" s="7" t="n"/>
      <c r="B152" s="8">
        <f>IFERROR(MID(A152,FIND("01",A152)+2,14),"")</f>
        <v/>
      </c>
      <c r="C152" s="7">
        <f>IF(A152="","",IFERROR(VLOOKUP(B152,TblArticles,2,FALSE),"GTIN inconnu"))</f>
        <v/>
      </c>
      <c r="D152" s="8">
        <f>IF(A152="","",IFERROR(VLOOKUP(B152,TblArticles,3,FALSE),""))</f>
        <v/>
      </c>
      <c r="E152" s="9">
        <f>IFERROR(DATE(2000+VALUE(MID(A152,FIND("15",A152,FIND("01",A152)+16)+2,2)),VALUE(MID(A152,FIND("15",A152,FIND("01",A152)+16)+4,2)),VALUE(MID(A152,FIND("15",A152,FIND("01",A152)+16)+6,2))),"")</f>
        <v/>
      </c>
      <c r="F152" s="8">
        <f>IFERROR(MID(A152,FIND("10",A152,FIND("15",A152,FIND("01",A152)+16)+8)+2,50),"")</f>
        <v/>
      </c>
      <c r="G152" s="8" t="n"/>
    </row>
    <row r="153">
      <c r="A153" s="4" t="n"/>
      <c r="B153" s="5">
        <f>IFERROR(MID(A153,FIND("01",A153)+2,14),"")</f>
        <v/>
      </c>
      <c r="C153" s="4">
        <f>IF(A153="","",IFERROR(VLOOKUP(B153,TblArticles,2,FALSE),"GTIN inconnu"))</f>
        <v/>
      </c>
      <c r="D153" s="5">
        <f>IF(A153="","",IFERROR(VLOOKUP(B153,TblArticles,3,FALSE),""))</f>
        <v/>
      </c>
      <c r="E153" s="6">
        <f>IFERROR(DATE(2000+VALUE(MID(A153,FIND("15",A153,FIND("01",A153)+16)+2,2)),VALUE(MID(A153,FIND("15",A153,FIND("01",A153)+16)+4,2)),VALUE(MID(A153,FIND("15",A153,FIND("01",A153)+16)+6,2))),"")</f>
        <v/>
      </c>
      <c r="F153" s="5">
        <f>IFERROR(MID(A153,FIND("10",A153,FIND("15",A153,FIND("01",A153)+16)+8)+2,50),"")</f>
        <v/>
      </c>
      <c r="G153" s="5" t="n"/>
    </row>
    <row r="154">
      <c r="A154" s="7" t="n"/>
      <c r="B154" s="8">
        <f>IFERROR(MID(A154,FIND("01",A154)+2,14),"")</f>
        <v/>
      </c>
      <c r="C154" s="7">
        <f>IF(A154="","",IFERROR(VLOOKUP(B154,TblArticles,2,FALSE),"GTIN inconnu"))</f>
        <v/>
      </c>
      <c r="D154" s="8">
        <f>IF(A154="","",IFERROR(VLOOKUP(B154,TblArticles,3,FALSE),""))</f>
        <v/>
      </c>
      <c r="E154" s="9">
        <f>IFERROR(DATE(2000+VALUE(MID(A154,FIND("15",A154,FIND("01",A154)+16)+2,2)),VALUE(MID(A154,FIND("15",A154,FIND("01",A154)+16)+4,2)),VALUE(MID(A154,FIND("15",A154,FIND("01",A154)+16)+6,2))),"")</f>
        <v/>
      </c>
      <c r="F154" s="8">
        <f>IFERROR(MID(A154,FIND("10",A154,FIND("15",A154,FIND("01",A154)+16)+8)+2,50),"")</f>
        <v/>
      </c>
      <c r="G154" s="8" t="n"/>
    </row>
    <row r="155">
      <c r="A155" s="4" t="n"/>
      <c r="B155" s="5">
        <f>IFERROR(MID(A155,FIND("01",A155)+2,14),"")</f>
        <v/>
      </c>
      <c r="C155" s="4">
        <f>IF(A155="","",IFERROR(VLOOKUP(B155,TblArticles,2,FALSE),"GTIN inconnu"))</f>
        <v/>
      </c>
      <c r="D155" s="5">
        <f>IF(A155="","",IFERROR(VLOOKUP(B155,TblArticles,3,FALSE),""))</f>
        <v/>
      </c>
      <c r="E155" s="6">
        <f>IFERROR(DATE(2000+VALUE(MID(A155,FIND("15",A155,FIND("01",A155)+16)+2,2)),VALUE(MID(A155,FIND("15",A155,FIND("01",A155)+16)+4,2)),VALUE(MID(A155,FIND("15",A155,FIND("01",A155)+16)+6,2))),"")</f>
        <v/>
      </c>
      <c r="F155" s="5">
        <f>IFERROR(MID(A155,FIND("10",A155,FIND("15",A155,FIND("01",A155)+16)+8)+2,50),"")</f>
        <v/>
      </c>
      <c r="G155" s="5" t="n"/>
    </row>
    <row r="156">
      <c r="A156" s="7" t="n"/>
      <c r="B156" s="8">
        <f>IFERROR(MID(A156,FIND("01",A156)+2,14),"")</f>
        <v/>
      </c>
      <c r="C156" s="7">
        <f>IF(A156="","",IFERROR(VLOOKUP(B156,TblArticles,2,FALSE),"GTIN inconnu"))</f>
        <v/>
      </c>
      <c r="D156" s="8">
        <f>IF(A156="","",IFERROR(VLOOKUP(B156,TblArticles,3,FALSE),""))</f>
        <v/>
      </c>
      <c r="E156" s="9">
        <f>IFERROR(DATE(2000+VALUE(MID(A156,FIND("15",A156,FIND("01",A156)+16)+2,2)),VALUE(MID(A156,FIND("15",A156,FIND("01",A156)+16)+4,2)),VALUE(MID(A156,FIND("15",A156,FIND("01",A156)+16)+6,2))),"")</f>
        <v/>
      </c>
      <c r="F156" s="8">
        <f>IFERROR(MID(A156,FIND("10",A156,FIND("15",A156,FIND("01",A156)+16)+8)+2,50),"")</f>
        <v/>
      </c>
      <c r="G156" s="8" t="n"/>
    </row>
    <row r="157">
      <c r="A157" s="4" t="n"/>
      <c r="B157" s="5">
        <f>IFERROR(MID(A157,FIND("01",A157)+2,14),"")</f>
        <v/>
      </c>
      <c r="C157" s="4">
        <f>IF(A157="","",IFERROR(VLOOKUP(B157,TblArticles,2,FALSE),"GTIN inconnu"))</f>
        <v/>
      </c>
      <c r="D157" s="5">
        <f>IF(A157="","",IFERROR(VLOOKUP(B157,TblArticles,3,FALSE),""))</f>
        <v/>
      </c>
      <c r="E157" s="6">
        <f>IFERROR(DATE(2000+VALUE(MID(A157,FIND("15",A157,FIND("01",A157)+16)+2,2)),VALUE(MID(A157,FIND("15",A157,FIND("01",A157)+16)+4,2)),VALUE(MID(A157,FIND("15",A157,FIND("01",A157)+16)+6,2))),"")</f>
        <v/>
      </c>
      <c r="F157" s="5">
        <f>IFERROR(MID(A157,FIND("10",A157,FIND("15",A157,FIND("01",A157)+16)+8)+2,50),"")</f>
        <v/>
      </c>
      <c r="G157" s="5" t="n"/>
    </row>
    <row r="158">
      <c r="A158" s="7" t="n"/>
      <c r="B158" s="8">
        <f>IFERROR(MID(A158,FIND("01",A158)+2,14),"")</f>
        <v/>
      </c>
      <c r="C158" s="7">
        <f>IF(A158="","",IFERROR(VLOOKUP(B158,TblArticles,2,FALSE),"GTIN inconnu"))</f>
        <v/>
      </c>
      <c r="D158" s="8">
        <f>IF(A158="","",IFERROR(VLOOKUP(B158,TblArticles,3,FALSE),""))</f>
        <v/>
      </c>
      <c r="E158" s="9">
        <f>IFERROR(DATE(2000+VALUE(MID(A158,FIND("15",A158,FIND("01",A158)+16)+2,2)),VALUE(MID(A158,FIND("15",A158,FIND("01",A158)+16)+4,2)),VALUE(MID(A158,FIND("15",A158,FIND("01",A158)+16)+6,2))),"")</f>
        <v/>
      </c>
      <c r="F158" s="8">
        <f>IFERROR(MID(A158,FIND("10",A158,FIND("15",A158,FIND("01",A158)+16)+8)+2,50),"")</f>
        <v/>
      </c>
      <c r="G158" s="8" t="n"/>
    </row>
    <row r="159">
      <c r="A159" s="4" t="n"/>
      <c r="B159" s="5">
        <f>IFERROR(MID(A159,FIND("01",A159)+2,14),"")</f>
        <v/>
      </c>
      <c r="C159" s="4">
        <f>IF(A159="","",IFERROR(VLOOKUP(B159,TblArticles,2,FALSE),"GTIN inconnu"))</f>
        <v/>
      </c>
      <c r="D159" s="5">
        <f>IF(A159="","",IFERROR(VLOOKUP(B159,TblArticles,3,FALSE),""))</f>
        <v/>
      </c>
      <c r="E159" s="6">
        <f>IFERROR(DATE(2000+VALUE(MID(A159,FIND("15",A159,FIND("01",A159)+16)+2,2)),VALUE(MID(A159,FIND("15",A159,FIND("01",A159)+16)+4,2)),VALUE(MID(A159,FIND("15",A159,FIND("01",A159)+16)+6,2))),"")</f>
        <v/>
      </c>
      <c r="F159" s="5">
        <f>IFERROR(MID(A159,FIND("10",A159,FIND("15",A159,FIND("01",A159)+16)+8)+2,50),"")</f>
        <v/>
      </c>
      <c r="G159" s="5" t="n"/>
    </row>
    <row r="160">
      <c r="A160" s="7" t="n"/>
      <c r="B160" s="8">
        <f>IFERROR(MID(A160,FIND("01",A160)+2,14),"")</f>
        <v/>
      </c>
      <c r="C160" s="7">
        <f>IF(A160="","",IFERROR(VLOOKUP(B160,TblArticles,2,FALSE),"GTIN inconnu"))</f>
        <v/>
      </c>
      <c r="D160" s="8">
        <f>IF(A160="","",IFERROR(VLOOKUP(B160,TblArticles,3,FALSE),""))</f>
        <v/>
      </c>
      <c r="E160" s="9">
        <f>IFERROR(DATE(2000+VALUE(MID(A160,FIND("15",A160,FIND("01",A160)+16)+2,2)),VALUE(MID(A160,FIND("15",A160,FIND("01",A160)+16)+4,2)),VALUE(MID(A160,FIND("15",A160,FIND("01",A160)+16)+6,2))),"")</f>
        <v/>
      </c>
      <c r="F160" s="8">
        <f>IFERROR(MID(A160,FIND("10",A160,FIND("15",A160,FIND("01",A160)+16)+8)+2,50),"")</f>
        <v/>
      </c>
      <c r="G160" s="8" t="n"/>
    </row>
    <row r="161">
      <c r="A161" s="4" t="n"/>
      <c r="B161" s="5">
        <f>IFERROR(MID(A161,FIND("01",A161)+2,14),"")</f>
        <v/>
      </c>
      <c r="C161" s="4">
        <f>IF(A161="","",IFERROR(VLOOKUP(B161,TblArticles,2,FALSE),"GTIN inconnu"))</f>
        <v/>
      </c>
      <c r="D161" s="5">
        <f>IF(A161="","",IFERROR(VLOOKUP(B161,TblArticles,3,FALSE),""))</f>
        <v/>
      </c>
      <c r="E161" s="6">
        <f>IFERROR(DATE(2000+VALUE(MID(A161,FIND("15",A161,FIND("01",A161)+16)+2,2)),VALUE(MID(A161,FIND("15",A161,FIND("01",A161)+16)+4,2)),VALUE(MID(A161,FIND("15",A161,FIND("01",A161)+16)+6,2))),"")</f>
        <v/>
      </c>
      <c r="F161" s="5">
        <f>IFERROR(MID(A161,FIND("10",A161,FIND("15",A161,FIND("01",A161)+16)+8)+2,50),"")</f>
        <v/>
      </c>
      <c r="G161" s="5" t="n"/>
    </row>
    <row r="162">
      <c r="A162" s="7" t="n"/>
      <c r="B162" s="8">
        <f>IFERROR(MID(A162,FIND("01",A162)+2,14),"")</f>
        <v/>
      </c>
      <c r="C162" s="7">
        <f>IF(A162="","",IFERROR(VLOOKUP(B162,TblArticles,2,FALSE),"GTIN inconnu"))</f>
        <v/>
      </c>
      <c r="D162" s="8">
        <f>IF(A162="","",IFERROR(VLOOKUP(B162,TblArticles,3,FALSE),""))</f>
        <v/>
      </c>
      <c r="E162" s="9">
        <f>IFERROR(DATE(2000+VALUE(MID(A162,FIND("15",A162,FIND("01",A162)+16)+2,2)),VALUE(MID(A162,FIND("15",A162,FIND("01",A162)+16)+4,2)),VALUE(MID(A162,FIND("15",A162,FIND("01",A162)+16)+6,2))),"")</f>
        <v/>
      </c>
      <c r="F162" s="8">
        <f>IFERROR(MID(A162,FIND("10",A162,FIND("15",A162,FIND("01",A162)+16)+8)+2,50),"")</f>
        <v/>
      </c>
      <c r="G162" s="8" t="n"/>
    </row>
    <row r="163">
      <c r="A163" s="4" t="n"/>
      <c r="B163" s="5">
        <f>IFERROR(MID(A163,FIND("01",A163)+2,14),"")</f>
        <v/>
      </c>
      <c r="C163" s="4">
        <f>IF(A163="","",IFERROR(VLOOKUP(B163,TblArticles,2,FALSE),"GTIN inconnu"))</f>
        <v/>
      </c>
      <c r="D163" s="5">
        <f>IF(A163="","",IFERROR(VLOOKUP(B163,TblArticles,3,FALSE),""))</f>
        <v/>
      </c>
      <c r="E163" s="6">
        <f>IFERROR(DATE(2000+VALUE(MID(A163,FIND("15",A163,FIND("01",A163)+16)+2,2)),VALUE(MID(A163,FIND("15",A163,FIND("01",A163)+16)+4,2)),VALUE(MID(A163,FIND("15",A163,FIND("01",A163)+16)+6,2))),"")</f>
        <v/>
      </c>
      <c r="F163" s="5">
        <f>IFERROR(MID(A163,FIND("10",A163,FIND("15",A163,FIND("01",A163)+16)+8)+2,50),"")</f>
        <v/>
      </c>
      <c r="G163" s="5" t="n"/>
    </row>
    <row r="164">
      <c r="A164" s="7" t="n"/>
      <c r="B164" s="8">
        <f>IFERROR(MID(A164,FIND("01",A164)+2,14),"")</f>
        <v/>
      </c>
      <c r="C164" s="7">
        <f>IF(A164="","",IFERROR(VLOOKUP(B164,TblArticles,2,FALSE),"GTIN inconnu"))</f>
        <v/>
      </c>
      <c r="D164" s="8">
        <f>IF(A164="","",IFERROR(VLOOKUP(B164,TblArticles,3,FALSE),""))</f>
        <v/>
      </c>
      <c r="E164" s="9">
        <f>IFERROR(DATE(2000+VALUE(MID(A164,FIND("15",A164,FIND("01",A164)+16)+2,2)),VALUE(MID(A164,FIND("15",A164,FIND("01",A164)+16)+4,2)),VALUE(MID(A164,FIND("15",A164,FIND("01",A164)+16)+6,2))),"")</f>
        <v/>
      </c>
      <c r="F164" s="8">
        <f>IFERROR(MID(A164,FIND("10",A164,FIND("15",A164,FIND("01",A164)+16)+8)+2,50),"")</f>
        <v/>
      </c>
      <c r="G164" s="8" t="n"/>
    </row>
    <row r="165">
      <c r="A165" s="4" t="n"/>
      <c r="B165" s="5">
        <f>IFERROR(MID(A165,FIND("01",A165)+2,14),"")</f>
        <v/>
      </c>
      <c r="C165" s="4">
        <f>IF(A165="","",IFERROR(VLOOKUP(B165,TblArticles,2,FALSE),"GTIN inconnu"))</f>
        <v/>
      </c>
      <c r="D165" s="5">
        <f>IF(A165="","",IFERROR(VLOOKUP(B165,TblArticles,3,FALSE),""))</f>
        <v/>
      </c>
      <c r="E165" s="6">
        <f>IFERROR(DATE(2000+VALUE(MID(A165,FIND("15",A165,FIND("01",A165)+16)+2,2)),VALUE(MID(A165,FIND("15",A165,FIND("01",A165)+16)+4,2)),VALUE(MID(A165,FIND("15",A165,FIND("01",A165)+16)+6,2))),"")</f>
        <v/>
      </c>
      <c r="F165" s="5">
        <f>IFERROR(MID(A165,FIND("10",A165,FIND("15",A165,FIND("01",A165)+16)+8)+2,50),"")</f>
        <v/>
      </c>
      <c r="G165" s="5" t="n"/>
    </row>
    <row r="166">
      <c r="A166" s="7" t="n"/>
      <c r="B166" s="8">
        <f>IFERROR(MID(A166,FIND("01",A166)+2,14),"")</f>
        <v/>
      </c>
      <c r="C166" s="7">
        <f>IF(A166="","",IFERROR(VLOOKUP(B166,TblArticles,2,FALSE),"GTIN inconnu"))</f>
        <v/>
      </c>
      <c r="D166" s="8">
        <f>IF(A166="","",IFERROR(VLOOKUP(B166,TblArticles,3,FALSE),""))</f>
        <v/>
      </c>
      <c r="E166" s="9">
        <f>IFERROR(DATE(2000+VALUE(MID(A166,FIND("15",A166,FIND("01",A166)+16)+2,2)),VALUE(MID(A166,FIND("15",A166,FIND("01",A166)+16)+4,2)),VALUE(MID(A166,FIND("15",A166,FIND("01",A166)+16)+6,2))),"")</f>
        <v/>
      </c>
      <c r="F166" s="8">
        <f>IFERROR(MID(A166,FIND("10",A166,FIND("15",A166,FIND("01",A166)+16)+8)+2,50),"")</f>
        <v/>
      </c>
      <c r="G166" s="8" t="n"/>
    </row>
    <row r="167">
      <c r="A167" s="4" t="n"/>
      <c r="B167" s="5">
        <f>IFERROR(MID(A167,FIND("01",A167)+2,14),"")</f>
        <v/>
      </c>
      <c r="C167" s="4">
        <f>IF(A167="","",IFERROR(VLOOKUP(B167,TblArticles,2,FALSE),"GTIN inconnu"))</f>
        <v/>
      </c>
      <c r="D167" s="5">
        <f>IF(A167="","",IFERROR(VLOOKUP(B167,TblArticles,3,FALSE),""))</f>
        <v/>
      </c>
      <c r="E167" s="6">
        <f>IFERROR(DATE(2000+VALUE(MID(A167,FIND("15",A167,FIND("01",A167)+16)+2,2)),VALUE(MID(A167,FIND("15",A167,FIND("01",A167)+16)+4,2)),VALUE(MID(A167,FIND("15",A167,FIND("01",A167)+16)+6,2))),"")</f>
        <v/>
      </c>
      <c r="F167" s="5">
        <f>IFERROR(MID(A167,FIND("10",A167,FIND("15",A167,FIND("01",A167)+16)+8)+2,50),"")</f>
        <v/>
      </c>
      <c r="G167" s="5" t="n"/>
    </row>
    <row r="168">
      <c r="A168" s="7" t="n"/>
      <c r="B168" s="8">
        <f>IFERROR(MID(A168,FIND("01",A168)+2,14),"")</f>
        <v/>
      </c>
      <c r="C168" s="7">
        <f>IF(A168="","",IFERROR(VLOOKUP(B168,TblArticles,2,FALSE),"GTIN inconnu"))</f>
        <v/>
      </c>
      <c r="D168" s="8">
        <f>IF(A168="","",IFERROR(VLOOKUP(B168,TblArticles,3,FALSE),""))</f>
        <v/>
      </c>
      <c r="E168" s="9">
        <f>IFERROR(DATE(2000+VALUE(MID(A168,FIND("15",A168,FIND("01",A168)+16)+2,2)),VALUE(MID(A168,FIND("15",A168,FIND("01",A168)+16)+4,2)),VALUE(MID(A168,FIND("15",A168,FIND("01",A168)+16)+6,2))),"")</f>
        <v/>
      </c>
      <c r="F168" s="8">
        <f>IFERROR(MID(A168,FIND("10",A168,FIND("15",A168,FIND("01",A168)+16)+8)+2,50),"")</f>
        <v/>
      </c>
      <c r="G168" s="8" t="n"/>
    </row>
    <row r="169">
      <c r="A169" s="4" t="n"/>
      <c r="B169" s="5">
        <f>IFERROR(MID(A169,FIND("01",A169)+2,14),"")</f>
        <v/>
      </c>
      <c r="C169" s="4">
        <f>IF(A169="","",IFERROR(VLOOKUP(B169,TblArticles,2,FALSE),"GTIN inconnu"))</f>
        <v/>
      </c>
      <c r="D169" s="5">
        <f>IF(A169="","",IFERROR(VLOOKUP(B169,TblArticles,3,FALSE),""))</f>
        <v/>
      </c>
      <c r="E169" s="6">
        <f>IFERROR(DATE(2000+VALUE(MID(A169,FIND("15",A169,FIND("01",A169)+16)+2,2)),VALUE(MID(A169,FIND("15",A169,FIND("01",A169)+16)+4,2)),VALUE(MID(A169,FIND("15",A169,FIND("01",A169)+16)+6,2))),"")</f>
        <v/>
      </c>
      <c r="F169" s="5">
        <f>IFERROR(MID(A169,FIND("10",A169,FIND("15",A169,FIND("01",A169)+16)+8)+2,50),"")</f>
        <v/>
      </c>
      <c r="G169" s="5" t="n"/>
    </row>
    <row r="170">
      <c r="A170" s="7" t="n"/>
      <c r="B170" s="8">
        <f>IFERROR(MID(A170,FIND("01",A170)+2,14),"")</f>
        <v/>
      </c>
      <c r="C170" s="7">
        <f>IF(A170="","",IFERROR(VLOOKUP(B170,TblArticles,2,FALSE),"GTIN inconnu"))</f>
        <v/>
      </c>
      <c r="D170" s="8">
        <f>IF(A170="","",IFERROR(VLOOKUP(B170,TblArticles,3,FALSE),""))</f>
        <v/>
      </c>
      <c r="E170" s="9">
        <f>IFERROR(DATE(2000+VALUE(MID(A170,FIND("15",A170,FIND("01",A170)+16)+2,2)),VALUE(MID(A170,FIND("15",A170,FIND("01",A170)+16)+4,2)),VALUE(MID(A170,FIND("15",A170,FIND("01",A170)+16)+6,2))),"")</f>
        <v/>
      </c>
      <c r="F170" s="8">
        <f>IFERROR(MID(A170,FIND("10",A170,FIND("15",A170,FIND("01",A170)+16)+8)+2,50),"")</f>
        <v/>
      </c>
      <c r="G170" s="8" t="n"/>
    </row>
    <row r="171">
      <c r="A171" s="4" t="n"/>
      <c r="B171" s="5">
        <f>IFERROR(MID(A171,FIND("01",A171)+2,14),"")</f>
        <v/>
      </c>
      <c r="C171" s="4">
        <f>IF(A171="","",IFERROR(VLOOKUP(B171,TblArticles,2,FALSE),"GTIN inconnu"))</f>
        <v/>
      </c>
      <c r="D171" s="5">
        <f>IF(A171="","",IFERROR(VLOOKUP(B171,TblArticles,3,FALSE),""))</f>
        <v/>
      </c>
      <c r="E171" s="6">
        <f>IFERROR(DATE(2000+VALUE(MID(A171,FIND("15",A171,FIND("01",A171)+16)+2,2)),VALUE(MID(A171,FIND("15",A171,FIND("01",A171)+16)+4,2)),VALUE(MID(A171,FIND("15",A171,FIND("01",A171)+16)+6,2))),"")</f>
        <v/>
      </c>
      <c r="F171" s="5">
        <f>IFERROR(MID(A171,FIND("10",A171,FIND("15",A171,FIND("01",A171)+16)+8)+2,50),"")</f>
        <v/>
      </c>
      <c r="G171" s="5" t="n"/>
    </row>
    <row r="172">
      <c r="A172" s="7" t="n"/>
      <c r="B172" s="8">
        <f>IFERROR(MID(A172,FIND("01",A172)+2,14),"")</f>
        <v/>
      </c>
      <c r="C172" s="7">
        <f>IF(A172="","",IFERROR(VLOOKUP(B172,TblArticles,2,FALSE),"GTIN inconnu"))</f>
        <v/>
      </c>
      <c r="D172" s="8">
        <f>IF(A172="","",IFERROR(VLOOKUP(B172,TblArticles,3,FALSE),""))</f>
        <v/>
      </c>
      <c r="E172" s="9">
        <f>IFERROR(DATE(2000+VALUE(MID(A172,FIND("15",A172,FIND("01",A172)+16)+2,2)),VALUE(MID(A172,FIND("15",A172,FIND("01",A172)+16)+4,2)),VALUE(MID(A172,FIND("15",A172,FIND("01",A172)+16)+6,2))),"")</f>
        <v/>
      </c>
      <c r="F172" s="8">
        <f>IFERROR(MID(A172,FIND("10",A172,FIND("15",A172,FIND("01",A172)+16)+8)+2,50),"")</f>
        <v/>
      </c>
      <c r="G172" s="8" t="n"/>
    </row>
    <row r="173">
      <c r="A173" s="4" t="n"/>
      <c r="B173" s="5">
        <f>IFERROR(MID(A173,FIND("01",A173)+2,14),"")</f>
        <v/>
      </c>
      <c r="C173" s="4">
        <f>IF(A173="","",IFERROR(VLOOKUP(B173,TblArticles,2,FALSE),"GTIN inconnu"))</f>
        <v/>
      </c>
      <c r="D173" s="5">
        <f>IF(A173="","",IFERROR(VLOOKUP(B173,TblArticles,3,FALSE),""))</f>
        <v/>
      </c>
      <c r="E173" s="6">
        <f>IFERROR(DATE(2000+VALUE(MID(A173,FIND("15",A173,FIND("01",A173)+16)+2,2)),VALUE(MID(A173,FIND("15",A173,FIND("01",A173)+16)+4,2)),VALUE(MID(A173,FIND("15",A173,FIND("01",A173)+16)+6,2))),"")</f>
        <v/>
      </c>
      <c r="F173" s="5">
        <f>IFERROR(MID(A173,FIND("10",A173,FIND("15",A173,FIND("01",A173)+16)+8)+2,50),"")</f>
        <v/>
      </c>
      <c r="G173" s="5" t="n"/>
    </row>
    <row r="174">
      <c r="A174" s="7" t="n"/>
      <c r="B174" s="8">
        <f>IFERROR(MID(A174,FIND("01",A174)+2,14),"")</f>
        <v/>
      </c>
      <c r="C174" s="7">
        <f>IF(A174="","",IFERROR(VLOOKUP(B174,TblArticles,2,FALSE),"GTIN inconnu"))</f>
        <v/>
      </c>
      <c r="D174" s="8">
        <f>IF(A174="","",IFERROR(VLOOKUP(B174,TblArticles,3,FALSE),""))</f>
        <v/>
      </c>
      <c r="E174" s="9">
        <f>IFERROR(DATE(2000+VALUE(MID(A174,FIND("15",A174,FIND("01",A174)+16)+2,2)),VALUE(MID(A174,FIND("15",A174,FIND("01",A174)+16)+4,2)),VALUE(MID(A174,FIND("15",A174,FIND("01",A174)+16)+6,2))),"")</f>
        <v/>
      </c>
      <c r="F174" s="8">
        <f>IFERROR(MID(A174,FIND("10",A174,FIND("15",A174,FIND("01",A174)+16)+8)+2,50),"")</f>
        <v/>
      </c>
      <c r="G174" s="8" t="n"/>
    </row>
    <row r="175">
      <c r="A175" s="4" t="n"/>
      <c r="B175" s="5">
        <f>IFERROR(MID(A175,FIND("01",A175)+2,14),"")</f>
        <v/>
      </c>
      <c r="C175" s="4">
        <f>IF(A175="","",IFERROR(VLOOKUP(B175,TblArticles,2,FALSE),"GTIN inconnu"))</f>
        <v/>
      </c>
      <c r="D175" s="5">
        <f>IF(A175="","",IFERROR(VLOOKUP(B175,TblArticles,3,FALSE),""))</f>
        <v/>
      </c>
      <c r="E175" s="6">
        <f>IFERROR(DATE(2000+VALUE(MID(A175,FIND("15",A175,FIND("01",A175)+16)+2,2)),VALUE(MID(A175,FIND("15",A175,FIND("01",A175)+16)+4,2)),VALUE(MID(A175,FIND("15",A175,FIND("01",A175)+16)+6,2))),"")</f>
        <v/>
      </c>
      <c r="F175" s="5">
        <f>IFERROR(MID(A175,FIND("10",A175,FIND("15",A175,FIND("01",A175)+16)+8)+2,50),"")</f>
        <v/>
      </c>
      <c r="G175" s="5" t="n"/>
    </row>
    <row r="176">
      <c r="A176" s="7" t="n"/>
      <c r="B176" s="8">
        <f>IFERROR(MID(A176,FIND("01",A176)+2,14),"")</f>
        <v/>
      </c>
      <c r="C176" s="7">
        <f>IF(A176="","",IFERROR(VLOOKUP(B176,TblArticles,2,FALSE),"GTIN inconnu"))</f>
        <v/>
      </c>
      <c r="D176" s="8">
        <f>IF(A176="","",IFERROR(VLOOKUP(B176,TblArticles,3,FALSE),""))</f>
        <v/>
      </c>
      <c r="E176" s="9">
        <f>IFERROR(DATE(2000+VALUE(MID(A176,FIND("15",A176,FIND("01",A176)+16)+2,2)),VALUE(MID(A176,FIND("15",A176,FIND("01",A176)+16)+4,2)),VALUE(MID(A176,FIND("15",A176,FIND("01",A176)+16)+6,2))),"")</f>
        <v/>
      </c>
      <c r="F176" s="8">
        <f>IFERROR(MID(A176,FIND("10",A176,FIND("15",A176,FIND("01",A176)+16)+8)+2,50),"")</f>
        <v/>
      </c>
      <c r="G176" s="8" t="n"/>
    </row>
    <row r="177">
      <c r="A177" s="4" t="n"/>
      <c r="B177" s="5">
        <f>IFERROR(MID(A177,FIND("01",A177)+2,14),"")</f>
        <v/>
      </c>
      <c r="C177" s="4">
        <f>IF(A177="","",IFERROR(VLOOKUP(B177,TblArticles,2,FALSE),"GTIN inconnu"))</f>
        <v/>
      </c>
      <c r="D177" s="5">
        <f>IF(A177="","",IFERROR(VLOOKUP(B177,TblArticles,3,FALSE),""))</f>
        <v/>
      </c>
      <c r="E177" s="6">
        <f>IFERROR(DATE(2000+VALUE(MID(A177,FIND("15",A177,FIND("01",A177)+16)+2,2)),VALUE(MID(A177,FIND("15",A177,FIND("01",A177)+16)+4,2)),VALUE(MID(A177,FIND("15",A177,FIND("01",A177)+16)+6,2))),"")</f>
        <v/>
      </c>
      <c r="F177" s="5">
        <f>IFERROR(MID(A177,FIND("10",A177,FIND("15",A177,FIND("01",A177)+16)+8)+2,50),"")</f>
        <v/>
      </c>
      <c r="G177" s="5" t="n"/>
    </row>
    <row r="178">
      <c r="A178" s="7" t="n"/>
      <c r="B178" s="8">
        <f>IFERROR(MID(A178,FIND("01",A178)+2,14),"")</f>
        <v/>
      </c>
      <c r="C178" s="7">
        <f>IF(A178="","",IFERROR(VLOOKUP(B178,TblArticles,2,FALSE),"GTIN inconnu"))</f>
        <v/>
      </c>
      <c r="D178" s="8">
        <f>IF(A178="","",IFERROR(VLOOKUP(B178,TblArticles,3,FALSE),""))</f>
        <v/>
      </c>
      <c r="E178" s="9">
        <f>IFERROR(DATE(2000+VALUE(MID(A178,FIND("15",A178,FIND("01",A178)+16)+2,2)),VALUE(MID(A178,FIND("15",A178,FIND("01",A178)+16)+4,2)),VALUE(MID(A178,FIND("15",A178,FIND("01",A178)+16)+6,2))),"")</f>
        <v/>
      </c>
      <c r="F178" s="8">
        <f>IFERROR(MID(A178,FIND("10",A178,FIND("15",A178,FIND("01",A178)+16)+8)+2,50),"")</f>
        <v/>
      </c>
      <c r="G178" s="8" t="n"/>
    </row>
    <row r="179">
      <c r="A179" s="4" t="n"/>
      <c r="B179" s="5">
        <f>IFERROR(MID(A179,FIND("01",A179)+2,14),"")</f>
        <v/>
      </c>
      <c r="C179" s="4">
        <f>IF(A179="","",IFERROR(VLOOKUP(B179,TblArticles,2,FALSE),"GTIN inconnu"))</f>
        <v/>
      </c>
      <c r="D179" s="5">
        <f>IF(A179="","",IFERROR(VLOOKUP(B179,TblArticles,3,FALSE),""))</f>
        <v/>
      </c>
      <c r="E179" s="6">
        <f>IFERROR(DATE(2000+VALUE(MID(A179,FIND("15",A179,FIND("01",A179)+16)+2,2)),VALUE(MID(A179,FIND("15",A179,FIND("01",A179)+16)+4,2)),VALUE(MID(A179,FIND("15",A179,FIND("01",A179)+16)+6,2))),"")</f>
        <v/>
      </c>
      <c r="F179" s="5">
        <f>IFERROR(MID(A179,FIND("10",A179,FIND("15",A179,FIND("01",A179)+16)+8)+2,50),"")</f>
        <v/>
      </c>
      <c r="G179" s="5" t="n"/>
    </row>
    <row r="180">
      <c r="A180" s="7" t="n"/>
      <c r="B180" s="8">
        <f>IFERROR(MID(A180,FIND("01",A180)+2,14),"")</f>
        <v/>
      </c>
      <c r="C180" s="7">
        <f>IF(A180="","",IFERROR(VLOOKUP(B180,TblArticles,2,FALSE),"GTIN inconnu"))</f>
        <v/>
      </c>
      <c r="D180" s="8">
        <f>IF(A180="","",IFERROR(VLOOKUP(B180,TblArticles,3,FALSE),""))</f>
        <v/>
      </c>
      <c r="E180" s="9">
        <f>IFERROR(DATE(2000+VALUE(MID(A180,FIND("15",A180,FIND("01",A180)+16)+2,2)),VALUE(MID(A180,FIND("15",A180,FIND("01",A180)+16)+4,2)),VALUE(MID(A180,FIND("15",A180,FIND("01",A180)+16)+6,2))),"")</f>
        <v/>
      </c>
      <c r="F180" s="8">
        <f>IFERROR(MID(A180,FIND("10",A180,FIND("15",A180,FIND("01",A180)+16)+8)+2,50),"")</f>
        <v/>
      </c>
      <c r="G180" s="8" t="n"/>
    </row>
    <row r="181">
      <c r="A181" s="4" t="n"/>
      <c r="B181" s="5">
        <f>IFERROR(MID(A181,FIND("01",A181)+2,14),"")</f>
        <v/>
      </c>
      <c r="C181" s="4">
        <f>IF(A181="","",IFERROR(VLOOKUP(B181,TblArticles,2,FALSE),"GTIN inconnu"))</f>
        <v/>
      </c>
      <c r="D181" s="5">
        <f>IF(A181="","",IFERROR(VLOOKUP(B181,TblArticles,3,FALSE),""))</f>
        <v/>
      </c>
      <c r="E181" s="6">
        <f>IFERROR(DATE(2000+VALUE(MID(A181,FIND("15",A181,FIND("01",A181)+16)+2,2)),VALUE(MID(A181,FIND("15",A181,FIND("01",A181)+16)+4,2)),VALUE(MID(A181,FIND("15",A181,FIND("01",A181)+16)+6,2))),"")</f>
        <v/>
      </c>
      <c r="F181" s="5">
        <f>IFERROR(MID(A181,FIND("10",A181,FIND("15",A181,FIND("01",A181)+16)+8)+2,50),"")</f>
        <v/>
      </c>
      <c r="G181" s="5" t="n"/>
    </row>
    <row r="182">
      <c r="A182" s="7" t="n"/>
      <c r="B182" s="8">
        <f>IFERROR(MID(A182,FIND("01",A182)+2,14),"")</f>
        <v/>
      </c>
      <c r="C182" s="7">
        <f>IF(A182="","",IFERROR(VLOOKUP(B182,TblArticles,2,FALSE),"GTIN inconnu"))</f>
        <v/>
      </c>
      <c r="D182" s="8">
        <f>IF(A182="","",IFERROR(VLOOKUP(B182,TblArticles,3,FALSE),""))</f>
        <v/>
      </c>
      <c r="E182" s="9">
        <f>IFERROR(DATE(2000+VALUE(MID(A182,FIND("15",A182,FIND("01",A182)+16)+2,2)),VALUE(MID(A182,FIND("15",A182,FIND("01",A182)+16)+4,2)),VALUE(MID(A182,FIND("15",A182,FIND("01",A182)+16)+6,2))),"")</f>
        <v/>
      </c>
      <c r="F182" s="8">
        <f>IFERROR(MID(A182,FIND("10",A182,FIND("15",A182,FIND("01",A182)+16)+8)+2,50),"")</f>
        <v/>
      </c>
      <c r="G182" s="8" t="n"/>
    </row>
    <row r="183">
      <c r="A183" s="4" t="n"/>
      <c r="B183" s="5">
        <f>IFERROR(MID(A183,FIND("01",A183)+2,14),"")</f>
        <v/>
      </c>
      <c r="C183" s="4">
        <f>IF(A183="","",IFERROR(VLOOKUP(B183,TblArticles,2,FALSE),"GTIN inconnu"))</f>
        <v/>
      </c>
      <c r="D183" s="5">
        <f>IF(A183="","",IFERROR(VLOOKUP(B183,TblArticles,3,FALSE),""))</f>
        <v/>
      </c>
      <c r="E183" s="6">
        <f>IFERROR(DATE(2000+VALUE(MID(A183,FIND("15",A183,FIND("01",A183)+16)+2,2)),VALUE(MID(A183,FIND("15",A183,FIND("01",A183)+16)+4,2)),VALUE(MID(A183,FIND("15",A183,FIND("01",A183)+16)+6,2))),"")</f>
        <v/>
      </c>
      <c r="F183" s="5">
        <f>IFERROR(MID(A183,FIND("10",A183,FIND("15",A183,FIND("01",A183)+16)+8)+2,50),"")</f>
        <v/>
      </c>
      <c r="G183" s="5" t="n"/>
    </row>
    <row r="184">
      <c r="A184" s="7" t="n"/>
      <c r="B184" s="8">
        <f>IFERROR(MID(A184,FIND("01",A184)+2,14),"")</f>
        <v/>
      </c>
      <c r="C184" s="7">
        <f>IF(A184="","",IFERROR(VLOOKUP(B184,TblArticles,2,FALSE),"GTIN inconnu"))</f>
        <v/>
      </c>
      <c r="D184" s="8">
        <f>IF(A184="","",IFERROR(VLOOKUP(B184,TblArticles,3,FALSE),""))</f>
        <v/>
      </c>
      <c r="E184" s="9">
        <f>IFERROR(DATE(2000+VALUE(MID(A184,FIND("15",A184,FIND("01",A184)+16)+2,2)),VALUE(MID(A184,FIND("15",A184,FIND("01",A184)+16)+4,2)),VALUE(MID(A184,FIND("15",A184,FIND("01",A184)+16)+6,2))),"")</f>
        <v/>
      </c>
      <c r="F184" s="8">
        <f>IFERROR(MID(A184,FIND("10",A184,FIND("15",A184,FIND("01",A184)+16)+8)+2,50),"")</f>
        <v/>
      </c>
      <c r="G184" s="8" t="n"/>
    </row>
    <row r="185">
      <c r="A185" s="4" t="n"/>
      <c r="B185" s="5">
        <f>IFERROR(MID(A185,FIND("01",A185)+2,14),"")</f>
        <v/>
      </c>
      <c r="C185" s="4">
        <f>IF(A185="","",IFERROR(VLOOKUP(B185,TblArticles,2,FALSE),"GTIN inconnu"))</f>
        <v/>
      </c>
      <c r="D185" s="5">
        <f>IF(A185="","",IFERROR(VLOOKUP(B185,TblArticles,3,FALSE),""))</f>
        <v/>
      </c>
      <c r="E185" s="6">
        <f>IFERROR(DATE(2000+VALUE(MID(A185,FIND("15",A185,FIND("01",A185)+16)+2,2)),VALUE(MID(A185,FIND("15",A185,FIND("01",A185)+16)+4,2)),VALUE(MID(A185,FIND("15",A185,FIND("01",A185)+16)+6,2))),"")</f>
        <v/>
      </c>
      <c r="F185" s="5">
        <f>IFERROR(MID(A185,FIND("10",A185,FIND("15",A185,FIND("01",A185)+16)+8)+2,50),"")</f>
        <v/>
      </c>
      <c r="G185" s="5" t="n"/>
    </row>
    <row r="186">
      <c r="A186" s="7" t="n"/>
      <c r="B186" s="8">
        <f>IFERROR(MID(A186,FIND("01",A186)+2,14),"")</f>
        <v/>
      </c>
      <c r="C186" s="7">
        <f>IF(A186="","",IFERROR(VLOOKUP(B186,TblArticles,2,FALSE),"GTIN inconnu"))</f>
        <v/>
      </c>
      <c r="D186" s="8">
        <f>IF(A186="","",IFERROR(VLOOKUP(B186,TblArticles,3,FALSE),""))</f>
        <v/>
      </c>
      <c r="E186" s="9">
        <f>IFERROR(DATE(2000+VALUE(MID(A186,FIND("15",A186,FIND("01",A186)+16)+2,2)),VALUE(MID(A186,FIND("15",A186,FIND("01",A186)+16)+4,2)),VALUE(MID(A186,FIND("15",A186,FIND("01",A186)+16)+6,2))),"")</f>
        <v/>
      </c>
      <c r="F186" s="8">
        <f>IFERROR(MID(A186,FIND("10",A186,FIND("15",A186,FIND("01",A186)+16)+8)+2,50),"")</f>
        <v/>
      </c>
      <c r="G186" s="8" t="n"/>
    </row>
    <row r="187">
      <c r="A187" s="4" t="n"/>
      <c r="B187" s="5">
        <f>IFERROR(MID(A187,FIND("01",A187)+2,14),"")</f>
        <v/>
      </c>
      <c r="C187" s="4">
        <f>IF(A187="","",IFERROR(VLOOKUP(B187,TblArticles,2,FALSE),"GTIN inconnu"))</f>
        <v/>
      </c>
      <c r="D187" s="5">
        <f>IF(A187="","",IFERROR(VLOOKUP(B187,TblArticles,3,FALSE),""))</f>
        <v/>
      </c>
      <c r="E187" s="6">
        <f>IFERROR(DATE(2000+VALUE(MID(A187,FIND("15",A187,FIND("01",A187)+16)+2,2)),VALUE(MID(A187,FIND("15",A187,FIND("01",A187)+16)+4,2)),VALUE(MID(A187,FIND("15",A187,FIND("01",A187)+16)+6,2))),"")</f>
        <v/>
      </c>
      <c r="F187" s="5">
        <f>IFERROR(MID(A187,FIND("10",A187,FIND("15",A187,FIND("01",A187)+16)+8)+2,50),"")</f>
        <v/>
      </c>
      <c r="G187" s="5" t="n"/>
    </row>
    <row r="188">
      <c r="A188" s="7" t="n"/>
      <c r="B188" s="8">
        <f>IFERROR(MID(A188,FIND("01",A188)+2,14),"")</f>
        <v/>
      </c>
      <c r="C188" s="7">
        <f>IF(A188="","",IFERROR(VLOOKUP(B188,TblArticles,2,FALSE),"GTIN inconnu"))</f>
        <v/>
      </c>
      <c r="D188" s="8">
        <f>IF(A188="","",IFERROR(VLOOKUP(B188,TblArticles,3,FALSE),""))</f>
        <v/>
      </c>
      <c r="E188" s="9">
        <f>IFERROR(DATE(2000+VALUE(MID(A188,FIND("15",A188,FIND("01",A188)+16)+2,2)),VALUE(MID(A188,FIND("15",A188,FIND("01",A188)+16)+4,2)),VALUE(MID(A188,FIND("15",A188,FIND("01",A188)+16)+6,2))),"")</f>
        <v/>
      </c>
      <c r="F188" s="8">
        <f>IFERROR(MID(A188,FIND("10",A188,FIND("15",A188,FIND("01",A188)+16)+8)+2,50),"")</f>
        <v/>
      </c>
      <c r="G188" s="8" t="n"/>
    </row>
    <row r="189">
      <c r="A189" s="4" t="n"/>
      <c r="B189" s="5">
        <f>IFERROR(MID(A189,FIND("01",A189)+2,14),"")</f>
        <v/>
      </c>
      <c r="C189" s="4">
        <f>IF(A189="","",IFERROR(VLOOKUP(B189,TblArticles,2,FALSE),"GTIN inconnu"))</f>
        <v/>
      </c>
      <c r="D189" s="5">
        <f>IF(A189="","",IFERROR(VLOOKUP(B189,TblArticles,3,FALSE),""))</f>
        <v/>
      </c>
      <c r="E189" s="6">
        <f>IFERROR(DATE(2000+VALUE(MID(A189,FIND("15",A189,FIND("01",A189)+16)+2,2)),VALUE(MID(A189,FIND("15",A189,FIND("01",A189)+16)+4,2)),VALUE(MID(A189,FIND("15",A189,FIND("01",A189)+16)+6,2))),"")</f>
        <v/>
      </c>
      <c r="F189" s="5">
        <f>IFERROR(MID(A189,FIND("10",A189,FIND("15",A189,FIND("01",A189)+16)+8)+2,50),"")</f>
        <v/>
      </c>
      <c r="G189" s="5" t="n"/>
    </row>
    <row r="190">
      <c r="A190" s="7" t="n"/>
      <c r="B190" s="8">
        <f>IFERROR(MID(A190,FIND("01",A190)+2,14),"")</f>
        <v/>
      </c>
      <c r="C190" s="7">
        <f>IF(A190="","",IFERROR(VLOOKUP(B190,TblArticles,2,FALSE),"GTIN inconnu"))</f>
        <v/>
      </c>
      <c r="D190" s="8">
        <f>IF(A190="","",IFERROR(VLOOKUP(B190,TblArticles,3,FALSE),""))</f>
        <v/>
      </c>
      <c r="E190" s="9">
        <f>IFERROR(DATE(2000+VALUE(MID(A190,FIND("15",A190,FIND("01",A190)+16)+2,2)),VALUE(MID(A190,FIND("15",A190,FIND("01",A190)+16)+4,2)),VALUE(MID(A190,FIND("15",A190,FIND("01",A190)+16)+6,2))),"")</f>
        <v/>
      </c>
      <c r="F190" s="8">
        <f>IFERROR(MID(A190,FIND("10",A190,FIND("15",A190,FIND("01",A190)+16)+8)+2,50),"")</f>
        <v/>
      </c>
      <c r="G190" s="8" t="n"/>
    </row>
    <row r="191">
      <c r="A191" s="4" t="n"/>
      <c r="B191" s="5">
        <f>IFERROR(MID(A191,FIND("01",A191)+2,14),"")</f>
        <v/>
      </c>
      <c r="C191" s="4">
        <f>IF(A191="","",IFERROR(VLOOKUP(B191,TblArticles,2,FALSE),"GTIN inconnu"))</f>
        <v/>
      </c>
      <c r="D191" s="5">
        <f>IF(A191="","",IFERROR(VLOOKUP(B191,TblArticles,3,FALSE),""))</f>
        <v/>
      </c>
      <c r="E191" s="6">
        <f>IFERROR(DATE(2000+VALUE(MID(A191,FIND("15",A191,FIND("01",A191)+16)+2,2)),VALUE(MID(A191,FIND("15",A191,FIND("01",A191)+16)+4,2)),VALUE(MID(A191,FIND("15",A191,FIND("01",A191)+16)+6,2))),"")</f>
        <v/>
      </c>
      <c r="F191" s="5">
        <f>IFERROR(MID(A191,FIND("10",A191,FIND("15",A191,FIND("01",A191)+16)+8)+2,50),"")</f>
        <v/>
      </c>
      <c r="G191" s="5" t="n"/>
    </row>
    <row r="192">
      <c r="A192" s="7" t="n"/>
      <c r="B192" s="8">
        <f>IFERROR(MID(A192,FIND("01",A192)+2,14),"")</f>
        <v/>
      </c>
      <c r="C192" s="7">
        <f>IF(A192="","",IFERROR(VLOOKUP(B192,TblArticles,2,FALSE),"GTIN inconnu"))</f>
        <v/>
      </c>
      <c r="D192" s="8">
        <f>IF(A192="","",IFERROR(VLOOKUP(B192,TblArticles,3,FALSE),""))</f>
        <v/>
      </c>
      <c r="E192" s="9">
        <f>IFERROR(DATE(2000+VALUE(MID(A192,FIND("15",A192,FIND("01",A192)+16)+2,2)),VALUE(MID(A192,FIND("15",A192,FIND("01",A192)+16)+4,2)),VALUE(MID(A192,FIND("15",A192,FIND("01",A192)+16)+6,2))),"")</f>
        <v/>
      </c>
      <c r="F192" s="8">
        <f>IFERROR(MID(A192,FIND("10",A192,FIND("15",A192,FIND("01",A192)+16)+8)+2,50),"")</f>
        <v/>
      </c>
      <c r="G192" s="8" t="n"/>
    </row>
    <row r="193">
      <c r="A193" s="4" t="n"/>
      <c r="B193" s="5">
        <f>IFERROR(MID(A193,FIND("01",A193)+2,14),"")</f>
        <v/>
      </c>
      <c r="C193" s="4">
        <f>IF(A193="","",IFERROR(VLOOKUP(B193,TblArticles,2,FALSE),"GTIN inconnu"))</f>
        <v/>
      </c>
      <c r="D193" s="5">
        <f>IF(A193="","",IFERROR(VLOOKUP(B193,TblArticles,3,FALSE),""))</f>
        <v/>
      </c>
      <c r="E193" s="6">
        <f>IFERROR(DATE(2000+VALUE(MID(A193,FIND("15",A193,FIND("01",A193)+16)+2,2)),VALUE(MID(A193,FIND("15",A193,FIND("01",A193)+16)+4,2)),VALUE(MID(A193,FIND("15",A193,FIND("01",A193)+16)+6,2))),"")</f>
        <v/>
      </c>
      <c r="F193" s="5">
        <f>IFERROR(MID(A193,FIND("10",A193,FIND("15",A193,FIND("01",A193)+16)+8)+2,50),"")</f>
        <v/>
      </c>
      <c r="G193" s="5" t="n"/>
    </row>
    <row r="194">
      <c r="A194" s="7" t="n"/>
      <c r="B194" s="8">
        <f>IFERROR(MID(A194,FIND("01",A194)+2,14),"")</f>
        <v/>
      </c>
      <c r="C194" s="7">
        <f>IF(A194="","",IFERROR(VLOOKUP(B194,TblArticles,2,FALSE),"GTIN inconnu"))</f>
        <v/>
      </c>
      <c r="D194" s="8">
        <f>IF(A194="","",IFERROR(VLOOKUP(B194,TblArticles,3,FALSE),""))</f>
        <v/>
      </c>
      <c r="E194" s="9">
        <f>IFERROR(DATE(2000+VALUE(MID(A194,FIND("15",A194,FIND("01",A194)+16)+2,2)),VALUE(MID(A194,FIND("15",A194,FIND("01",A194)+16)+4,2)),VALUE(MID(A194,FIND("15",A194,FIND("01",A194)+16)+6,2))),"")</f>
        <v/>
      </c>
      <c r="F194" s="8">
        <f>IFERROR(MID(A194,FIND("10",A194,FIND("15",A194,FIND("01",A194)+16)+8)+2,50),"")</f>
        <v/>
      </c>
      <c r="G194" s="8" t="n"/>
    </row>
    <row r="195">
      <c r="A195" s="4" t="n"/>
      <c r="B195" s="5">
        <f>IFERROR(MID(A195,FIND("01",A195)+2,14),"")</f>
        <v/>
      </c>
      <c r="C195" s="4">
        <f>IF(A195="","",IFERROR(VLOOKUP(B195,TblArticles,2,FALSE),"GTIN inconnu"))</f>
        <v/>
      </c>
      <c r="D195" s="5">
        <f>IF(A195="","",IFERROR(VLOOKUP(B195,TblArticles,3,FALSE),""))</f>
        <v/>
      </c>
      <c r="E195" s="6">
        <f>IFERROR(DATE(2000+VALUE(MID(A195,FIND("15",A195,FIND("01",A195)+16)+2,2)),VALUE(MID(A195,FIND("15",A195,FIND("01",A195)+16)+4,2)),VALUE(MID(A195,FIND("15",A195,FIND("01",A195)+16)+6,2))),"")</f>
        <v/>
      </c>
      <c r="F195" s="5">
        <f>IFERROR(MID(A195,FIND("10",A195,FIND("15",A195,FIND("01",A195)+16)+8)+2,50),"")</f>
        <v/>
      </c>
      <c r="G195" s="5" t="n"/>
    </row>
    <row r="196">
      <c r="A196" s="7" t="n"/>
      <c r="B196" s="8">
        <f>IFERROR(MID(A196,FIND("01",A196)+2,14),"")</f>
        <v/>
      </c>
      <c r="C196" s="7">
        <f>IF(A196="","",IFERROR(VLOOKUP(B196,TblArticles,2,FALSE),"GTIN inconnu"))</f>
        <v/>
      </c>
      <c r="D196" s="8">
        <f>IF(A196="","",IFERROR(VLOOKUP(B196,TblArticles,3,FALSE),""))</f>
        <v/>
      </c>
      <c r="E196" s="9">
        <f>IFERROR(DATE(2000+VALUE(MID(A196,FIND("15",A196,FIND("01",A196)+16)+2,2)),VALUE(MID(A196,FIND("15",A196,FIND("01",A196)+16)+4,2)),VALUE(MID(A196,FIND("15",A196,FIND("01",A196)+16)+6,2))),"")</f>
        <v/>
      </c>
      <c r="F196" s="8">
        <f>IFERROR(MID(A196,FIND("10",A196,FIND("15",A196,FIND("01",A196)+16)+8)+2,50),"")</f>
        <v/>
      </c>
      <c r="G196" s="8" t="n"/>
    </row>
    <row r="197">
      <c r="A197" s="4" t="n"/>
      <c r="B197" s="5">
        <f>IFERROR(MID(A197,FIND("01",A197)+2,14),"")</f>
        <v/>
      </c>
      <c r="C197" s="4">
        <f>IF(A197="","",IFERROR(VLOOKUP(B197,TblArticles,2,FALSE),"GTIN inconnu"))</f>
        <v/>
      </c>
      <c r="D197" s="5">
        <f>IF(A197="","",IFERROR(VLOOKUP(B197,TblArticles,3,FALSE),""))</f>
        <v/>
      </c>
      <c r="E197" s="6">
        <f>IFERROR(DATE(2000+VALUE(MID(A197,FIND("15",A197,FIND("01",A197)+16)+2,2)),VALUE(MID(A197,FIND("15",A197,FIND("01",A197)+16)+4,2)),VALUE(MID(A197,FIND("15",A197,FIND("01",A197)+16)+6,2))),"")</f>
        <v/>
      </c>
      <c r="F197" s="5">
        <f>IFERROR(MID(A197,FIND("10",A197,FIND("15",A197,FIND("01",A197)+16)+8)+2,50),"")</f>
        <v/>
      </c>
      <c r="G197" s="5" t="n"/>
    </row>
    <row r="198">
      <c r="A198" s="7" t="n"/>
      <c r="B198" s="8">
        <f>IFERROR(MID(A198,FIND("01",A198)+2,14),"")</f>
        <v/>
      </c>
      <c r="C198" s="7">
        <f>IF(A198="","",IFERROR(VLOOKUP(B198,TblArticles,2,FALSE),"GTIN inconnu"))</f>
        <v/>
      </c>
      <c r="D198" s="8">
        <f>IF(A198="","",IFERROR(VLOOKUP(B198,TblArticles,3,FALSE),""))</f>
        <v/>
      </c>
      <c r="E198" s="9">
        <f>IFERROR(DATE(2000+VALUE(MID(A198,FIND("15",A198,FIND("01",A198)+16)+2,2)),VALUE(MID(A198,FIND("15",A198,FIND("01",A198)+16)+4,2)),VALUE(MID(A198,FIND("15",A198,FIND("01",A198)+16)+6,2))),"")</f>
        <v/>
      </c>
      <c r="F198" s="8">
        <f>IFERROR(MID(A198,FIND("10",A198,FIND("15",A198,FIND("01",A198)+16)+8)+2,50),"")</f>
        <v/>
      </c>
      <c r="G198" s="8" t="n"/>
    </row>
    <row r="199">
      <c r="A199" s="4" t="n"/>
      <c r="B199" s="5">
        <f>IFERROR(MID(A199,FIND("01",A199)+2,14),"")</f>
        <v/>
      </c>
      <c r="C199" s="4">
        <f>IF(A199="","",IFERROR(VLOOKUP(B199,TblArticles,2,FALSE),"GTIN inconnu"))</f>
        <v/>
      </c>
      <c r="D199" s="5">
        <f>IF(A199="","",IFERROR(VLOOKUP(B199,TblArticles,3,FALSE),""))</f>
        <v/>
      </c>
      <c r="E199" s="6">
        <f>IFERROR(DATE(2000+VALUE(MID(A199,FIND("15",A199,FIND("01",A199)+16)+2,2)),VALUE(MID(A199,FIND("15",A199,FIND("01",A199)+16)+4,2)),VALUE(MID(A199,FIND("15",A199,FIND("01",A199)+16)+6,2))),"")</f>
        <v/>
      </c>
      <c r="F199" s="5">
        <f>IFERROR(MID(A199,FIND("10",A199,FIND("15",A199,FIND("01",A199)+16)+8)+2,50),"")</f>
        <v/>
      </c>
      <c r="G199" s="5" t="n"/>
    </row>
    <row r="200">
      <c r="A200" s="7" t="n"/>
      <c r="B200" s="8">
        <f>IFERROR(MID(A200,FIND("01",A200)+2,14),"")</f>
        <v/>
      </c>
      <c r="C200" s="7">
        <f>IF(A200="","",IFERROR(VLOOKUP(B200,TblArticles,2,FALSE),"GTIN inconnu"))</f>
        <v/>
      </c>
      <c r="D200" s="8">
        <f>IF(A200="","",IFERROR(VLOOKUP(B200,TblArticles,3,FALSE),""))</f>
        <v/>
      </c>
      <c r="E200" s="9">
        <f>IFERROR(DATE(2000+VALUE(MID(A200,FIND("15",A200,FIND("01",A200)+16)+2,2)),VALUE(MID(A200,FIND("15",A200,FIND("01",A200)+16)+4,2)),VALUE(MID(A200,FIND("15",A200,FIND("01",A200)+16)+6,2))),"")</f>
        <v/>
      </c>
      <c r="F200" s="8">
        <f>IFERROR(MID(A200,FIND("10",A200,FIND("15",A200,FIND("01",A200)+16)+8)+2,50),"")</f>
        <v/>
      </c>
      <c r="G200" s="8" t="n"/>
    </row>
    <row r="201">
      <c r="A201" s="4" t="n"/>
      <c r="B201" s="5">
        <f>IFERROR(MID(A201,FIND("01",A201)+2,14),"")</f>
        <v/>
      </c>
      <c r="C201" s="4">
        <f>IF(A201="","",IFERROR(VLOOKUP(B201,TblArticles,2,FALSE),"GTIN inconnu"))</f>
        <v/>
      </c>
      <c r="D201" s="5">
        <f>IF(A201="","",IFERROR(VLOOKUP(B201,TblArticles,3,FALSE),""))</f>
        <v/>
      </c>
      <c r="E201" s="6">
        <f>IFERROR(DATE(2000+VALUE(MID(A201,FIND("15",A201,FIND("01",A201)+16)+2,2)),VALUE(MID(A201,FIND("15",A201,FIND("01",A201)+16)+4,2)),VALUE(MID(A201,FIND("15",A201,FIND("01",A201)+16)+6,2))),"")</f>
        <v/>
      </c>
      <c r="F201" s="5">
        <f>IFERROR(MID(A201,FIND("10",A201,FIND("15",A201,FIND("01",A201)+16)+8)+2,50),"")</f>
        <v/>
      </c>
      <c r="G201" s="5" t="n"/>
    </row>
    <row r="202">
      <c r="A202" s="7" t="n"/>
      <c r="B202" s="8">
        <f>IFERROR(MID(A202,FIND("01",A202)+2,14),"")</f>
        <v/>
      </c>
      <c r="C202" s="7">
        <f>IF(A202="","",IFERROR(VLOOKUP(B202,TblArticles,2,FALSE),"GTIN inconnu"))</f>
        <v/>
      </c>
      <c r="D202" s="8">
        <f>IF(A202="","",IFERROR(VLOOKUP(B202,TblArticles,3,FALSE),""))</f>
        <v/>
      </c>
      <c r="E202" s="9">
        <f>IFERROR(DATE(2000+VALUE(MID(A202,FIND("15",A202,FIND("01",A202)+16)+2,2)),VALUE(MID(A202,FIND("15",A202,FIND("01",A202)+16)+4,2)),VALUE(MID(A202,FIND("15",A202,FIND("01",A202)+16)+6,2))),"")</f>
        <v/>
      </c>
      <c r="F202" s="8">
        <f>IFERROR(MID(A202,FIND("10",A202,FIND("15",A202,FIND("01",A202)+16)+8)+2,50),"")</f>
        <v/>
      </c>
      <c r="G202" s="8" t="n"/>
    </row>
    <row r="203">
      <c r="A203" s="4" t="n"/>
      <c r="B203" s="5">
        <f>IFERROR(MID(A203,FIND("01",A203)+2,14),"")</f>
        <v/>
      </c>
      <c r="C203" s="4">
        <f>IF(A203="","",IFERROR(VLOOKUP(B203,TblArticles,2,FALSE),"GTIN inconnu"))</f>
        <v/>
      </c>
      <c r="D203" s="5">
        <f>IF(A203="","",IFERROR(VLOOKUP(B203,TblArticles,3,FALSE),""))</f>
        <v/>
      </c>
      <c r="E203" s="6">
        <f>IFERROR(DATE(2000+VALUE(MID(A203,FIND("15",A203,FIND("01",A203)+16)+2,2)),VALUE(MID(A203,FIND("15",A203,FIND("01",A203)+16)+4,2)),VALUE(MID(A203,FIND("15",A203,FIND("01",A203)+16)+6,2))),"")</f>
        <v/>
      </c>
      <c r="F203" s="5">
        <f>IFERROR(MID(A203,FIND("10",A203,FIND("15",A203,FIND("01",A203)+16)+8)+2,50),"")</f>
        <v/>
      </c>
      <c r="G203" s="5" t="n"/>
    </row>
    <row r="204">
      <c r="A204" s="7" t="n"/>
      <c r="B204" s="8">
        <f>IFERROR(MID(A204,FIND("01",A204)+2,14),"")</f>
        <v/>
      </c>
      <c r="C204" s="7">
        <f>IF(A204="","",IFERROR(VLOOKUP(B204,TblArticles,2,FALSE),"GTIN inconnu"))</f>
        <v/>
      </c>
      <c r="D204" s="8">
        <f>IF(A204="","",IFERROR(VLOOKUP(B204,TblArticles,3,FALSE),""))</f>
        <v/>
      </c>
      <c r="E204" s="9">
        <f>IFERROR(DATE(2000+VALUE(MID(A204,FIND("15",A204,FIND("01",A204)+16)+2,2)),VALUE(MID(A204,FIND("15",A204,FIND("01",A204)+16)+4,2)),VALUE(MID(A204,FIND("15",A204,FIND("01",A204)+16)+6,2))),"")</f>
        <v/>
      </c>
      <c r="F204" s="8">
        <f>IFERROR(MID(A204,FIND("10",A204,FIND("15",A204,FIND("01",A204)+16)+8)+2,50),"")</f>
        <v/>
      </c>
      <c r="G204" s="8" t="n"/>
    </row>
    <row r="205">
      <c r="A205" s="4" t="n"/>
      <c r="B205" s="5">
        <f>IFERROR(MID(A205,FIND("01",A205)+2,14),"")</f>
        <v/>
      </c>
      <c r="C205" s="4">
        <f>IF(A205="","",IFERROR(VLOOKUP(B205,TblArticles,2,FALSE),"GTIN inconnu"))</f>
        <v/>
      </c>
      <c r="D205" s="5">
        <f>IF(A205="","",IFERROR(VLOOKUP(B205,TblArticles,3,FALSE),""))</f>
        <v/>
      </c>
      <c r="E205" s="6">
        <f>IFERROR(DATE(2000+VALUE(MID(A205,FIND("15",A205,FIND("01",A205)+16)+2,2)),VALUE(MID(A205,FIND("15",A205,FIND("01",A205)+16)+4,2)),VALUE(MID(A205,FIND("15",A205,FIND("01",A205)+16)+6,2))),"")</f>
        <v/>
      </c>
      <c r="F205" s="5">
        <f>IFERROR(MID(A205,FIND("10",A205,FIND("15",A205,FIND("01",A205)+16)+8)+2,50),"")</f>
        <v/>
      </c>
      <c r="G205" s="5" t="n"/>
    </row>
    <row r="206">
      <c r="A206" s="7" t="n"/>
      <c r="B206" s="8">
        <f>IFERROR(MID(A206,FIND("01",A206)+2,14),"")</f>
        <v/>
      </c>
      <c r="C206" s="7">
        <f>IF(A206="","",IFERROR(VLOOKUP(B206,TblArticles,2,FALSE),"GTIN inconnu"))</f>
        <v/>
      </c>
      <c r="D206" s="8">
        <f>IF(A206="","",IFERROR(VLOOKUP(B206,TblArticles,3,FALSE),""))</f>
        <v/>
      </c>
      <c r="E206" s="9">
        <f>IFERROR(DATE(2000+VALUE(MID(A206,FIND("15",A206,FIND("01",A206)+16)+2,2)),VALUE(MID(A206,FIND("15",A206,FIND("01",A206)+16)+4,2)),VALUE(MID(A206,FIND("15",A206,FIND("01",A206)+16)+6,2))),"")</f>
        <v/>
      </c>
      <c r="F206" s="8">
        <f>IFERROR(MID(A206,FIND("10",A206,FIND("15",A206,FIND("01",A206)+16)+8)+2,50),"")</f>
        <v/>
      </c>
      <c r="G206" s="8" t="n"/>
    </row>
    <row r="207">
      <c r="A207" s="4" t="n"/>
      <c r="B207" s="5">
        <f>IFERROR(MID(A207,FIND("01",A207)+2,14),"")</f>
        <v/>
      </c>
      <c r="C207" s="4">
        <f>IF(A207="","",IFERROR(VLOOKUP(B207,TblArticles,2,FALSE),"GTIN inconnu"))</f>
        <v/>
      </c>
      <c r="D207" s="5">
        <f>IF(A207="","",IFERROR(VLOOKUP(B207,TblArticles,3,FALSE),""))</f>
        <v/>
      </c>
      <c r="E207" s="6">
        <f>IFERROR(DATE(2000+VALUE(MID(A207,FIND("15",A207,FIND("01",A207)+16)+2,2)),VALUE(MID(A207,FIND("15",A207,FIND("01",A207)+16)+4,2)),VALUE(MID(A207,FIND("15",A207,FIND("01",A207)+16)+6,2))),"")</f>
        <v/>
      </c>
      <c r="F207" s="5">
        <f>IFERROR(MID(A207,FIND("10",A207,FIND("15",A207,FIND("01",A207)+16)+8)+2,50),"")</f>
        <v/>
      </c>
      <c r="G207" s="5" t="n"/>
    </row>
    <row r="208">
      <c r="A208" s="7" t="n"/>
      <c r="B208" s="8">
        <f>IFERROR(MID(A208,FIND("01",A208)+2,14),"")</f>
        <v/>
      </c>
      <c r="C208" s="7">
        <f>IF(A208="","",IFERROR(VLOOKUP(B208,TblArticles,2,FALSE),"GTIN inconnu"))</f>
        <v/>
      </c>
      <c r="D208" s="8">
        <f>IF(A208="","",IFERROR(VLOOKUP(B208,TblArticles,3,FALSE),""))</f>
        <v/>
      </c>
      <c r="E208" s="9">
        <f>IFERROR(DATE(2000+VALUE(MID(A208,FIND("15",A208,FIND("01",A208)+16)+2,2)),VALUE(MID(A208,FIND("15",A208,FIND("01",A208)+16)+4,2)),VALUE(MID(A208,FIND("15",A208,FIND("01",A208)+16)+6,2))),"")</f>
        <v/>
      </c>
      <c r="F208" s="8">
        <f>IFERROR(MID(A208,FIND("10",A208,FIND("15",A208,FIND("01",A208)+16)+8)+2,50),"")</f>
        <v/>
      </c>
      <c r="G208" s="8" t="n"/>
    </row>
    <row r="209">
      <c r="A209" s="4" t="n"/>
      <c r="B209" s="5">
        <f>IFERROR(MID(A209,FIND("01",A209)+2,14),"")</f>
        <v/>
      </c>
      <c r="C209" s="4">
        <f>IF(A209="","",IFERROR(VLOOKUP(B209,TblArticles,2,FALSE),"GTIN inconnu"))</f>
        <v/>
      </c>
      <c r="D209" s="5">
        <f>IF(A209="","",IFERROR(VLOOKUP(B209,TblArticles,3,FALSE),""))</f>
        <v/>
      </c>
      <c r="E209" s="6">
        <f>IFERROR(DATE(2000+VALUE(MID(A209,FIND("15",A209,FIND("01",A209)+16)+2,2)),VALUE(MID(A209,FIND("15",A209,FIND("01",A209)+16)+4,2)),VALUE(MID(A209,FIND("15",A209,FIND("01",A209)+16)+6,2))),"")</f>
        <v/>
      </c>
      <c r="F209" s="5">
        <f>IFERROR(MID(A209,FIND("10",A209,FIND("15",A209,FIND("01",A209)+16)+8)+2,50),"")</f>
        <v/>
      </c>
      <c r="G209" s="5" t="n"/>
    </row>
    <row r="210">
      <c r="A210" s="7" t="n"/>
      <c r="B210" s="8">
        <f>IFERROR(MID(A210,FIND("01",A210)+2,14),"")</f>
        <v/>
      </c>
      <c r="C210" s="7">
        <f>IF(A210="","",IFERROR(VLOOKUP(B210,TblArticles,2,FALSE),"GTIN inconnu"))</f>
        <v/>
      </c>
      <c r="D210" s="8">
        <f>IF(A210="","",IFERROR(VLOOKUP(B210,TblArticles,3,FALSE),""))</f>
        <v/>
      </c>
      <c r="E210" s="9">
        <f>IFERROR(DATE(2000+VALUE(MID(A210,FIND("15",A210,FIND("01",A210)+16)+2,2)),VALUE(MID(A210,FIND("15",A210,FIND("01",A210)+16)+4,2)),VALUE(MID(A210,FIND("15",A210,FIND("01",A210)+16)+6,2))),"")</f>
        <v/>
      </c>
      <c r="F210" s="8">
        <f>IFERROR(MID(A210,FIND("10",A210,FIND("15",A210,FIND("01",A210)+16)+8)+2,50),"")</f>
        <v/>
      </c>
      <c r="G210" s="8" t="n"/>
    </row>
    <row r="211">
      <c r="A211" s="4" t="n"/>
      <c r="B211" s="5">
        <f>IFERROR(MID(A211,FIND("01",A211)+2,14),"")</f>
        <v/>
      </c>
      <c r="C211" s="4">
        <f>IF(A211="","",IFERROR(VLOOKUP(B211,TblArticles,2,FALSE),"GTIN inconnu"))</f>
        <v/>
      </c>
      <c r="D211" s="5">
        <f>IF(A211="","",IFERROR(VLOOKUP(B211,TblArticles,3,FALSE),""))</f>
        <v/>
      </c>
      <c r="E211" s="6">
        <f>IFERROR(DATE(2000+VALUE(MID(A211,FIND("15",A211,FIND("01",A211)+16)+2,2)),VALUE(MID(A211,FIND("15",A211,FIND("01",A211)+16)+4,2)),VALUE(MID(A211,FIND("15",A211,FIND("01",A211)+16)+6,2))),"")</f>
        <v/>
      </c>
      <c r="F211" s="5">
        <f>IFERROR(MID(A211,FIND("10",A211,FIND("15",A211,FIND("01",A211)+16)+8)+2,50),"")</f>
        <v/>
      </c>
      <c r="G211" s="5" t="n"/>
    </row>
    <row r="212">
      <c r="A212" s="7" t="n"/>
      <c r="B212" s="8">
        <f>IFERROR(MID(A212,FIND("01",A212)+2,14),"")</f>
        <v/>
      </c>
      <c r="C212" s="7">
        <f>IF(A212="","",IFERROR(VLOOKUP(B212,TblArticles,2,FALSE),"GTIN inconnu"))</f>
        <v/>
      </c>
      <c r="D212" s="8">
        <f>IF(A212="","",IFERROR(VLOOKUP(B212,TblArticles,3,FALSE),""))</f>
        <v/>
      </c>
      <c r="E212" s="9">
        <f>IFERROR(DATE(2000+VALUE(MID(A212,FIND("15",A212,FIND("01",A212)+16)+2,2)),VALUE(MID(A212,FIND("15",A212,FIND("01",A212)+16)+4,2)),VALUE(MID(A212,FIND("15",A212,FIND("01",A212)+16)+6,2))),"")</f>
        <v/>
      </c>
      <c r="F212" s="8">
        <f>IFERROR(MID(A212,FIND("10",A212,FIND("15",A212,FIND("01",A212)+16)+8)+2,50),"")</f>
        <v/>
      </c>
      <c r="G212" s="8" t="n"/>
    </row>
    <row r="213">
      <c r="A213" s="4" t="n"/>
      <c r="B213" s="5">
        <f>IFERROR(MID(A213,FIND("01",A213)+2,14),"")</f>
        <v/>
      </c>
      <c r="C213" s="4">
        <f>IF(A213="","",IFERROR(VLOOKUP(B213,TblArticles,2,FALSE),"GTIN inconnu"))</f>
        <v/>
      </c>
      <c r="D213" s="5">
        <f>IF(A213="","",IFERROR(VLOOKUP(B213,TblArticles,3,FALSE),""))</f>
        <v/>
      </c>
      <c r="E213" s="6">
        <f>IFERROR(DATE(2000+VALUE(MID(A213,FIND("15",A213,FIND("01",A213)+16)+2,2)),VALUE(MID(A213,FIND("15",A213,FIND("01",A213)+16)+4,2)),VALUE(MID(A213,FIND("15",A213,FIND("01",A213)+16)+6,2))),"")</f>
        <v/>
      </c>
      <c r="F213" s="5">
        <f>IFERROR(MID(A213,FIND("10",A213,FIND("15",A213,FIND("01",A213)+16)+8)+2,50),"")</f>
        <v/>
      </c>
      <c r="G213" s="5" t="n"/>
    </row>
    <row r="214">
      <c r="A214" s="7" t="n"/>
      <c r="B214" s="8">
        <f>IFERROR(MID(A214,FIND("01",A214)+2,14),"")</f>
        <v/>
      </c>
      <c r="C214" s="7">
        <f>IF(A214="","",IFERROR(VLOOKUP(B214,TblArticles,2,FALSE),"GTIN inconnu"))</f>
        <v/>
      </c>
      <c r="D214" s="8">
        <f>IF(A214="","",IFERROR(VLOOKUP(B214,TblArticles,3,FALSE),""))</f>
        <v/>
      </c>
      <c r="E214" s="9">
        <f>IFERROR(DATE(2000+VALUE(MID(A214,FIND("15",A214,FIND("01",A214)+16)+2,2)),VALUE(MID(A214,FIND("15",A214,FIND("01",A214)+16)+4,2)),VALUE(MID(A214,FIND("15",A214,FIND("01",A214)+16)+6,2))),"")</f>
        <v/>
      </c>
      <c r="F214" s="8">
        <f>IFERROR(MID(A214,FIND("10",A214,FIND("15",A214,FIND("01",A214)+16)+8)+2,50),"")</f>
        <v/>
      </c>
      <c r="G214" s="8" t="n"/>
    </row>
    <row r="215">
      <c r="A215" s="4" t="n"/>
      <c r="B215" s="5">
        <f>IFERROR(MID(A215,FIND("01",A215)+2,14),"")</f>
        <v/>
      </c>
      <c r="C215" s="4">
        <f>IF(A215="","",IFERROR(VLOOKUP(B215,TblArticles,2,FALSE),"GTIN inconnu"))</f>
        <v/>
      </c>
      <c r="D215" s="5">
        <f>IF(A215="","",IFERROR(VLOOKUP(B215,TblArticles,3,FALSE),""))</f>
        <v/>
      </c>
      <c r="E215" s="6">
        <f>IFERROR(DATE(2000+VALUE(MID(A215,FIND("15",A215,FIND("01",A215)+16)+2,2)),VALUE(MID(A215,FIND("15",A215,FIND("01",A215)+16)+4,2)),VALUE(MID(A215,FIND("15",A215,FIND("01",A215)+16)+6,2))),"")</f>
        <v/>
      </c>
      <c r="F215" s="5">
        <f>IFERROR(MID(A215,FIND("10",A215,FIND("15",A215,FIND("01",A215)+16)+8)+2,50),"")</f>
        <v/>
      </c>
      <c r="G215" s="5" t="n"/>
    </row>
    <row r="216">
      <c r="A216" s="7" t="n"/>
      <c r="B216" s="8">
        <f>IFERROR(MID(A216,FIND("01",A216)+2,14),"")</f>
        <v/>
      </c>
      <c r="C216" s="7">
        <f>IF(A216="","",IFERROR(VLOOKUP(B216,TblArticles,2,FALSE),"GTIN inconnu"))</f>
        <v/>
      </c>
      <c r="D216" s="8">
        <f>IF(A216="","",IFERROR(VLOOKUP(B216,TblArticles,3,FALSE),""))</f>
        <v/>
      </c>
      <c r="E216" s="9">
        <f>IFERROR(DATE(2000+VALUE(MID(A216,FIND("15",A216,FIND("01",A216)+16)+2,2)),VALUE(MID(A216,FIND("15",A216,FIND("01",A216)+16)+4,2)),VALUE(MID(A216,FIND("15",A216,FIND("01",A216)+16)+6,2))),"")</f>
        <v/>
      </c>
      <c r="F216" s="8">
        <f>IFERROR(MID(A216,FIND("10",A216,FIND("15",A216,FIND("01",A216)+16)+8)+2,50),"")</f>
        <v/>
      </c>
      <c r="G216" s="8" t="n"/>
    </row>
    <row r="217">
      <c r="A217" s="4" t="n"/>
      <c r="B217" s="5">
        <f>IFERROR(MID(A217,FIND("01",A217)+2,14),"")</f>
        <v/>
      </c>
      <c r="C217" s="4">
        <f>IF(A217="","",IFERROR(VLOOKUP(B217,TblArticles,2,FALSE),"GTIN inconnu"))</f>
        <v/>
      </c>
      <c r="D217" s="5">
        <f>IF(A217="","",IFERROR(VLOOKUP(B217,TblArticles,3,FALSE),""))</f>
        <v/>
      </c>
      <c r="E217" s="6">
        <f>IFERROR(DATE(2000+VALUE(MID(A217,FIND("15",A217,FIND("01",A217)+16)+2,2)),VALUE(MID(A217,FIND("15",A217,FIND("01",A217)+16)+4,2)),VALUE(MID(A217,FIND("15",A217,FIND("01",A217)+16)+6,2))),"")</f>
        <v/>
      </c>
      <c r="F217" s="5">
        <f>IFERROR(MID(A217,FIND("10",A217,FIND("15",A217,FIND("01",A217)+16)+8)+2,50),"")</f>
        <v/>
      </c>
      <c r="G217" s="5" t="n"/>
    </row>
    <row r="218">
      <c r="A218" s="7" t="n"/>
      <c r="B218" s="8">
        <f>IFERROR(MID(A218,FIND("01",A218)+2,14),"")</f>
        <v/>
      </c>
      <c r="C218" s="7">
        <f>IF(A218="","",IFERROR(VLOOKUP(B218,TblArticles,2,FALSE),"GTIN inconnu"))</f>
        <v/>
      </c>
      <c r="D218" s="8">
        <f>IF(A218="","",IFERROR(VLOOKUP(B218,TblArticles,3,FALSE),""))</f>
        <v/>
      </c>
      <c r="E218" s="9">
        <f>IFERROR(DATE(2000+VALUE(MID(A218,FIND("15",A218,FIND("01",A218)+16)+2,2)),VALUE(MID(A218,FIND("15",A218,FIND("01",A218)+16)+4,2)),VALUE(MID(A218,FIND("15",A218,FIND("01",A218)+16)+6,2))),"")</f>
        <v/>
      </c>
      <c r="F218" s="8">
        <f>IFERROR(MID(A218,FIND("10",A218,FIND("15",A218,FIND("01",A218)+16)+8)+2,50),"")</f>
        <v/>
      </c>
      <c r="G218" s="8" t="n"/>
    </row>
    <row r="219">
      <c r="A219" s="4" t="n"/>
      <c r="B219" s="5">
        <f>IFERROR(MID(A219,FIND("01",A219)+2,14),"")</f>
        <v/>
      </c>
      <c r="C219" s="4">
        <f>IF(A219="","",IFERROR(VLOOKUP(B219,TblArticles,2,FALSE),"GTIN inconnu"))</f>
        <v/>
      </c>
      <c r="D219" s="5">
        <f>IF(A219="","",IFERROR(VLOOKUP(B219,TblArticles,3,FALSE),""))</f>
        <v/>
      </c>
      <c r="E219" s="6">
        <f>IFERROR(DATE(2000+VALUE(MID(A219,FIND("15",A219,FIND("01",A219)+16)+2,2)),VALUE(MID(A219,FIND("15",A219,FIND("01",A219)+16)+4,2)),VALUE(MID(A219,FIND("15",A219,FIND("01",A219)+16)+6,2))),"")</f>
        <v/>
      </c>
      <c r="F219" s="5">
        <f>IFERROR(MID(A219,FIND("10",A219,FIND("15",A219,FIND("01",A219)+16)+8)+2,50),"")</f>
        <v/>
      </c>
      <c r="G219" s="5" t="n"/>
    </row>
    <row r="220">
      <c r="A220" s="7" t="n"/>
      <c r="B220" s="8">
        <f>IFERROR(MID(A220,FIND("01",A220)+2,14),"")</f>
        <v/>
      </c>
      <c r="C220" s="7">
        <f>IF(A220="","",IFERROR(VLOOKUP(B220,TblArticles,2,FALSE),"GTIN inconnu"))</f>
        <v/>
      </c>
      <c r="D220" s="8">
        <f>IF(A220="","",IFERROR(VLOOKUP(B220,TblArticles,3,FALSE),""))</f>
        <v/>
      </c>
      <c r="E220" s="9">
        <f>IFERROR(DATE(2000+VALUE(MID(A220,FIND("15",A220,FIND("01",A220)+16)+2,2)),VALUE(MID(A220,FIND("15",A220,FIND("01",A220)+16)+4,2)),VALUE(MID(A220,FIND("15",A220,FIND("01",A220)+16)+6,2))),"")</f>
        <v/>
      </c>
      <c r="F220" s="8">
        <f>IFERROR(MID(A220,FIND("10",A220,FIND("15",A220,FIND("01",A220)+16)+8)+2,50),"")</f>
        <v/>
      </c>
      <c r="G220" s="8" t="n"/>
    </row>
    <row r="221">
      <c r="A221" s="4" t="n"/>
      <c r="B221" s="5">
        <f>IFERROR(MID(A221,FIND("01",A221)+2,14),"")</f>
        <v/>
      </c>
      <c r="C221" s="4">
        <f>IF(A221="","",IFERROR(VLOOKUP(B221,TblArticles,2,FALSE),"GTIN inconnu"))</f>
        <v/>
      </c>
      <c r="D221" s="5">
        <f>IF(A221="","",IFERROR(VLOOKUP(B221,TblArticles,3,FALSE),""))</f>
        <v/>
      </c>
      <c r="E221" s="6">
        <f>IFERROR(DATE(2000+VALUE(MID(A221,FIND("15",A221,FIND("01",A221)+16)+2,2)),VALUE(MID(A221,FIND("15",A221,FIND("01",A221)+16)+4,2)),VALUE(MID(A221,FIND("15",A221,FIND("01",A221)+16)+6,2))),"")</f>
        <v/>
      </c>
      <c r="F221" s="5">
        <f>IFERROR(MID(A221,FIND("10",A221,FIND("15",A221,FIND("01",A221)+16)+8)+2,50),"")</f>
        <v/>
      </c>
      <c r="G221" s="5" t="n"/>
    </row>
    <row r="222">
      <c r="A222" s="7" t="n"/>
      <c r="B222" s="8">
        <f>IFERROR(MID(A222,FIND("01",A222)+2,14),"")</f>
        <v/>
      </c>
      <c r="C222" s="7">
        <f>IF(A222="","",IFERROR(VLOOKUP(B222,TblArticles,2,FALSE),"GTIN inconnu"))</f>
        <v/>
      </c>
      <c r="D222" s="8">
        <f>IF(A222="","",IFERROR(VLOOKUP(B222,TblArticles,3,FALSE),""))</f>
        <v/>
      </c>
      <c r="E222" s="9">
        <f>IFERROR(DATE(2000+VALUE(MID(A222,FIND("15",A222,FIND("01",A222)+16)+2,2)),VALUE(MID(A222,FIND("15",A222,FIND("01",A222)+16)+4,2)),VALUE(MID(A222,FIND("15",A222,FIND("01",A222)+16)+6,2))),"")</f>
        <v/>
      </c>
      <c r="F222" s="8">
        <f>IFERROR(MID(A222,FIND("10",A222,FIND("15",A222,FIND("01",A222)+16)+8)+2,50),"")</f>
        <v/>
      </c>
      <c r="G222" s="8" t="n"/>
    </row>
    <row r="223">
      <c r="A223" s="4" t="n"/>
      <c r="B223" s="5">
        <f>IFERROR(MID(A223,FIND("01",A223)+2,14),"")</f>
        <v/>
      </c>
      <c r="C223" s="4">
        <f>IF(A223="","",IFERROR(VLOOKUP(B223,TblArticles,2,FALSE),"GTIN inconnu"))</f>
        <v/>
      </c>
      <c r="D223" s="5">
        <f>IF(A223="","",IFERROR(VLOOKUP(B223,TblArticles,3,FALSE),""))</f>
        <v/>
      </c>
      <c r="E223" s="6">
        <f>IFERROR(DATE(2000+VALUE(MID(A223,FIND("15",A223,FIND("01",A223)+16)+2,2)),VALUE(MID(A223,FIND("15",A223,FIND("01",A223)+16)+4,2)),VALUE(MID(A223,FIND("15",A223,FIND("01",A223)+16)+6,2))),"")</f>
        <v/>
      </c>
      <c r="F223" s="5">
        <f>IFERROR(MID(A223,FIND("10",A223,FIND("15",A223,FIND("01",A223)+16)+8)+2,50),"")</f>
        <v/>
      </c>
      <c r="G223" s="5" t="n"/>
    </row>
    <row r="224">
      <c r="A224" s="7" t="n"/>
      <c r="B224" s="8">
        <f>IFERROR(MID(A224,FIND("01",A224)+2,14),"")</f>
        <v/>
      </c>
      <c r="C224" s="7">
        <f>IF(A224="","",IFERROR(VLOOKUP(B224,TblArticles,2,FALSE),"GTIN inconnu"))</f>
        <v/>
      </c>
      <c r="D224" s="8">
        <f>IF(A224="","",IFERROR(VLOOKUP(B224,TblArticles,3,FALSE),""))</f>
        <v/>
      </c>
      <c r="E224" s="9">
        <f>IFERROR(DATE(2000+VALUE(MID(A224,FIND("15",A224,FIND("01",A224)+16)+2,2)),VALUE(MID(A224,FIND("15",A224,FIND("01",A224)+16)+4,2)),VALUE(MID(A224,FIND("15",A224,FIND("01",A224)+16)+6,2))),"")</f>
        <v/>
      </c>
      <c r="F224" s="8">
        <f>IFERROR(MID(A224,FIND("10",A224,FIND("15",A224,FIND("01",A224)+16)+8)+2,50),"")</f>
        <v/>
      </c>
      <c r="G224" s="8" t="n"/>
    </row>
    <row r="225">
      <c r="A225" s="4" t="n"/>
      <c r="B225" s="5">
        <f>IFERROR(MID(A225,FIND("01",A225)+2,14),"")</f>
        <v/>
      </c>
      <c r="C225" s="4">
        <f>IF(A225="","",IFERROR(VLOOKUP(B225,TblArticles,2,FALSE),"GTIN inconnu"))</f>
        <v/>
      </c>
      <c r="D225" s="5">
        <f>IF(A225="","",IFERROR(VLOOKUP(B225,TblArticles,3,FALSE),""))</f>
        <v/>
      </c>
      <c r="E225" s="6">
        <f>IFERROR(DATE(2000+VALUE(MID(A225,FIND("15",A225,FIND("01",A225)+16)+2,2)),VALUE(MID(A225,FIND("15",A225,FIND("01",A225)+16)+4,2)),VALUE(MID(A225,FIND("15",A225,FIND("01",A225)+16)+6,2))),"")</f>
        <v/>
      </c>
      <c r="F225" s="5">
        <f>IFERROR(MID(A225,FIND("10",A225,FIND("15",A225,FIND("01",A225)+16)+8)+2,50),"")</f>
        <v/>
      </c>
      <c r="G225" s="5" t="n"/>
    </row>
    <row r="226">
      <c r="A226" s="7" t="n"/>
      <c r="B226" s="8">
        <f>IFERROR(MID(A226,FIND("01",A226)+2,14),"")</f>
        <v/>
      </c>
      <c r="C226" s="7">
        <f>IF(A226="","",IFERROR(VLOOKUP(B226,TblArticles,2,FALSE),"GTIN inconnu"))</f>
        <v/>
      </c>
      <c r="D226" s="8">
        <f>IF(A226="","",IFERROR(VLOOKUP(B226,TblArticles,3,FALSE),""))</f>
        <v/>
      </c>
      <c r="E226" s="9">
        <f>IFERROR(DATE(2000+VALUE(MID(A226,FIND("15",A226,FIND("01",A226)+16)+2,2)),VALUE(MID(A226,FIND("15",A226,FIND("01",A226)+16)+4,2)),VALUE(MID(A226,FIND("15",A226,FIND("01",A226)+16)+6,2))),"")</f>
        <v/>
      </c>
      <c r="F226" s="8">
        <f>IFERROR(MID(A226,FIND("10",A226,FIND("15",A226,FIND("01",A226)+16)+8)+2,50),"")</f>
        <v/>
      </c>
      <c r="G226" s="8" t="n"/>
    </row>
    <row r="227">
      <c r="A227" s="4" t="n"/>
      <c r="B227" s="5">
        <f>IFERROR(MID(A227,FIND("01",A227)+2,14),"")</f>
        <v/>
      </c>
      <c r="C227" s="4">
        <f>IF(A227="","",IFERROR(VLOOKUP(B227,TblArticles,2,FALSE),"GTIN inconnu"))</f>
        <v/>
      </c>
      <c r="D227" s="5">
        <f>IF(A227="","",IFERROR(VLOOKUP(B227,TblArticles,3,FALSE),""))</f>
        <v/>
      </c>
      <c r="E227" s="6">
        <f>IFERROR(DATE(2000+VALUE(MID(A227,FIND("15",A227,FIND("01",A227)+16)+2,2)),VALUE(MID(A227,FIND("15",A227,FIND("01",A227)+16)+4,2)),VALUE(MID(A227,FIND("15",A227,FIND("01",A227)+16)+6,2))),"")</f>
        <v/>
      </c>
      <c r="F227" s="5">
        <f>IFERROR(MID(A227,FIND("10",A227,FIND("15",A227,FIND("01",A227)+16)+8)+2,50),"")</f>
        <v/>
      </c>
      <c r="G227" s="5" t="n"/>
    </row>
    <row r="228">
      <c r="A228" s="7" t="n"/>
      <c r="B228" s="8">
        <f>IFERROR(MID(A228,FIND("01",A228)+2,14),"")</f>
        <v/>
      </c>
      <c r="C228" s="7">
        <f>IF(A228="","",IFERROR(VLOOKUP(B228,TblArticles,2,FALSE),"GTIN inconnu"))</f>
        <v/>
      </c>
      <c r="D228" s="8">
        <f>IF(A228="","",IFERROR(VLOOKUP(B228,TblArticles,3,FALSE),""))</f>
        <v/>
      </c>
      <c r="E228" s="9">
        <f>IFERROR(DATE(2000+VALUE(MID(A228,FIND("15",A228,FIND("01",A228)+16)+2,2)),VALUE(MID(A228,FIND("15",A228,FIND("01",A228)+16)+4,2)),VALUE(MID(A228,FIND("15",A228,FIND("01",A228)+16)+6,2))),"")</f>
        <v/>
      </c>
      <c r="F228" s="8">
        <f>IFERROR(MID(A228,FIND("10",A228,FIND("15",A228,FIND("01",A228)+16)+8)+2,50),"")</f>
        <v/>
      </c>
      <c r="G228" s="8" t="n"/>
    </row>
    <row r="229">
      <c r="A229" s="4" t="n"/>
      <c r="B229" s="5">
        <f>IFERROR(MID(A229,FIND("01",A229)+2,14),"")</f>
        <v/>
      </c>
      <c r="C229" s="4">
        <f>IF(A229="","",IFERROR(VLOOKUP(B229,TblArticles,2,FALSE),"GTIN inconnu"))</f>
        <v/>
      </c>
      <c r="D229" s="5">
        <f>IF(A229="","",IFERROR(VLOOKUP(B229,TblArticles,3,FALSE),""))</f>
        <v/>
      </c>
      <c r="E229" s="6">
        <f>IFERROR(DATE(2000+VALUE(MID(A229,FIND("15",A229,FIND("01",A229)+16)+2,2)),VALUE(MID(A229,FIND("15",A229,FIND("01",A229)+16)+4,2)),VALUE(MID(A229,FIND("15",A229,FIND("01",A229)+16)+6,2))),"")</f>
        <v/>
      </c>
      <c r="F229" s="5">
        <f>IFERROR(MID(A229,FIND("10",A229,FIND("15",A229,FIND("01",A229)+16)+8)+2,50),"")</f>
        <v/>
      </c>
      <c r="G229" s="5" t="n"/>
    </row>
    <row r="230">
      <c r="A230" s="7" t="n"/>
      <c r="B230" s="8">
        <f>IFERROR(MID(A230,FIND("01",A230)+2,14),"")</f>
        <v/>
      </c>
      <c r="C230" s="7">
        <f>IF(A230="","",IFERROR(VLOOKUP(B230,TblArticles,2,FALSE),"GTIN inconnu"))</f>
        <v/>
      </c>
      <c r="D230" s="8">
        <f>IF(A230="","",IFERROR(VLOOKUP(B230,TblArticles,3,FALSE),""))</f>
        <v/>
      </c>
      <c r="E230" s="9">
        <f>IFERROR(DATE(2000+VALUE(MID(A230,FIND("15",A230,FIND("01",A230)+16)+2,2)),VALUE(MID(A230,FIND("15",A230,FIND("01",A230)+16)+4,2)),VALUE(MID(A230,FIND("15",A230,FIND("01",A230)+16)+6,2))),"")</f>
        <v/>
      </c>
      <c r="F230" s="8">
        <f>IFERROR(MID(A230,FIND("10",A230,FIND("15",A230,FIND("01",A230)+16)+8)+2,50),"")</f>
        <v/>
      </c>
      <c r="G230" s="8" t="n"/>
    </row>
    <row r="231">
      <c r="A231" s="4" t="n"/>
      <c r="B231" s="5">
        <f>IFERROR(MID(A231,FIND("01",A231)+2,14),"")</f>
        <v/>
      </c>
      <c r="C231" s="4">
        <f>IF(A231="","",IFERROR(VLOOKUP(B231,TblArticles,2,FALSE),"GTIN inconnu"))</f>
        <v/>
      </c>
      <c r="D231" s="5">
        <f>IF(A231="","",IFERROR(VLOOKUP(B231,TblArticles,3,FALSE),""))</f>
        <v/>
      </c>
      <c r="E231" s="6">
        <f>IFERROR(DATE(2000+VALUE(MID(A231,FIND("15",A231,FIND("01",A231)+16)+2,2)),VALUE(MID(A231,FIND("15",A231,FIND("01",A231)+16)+4,2)),VALUE(MID(A231,FIND("15",A231,FIND("01",A231)+16)+6,2))),"")</f>
        <v/>
      </c>
      <c r="F231" s="5">
        <f>IFERROR(MID(A231,FIND("10",A231,FIND("15",A231,FIND("01",A231)+16)+8)+2,50),"")</f>
        <v/>
      </c>
      <c r="G231" s="5" t="n"/>
    </row>
    <row r="232">
      <c r="A232" s="7" t="n"/>
      <c r="B232" s="8">
        <f>IFERROR(MID(A232,FIND("01",A232)+2,14),"")</f>
        <v/>
      </c>
      <c r="C232" s="7">
        <f>IF(A232="","",IFERROR(VLOOKUP(B232,TblArticles,2,FALSE),"GTIN inconnu"))</f>
        <v/>
      </c>
      <c r="D232" s="8">
        <f>IF(A232="","",IFERROR(VLOOKUP(B232,TblArticles,3,FALSE),""))</f>
        <v/>
      </c>
      <c r="E232" s="9">
        <f>IFERROR(DATE(2000+VALUE(MID(A232,FIND("15",A232,FIND("01",A232)+16)+2,2)),VALUE(MID(A232,FIND("15",A232,FIND("01",A232)+16)+4,2)),VALUE(MID(A232,FIND("15",A232,FIND("01",A232)+16)+6,2))),"")</f>
        <v/>
      </c>
      <c r="F232" s="8">
        <f>IFERROR(MID(A232,FIND("10",A232,FIND("15",A232,FIND("01",A232)+16)+8)+2,50),"")</f>
        <v/>
      </c>
      <c r="G232" s="8" t="n"/>
    </row>
    <row r="233">
      <c r="A233" s="4" t="n"/>
      <c r="B233" s="5">
        <f>IFERROR(MID(A233,FIND("01",A233)+2,14),"")</f>
        <v/>
      </c>
      <c r="C233" s="4">
        <f>IF(A233="","",IFERROR(VLOOKUP(B233,TblArticles,2,FALSE),"GTIN inconnu"))</f>
        <v/>
      </c>
      <c r="D233" s="5">
        <f>IF(A233="","",IFERROR(VLOOKUP(B233,TblArticles,3,FALSE),""))</f>
        <v/>
      </c>
      <c r="E233" s="6">
        <f>IFERROR(DATE(2000+VALUE(MID(A233,FIND("15",A233,FIND("01",A233)+16)+2,2)),VALUE(MID(A233,FIND("15",A233,FIND("01",A233)+16)+4,2)),VALUE(MID(A233,FIND("15",A233,FIND("01",A233)+16)+6,2))),"")</f>
        <v/>
      </c>
      <c r="F233" s="5">
        <f>IFERROR(MID(A233,FIND("10",A233,FIND("15",A233,FIND("01",A233)+16)+8)+2,50),"")</f>
        <v/>
      </c>
      <c r="G233" s="5" t="n"/>
    </row>
    <row r="234">
      <c r="A234" s="7" t="n"/>
      <c r="B234" s="8">
        <f>IFERROR(MID(A234,FIND("01",A234)+2,14),"")</f>
        <v/>
      </c>
      <c r="C234" s="7">
        <f>IF(A234="","",IFERROR(VLOOKUP(B234,TblArticles,2,FALSE),"GTIN inconnu"))</f>
        <v/>
      </c>
      <c r="D234" s="8">
        <f>IF(A234="","",IFERROR(VLOOKUP(B234,TblArticles,3,FALSE),""))</f>
        <v/>
      </c>
      <c r="E234" s="9">
        <f>IFERROR(DATE(2000+VALUE(MID(A234,FIND("15",A234,FIND("01",A234)+16)+2,2)),VALUE(MID(A234,FIND("15",A234,FIND("01",A234)+16)+4,2)),VALUE(MID(A234,FIND("15",A234,FIND("01",A234)+16)+6,2))),"")</f>
        <v/>
      </c>
      <c r="F234" s="8">
        <f>IFERROR(MID(A234,FIND("10",A234,FIND("15",A234,FIND("01",A234)+16)+8)+2,50),"")</f>
        <v/>
      </c>
      <c r="G234" s="8" t="n"/>
    </row>
    <row r="235">
      <c r="A235" s="4" t="n"/>
      <c r="B235" s="5">
        <f>IFERROR(MID(A235,FIND("01",A235)+2,14),"")</f>
        <v/>
      </c>
      <c r="C235" s="4">
        <f>IF(A235="","",IFERROR(VLOOKUP(B235,TblArticles,2,FALSE),"GTIN inconnu"))</f>
        <v/>
      </c>
      <c r="D235" s="5">
        <f>IF(A235="","",IFERROR(VLOOKUP(B235,TblArticles,3,FALSE),""))</f>
        <v/>
      </c>
      <c r="E235" s="6">
        <f>IFERROR(DATE(2000+VALUE(MID(A235,FIND("15",A235,FIND("01",A235)+16)+2,2)),VALUE(MID(A235,FIND("15",A235,FIND("01",A235)+16)+4,2)),VALUE(MID(A235,FIND("15",A235,FIND("01",A235)+16)+6,2))),"")</f>
        <v/>
      </c>
      <c r="F235" s="5">
        <f>IFERROR(MID(A235,FIND("10",A235,FIND("15",A235,FIND("01",A235)+16)+8)+2,50),"")</f>
        <v/>
      </c>
      <c r="G235" s="5" t="n"/>
    </row>
    <row r="236">
      <c r="A236" s="7" t="n"/>
      <c r="B236" s="8">
        <f>IFERROR(MID(A236,FIND("01",A236)+2,14),"")</f>
        <v/>
      </c>
      <c r="C236" s="7">
        <f>IF(A236="","",IFERROR(VLOOKUP(B236,TblArticles,2,FALSE),"GTIN inconnu"))</f>
        <v/>
      </c>
      <c r="D236" s="8">
        <f>IF(A236="","",IFERROR(VLOOKUP(B236,TblArticles,3,FALSE),""))</f>
        <v/>
      </c>
      <c r="E236" s="9">
        <f>IFERROR(DATE(2000+VALUE(MID(A236,FIND("15",A236,FIND("01",A236)+16)+2,2)),VALUE(MID(A236,FIND("15",A236,FIND("01",A236)+16)+4,2)),VALUE(MID(A236,FIND("15",A236,FIND("01",A236)+16)+6,2))),"")</f>
        <v/>
      </c>
      <c r="F236" s="8">
        <f>IFERROR(MID(A236,FIND("10",A236,FIND("15",A236,FIND("01",A236)+16)+8)+2,50),"")</f>
        <v/>
      </c>
      <c r="G236" s="8" t="n"/>
    </row>
    <row r="237">
      <c r="A237" s="4" t="n"/>
      <c r="B237" s="5">
        <f>IFERROR(MID(A237,FIND("01",A237)+2,14),"")</f>
        <v/>
      </c>
      <c r="C237" s="4">
        <f>IF(A237="","",IFERROR(VLOOKUP(B237,TblArticles,2,FALSE),"GTIN inconnu"))</f>
        <v/>
      </c>
      <c r="D237" s="5">
        <f>IF(A237="","",IFERROR(VLOOKUP(B237,TblArticles,3,FALSE),""))</f>
        <v/>
      </c>
      <c r="E237" s="6">
        <f>IFERROR(DATE(2000+VALUE(MID(A237,FIND("15",A237,FIND("01",A237)+16)+2,2)),VALUE(MID(A237,FIND("15",A237,FIND("01",A237)+16)+4,2)),VALUE(MID(A237,FIND("15",A237,FIND("01",A237)+16)+6,2))),"")</f>
        <v/>
      </c>
      <c r="F237" s="5">
        <f>IFERROR(MID(A237,FIND("10",A237,FIND("15",A237,FIND("01",A237)+16)+8)+2,50),"")</f>
        <v/>
      </c>
      <c r="G237" s="5" t="n"/>
    </row>
    <row r="238">
      <c r="A238" s="7" t="n"/>
      <c r="B238" s="8">
        <f>IFERROR(MID(A238,FIND("01",A238)+2,14),"")</f>
        <v/>
      </c>
      <c r="C238" s="7">
        <f>IF(A238="","",IFERROR(VLOOKUP(B238,TblArticles,2,FALSE),"GTIN inconnu"))</f>
        <v/>
      </c>
      <c r="D238" s="8">
        <f>IF(A238="","",IFERROR(VLOOKUP(B238,TblArticles,3,FALSE),""))</f>
        <v/>
      </c>
      <c r="E238" s="9">
        <f>IFERROR(DATE(2000+VALUE(MID(A238,FIND("15",A238,FIND("01",A238)+16)+2,2)),VALUE(MID(A238,FIND("15",A238,FIND("01",A238)+16)+4,2)),VALUE(MID(A238,FIND("15",A238,FIND("01",A238)+16)+6,2))),"")</f>
        <v/>
      </c>
      <c r="F238" s="8">
        <f>IFERROR(MID(A238,FIND("10",A238,FIND("15",A238,FIND("01",A238)+16)+8)+2,50),"")</f>
        <v/>
      </c>
      <c r="G238" s="8" t="n"/>
    </row>
    <row r="239">
      <c r="A239" s="4" t="n"/>
      <c r="B239" s="5">
        <f>IFERROR(MID(A239,FIND("01",A239)+2,14),"")</f>
        <v/>
      </c>
      <c r="C239" s="4">
        <f>IF(A239="","",IFERROR(VLOOKUP(B239,TblArticles,2,FALSE),"GTIN inconnu"))</f>
        <v/>
      </c>
      <c r="D239" s="5">
        <f>IF(A239="","",IFERROR(VLOOKUP(B239,TblArticles,3,FALSE),""))</f>
        <v/>
      </c>
      <c r="E239" s="6">
        <f>IFERROR(DATE(2000+VALUE(MID(A239,FIND("15",A239,FIND("01",A239)+16)+2,2)),VALUE(MID(A239,FIND("15",A239,FIND("01",A239)+16)+4,2)),VALUE(MID(A239,FIND("15",A239,FIND("01",A239)+16)+6,2))),"")</f>
        <v/>
      </c>
      <c r="F239" s="5">
        <f>IFERROR(MID(A239,FIND("10",A239,FIND("15",A239,FIND("01",A239)+16)+8)+2,50),"")</f>
        <v/>
      </c>
      <c r="G239" s="5" t="n"/>
    </row>
    <row r="240">
      <c r="A240" s="7" t="n"/>
      <c r="B240" s="8">
        <f>IFERROR(MID(A240,FIND("01",A240)+2,14),"")</f>
        <v/>
      </c>
      <c r="C240" s="7">
        <f>IF(A240="","",IFERROR(VLOOKUP(B240,TblArticles,2,FALSE),"GTIN inconnu"))</f>
        <v/>
      </c>
      <c r="D240" s="8">
        <f>IF(A240="","",IFERROR(VLOOKUP(B240,TblArticles,3,FALSE),""))</f>
        <v/>
      </c>
      <c r="E240" s="9">
        <f>IFERROR(DATE(2000+VALUE(MID(A240,FIND("15",A240,FIND("01",A240)+16)+2,2)),VALUE(MID(A240,FIND("15",A240,FIND("01",A240)+16)+4,2)),VALUE(MID(A240,FIND("15",A240,FIND("01",A240)+16)+6,2))),"")</f>
        <v/>
      </c>
      <c r="F240" s="8">
        <f>IFERROR(MID(A240,FIND("10",A240,FIND("15",A240,FIND("01",A240)+16)+8)+2,50),"")</f>
        <v/>
      </c>
      <c r="G240" s="8" t="n"/>
    </row>
    <row r="241">
      <c r="A241" s="4" t="n"/>
      <c r="B241" s="5">
        <f>IFERROR(MID(A241,FIND("01",A241)+2,14),"")</f>
        <v/>
      </c>
      <c r="C241" s="4">
        <f>IF(A241="","",IFERROR(VLOOKUP(B241,TblArticles,2,FALSE),"GTIN inconnu"))</f>
        <v/>
      </c>
      <c r="D241" s="5">
        <f>IF(A241="","",IFERROR(VLOOKUP(B241,TblArticles,3,FALSE),""))</f>
        <v/>
      </c>
      <c r="E241" s="6">
        <f>IFERROR(DATE(2000+VALUE(MID(A241,FIND("15",A241,FIND("01",A241)+16)+2,2)),VALUE(MID(A241,FIND("15",A241,FIND("01",A241)+16)+4,2)),VALUE(MID(A241,FIND("15",A241,FIND("01",A241)+16)+6,2))),"")</f>
        <v/>
      </c>
      <c r="F241" s="5">
        <f>IFERROR(MID(A241,FIND("10",A241,FIND("15",A241,FIND("01",A241)+16)+8)+2,50),"")</f>
        <v/>
      </c>
      <c r="G241" s="5" t="n"/>
    </row>
    <row r="242">
      <c r="A242" s="7" t="n"/>
      <c r="B242" s="8">
        <f>IFERROR(MID(A242,FIND("01",A242)+2,14),"")</f>
        <v/>
      </c>
      <c r="C242" s="7">
        <f>IF(A242="","",IFERROR(VLOOKUP(B242,TblArticles,2,FALSE),"GTIN inconnu"))</f>
        <v/>
      </c>
      <c r="D242" s="8">
        <f>IF(A242="","",IFERROR(VLOOKUP(B242,TblArticles,3,FALSE),""))</f>
        <v/>
      </c>
      <c r="E242" s="9">
        <f>IFERROR(DATE(2000+VALUE(MID(A242,FIND("15",A242,FIND("01",A242)+16)+2,2)),VALUE(MID(A242,FIND("15",A242,FIND("01",A242)+16)+4,2)),VALUE(MID(A242,FIND("15",A242,FIND("01",A242)+16)+6,2))),"")</f>
        <v/>
      </c>
      <c r="F242" s="8">
        <f>IFERROR(MID(A242,FIND("10",A242,FIND("15",A242,FIND("01",A242)+16)+8)+2,50),"")</f>
        <v/>
      </c>
      <c r="G242" s="8" t="n"/>
    </row>
    <row r="243">
      <c r="A243" s="4" t="n"/>
      <c r="B243" s="5">
        <f>IFERROR(MID(A243,FIND("01",A243)+2,14),"")</f>
        <v/>
      </c>
      <c r="C243" s="4">
        <f>IF(A243="","",IFERROR(VLOOKUP(B243,TblArticles,2,FALSE),"GTIN inconnu"))</f>
        <v/>
      </c>
      <c r="D243" s="5">
        <f>IF(A243="","",IFERROR(VLOOKUP(B243,TblArticles,3,FALSE),""))</f>
        <v/>
      </c>
      <c r="E243" s="6">
        <f>IFERROR(DATE(2000+VALUE(MID(A243,FIND("15",A243,FIND("01",A243)+16)+2,2)),VALUE(MID(A243,FIND("15",A243,FIND("01",A243)+16)+4,2)),VALUE(MID(A243,FIND("15",A243,FIND("01",A243)+16)+6,2))),"")</f>
        <v/>
      </c>
      <c r="F243" s="5">
        <f>IFERROR(MID(A243,FIND("10",A243,FIND("15",A243,FIND("01",A243)+16)+8)+2,50),"")</f>
        <v/>
      </c>
      <c r="G243" s="5" t="n"/>
    </row>
    <row r="244">
      <c r="A244" s="7" t="n"/>
      <c r="B244" s="8">
        <f>IFERROR(MID(A244,FIND("01",A244)+2,14),"")</f>
        <v/>
      </c>
      <c r="C244" s="7">
        <f>IF(A244="","",IFERROR(VLOOKUP(B244,TblArticles,2,FALSE),"GTIN inconnu"))</f>
        <v/>
      </c>
      <c r="D244" s="8">
        <f>IF(A244="","",IFERROR(VLOOKUP(B244,TblArticles,3,FALSE),""))</f>
        <v/>
      </c>
      <c r="E244" s="9">
        <f>IFERROR(DATE(2000+VALUE(MID(A244,FIND("15",A244,FIND("01",A244)+16)+2,2)),VALUE(MID(A244,FIND("15",A244,FIND("01",A244)+16)+4,2)),VALUE(MID(A244,FIND("15",A244,FIND("01",A244)+16)+6,2))),"")</f>
        <v/>
      </c>
      <c r="F244" s="8">
        <f>IFERROR(MID(A244,FIND("10",A244,FIND("15",A244,FIND("01",A244)+16)+8)+2,50),"")</f>
        <v/>
      </c>
      <c r="G244" s="8" t="n"/>
    </row>
    <row r="245">
      <c r="A245" s="4" t="n"/>
      <c r="B245" s="5">
        <f>IFERROR(MID(A245,FIND("01",A245)+2,14),"")</f>
        <v/>
      </c>
      <c r="C245" s="4">
        <f>IF(A245="","",IFERROR(VLOOKUP(B245,TblArticles,2,FALSE),"GTIN inconnu"))</f>
        <v/>
      </c>
      <c r="D245" s="5">
        <f>IF(A245="","",IFERROR(VLOOKUP(B245,TblArticles,3,FALSE),""))</f>
        <v/>
      </c>
      <c r="E245" s="6">
        <f>IFERROR(DATE(2000+VALUE(MID(A245,FIND("15",A245,FIND("01",A245)+16)+2,2)),VALUE(MID(A245,FIND("15",A245,FIND("01",A245)+16)+4,2)),VALUE(MID(A245,FIND("15",A245,FIND("01",A245)+16)+6,2))),"")</f>
        <v/>
      </c>
      <c r="F245" s="5">
        <f>IFERROR(MID(A245,FIND("10",A245,FIND("15",A245,FIND("01",A245)+16)+8)+2,50),"")</f>
        <v/>
      </c>
      <c r="G245" s="5" t="n"/>
    </row>
    <row r="246">
      <c r="A246" s="7" t="n"/>
      <c r="B246" s="8">
        <f>IFERROR(MID(A246,FIND("01",A246)+2,14),"")</f>
        <v/>
      </c>
      <c r="C246" s="7">
        <f>IF(A246="","",IFERROR(VLOOKUP(B246,TblArticles,2,FALSE),"GTIN inconnu"))</f>
        <v/>
      </c>
      <c r="D246" s="8">
        <f>IF(A246="","",IFERROR(VLOOKUP(B246,TblArticles,3,FALSE),""))</f>
        <v/>
      </c>
      <c r="E246" s="9">
        <f>IFERROR(DATE(2000+VALUE(MID(A246,FIND("15",A246,FIND("01",A246)+16)+2,2)),VALUE(MID(A246,FIND("15",A246,FIND("01",A246)+16)+4,2)),VALUE(MID(A246,FIND("15",A246,FIND("01",A246)+16)+6,2))),"")</f>
        <v/>
      </c>
      <c r="F246" s="8">
        <f>IFERROR(MID(A246,FIND("10",A246,FIND("15",A246,FIND("01",A246)+16)+8)+2,50),"")</f>
        <v/>
      </c>
      <c r="G246" s="8" t="n"/>
    </row>
    <row r="247">
      <c r="A247" s="4" t="n"/>
      <c r="B247" s="5">
        <f>IFERROR(MID(A247,FIND("01",A247)+2,14),"")</f>
        <v/>
      </c>
      <c r="C247" s="4">
        <f>IF(A247="","",IFERROR(VLOOKUP(B247,TblArticles,2,FALSE),"GTIN inconnu"))</f>
        <v/>
      </c>
      <c r="D247" s="5">
        <f>IF(A247="","",IFERROR(VLOOKUP(B247,TblArticles,3,FALSE),""))</f>
        <v/>
      </c>
      <c r="E247" s="6">
        <f>IFERROR(DATE(2000+VALUE(MID(A247,FIND("15",A247,FIND("01",A247)+16)+2,2)),VALUE(MID(A247,FIND("15",A247,FIND("01",A247)+16)+4,2)),VALUE(MID(A247,FIND("15",A247,FIND("01",A247)+16)+6,2))),"")</f>
        <v/>
      </c>
      <c r="F247" s="5">
        <f>IFERROR(MID(A247,FIND("10",A247,FIND("15",A247,FIND("01",A247)+16)+8)+2,50),"")</f>
        <v/>
      </c>
      <c r="G247" s="5" t="n"/>
    </row>
    <row r="248">
      <c r="A248" s="7" t="n"/>
      <c r="B248" s="8">
        <f>IFERROR(MID(A248,FIND("01",A248)+2,14),"")</f>
        <v/>
      </c>
      <c r="C248" s="7">
        <f>IF(A248="","",IFERROR(VLOOKUP(B248,TblArticles,2,FALSE),"GTIN inconnu"))</f>
        <v/>
      </c>
      <c r="D248" s="8">
        <f>IF(A248="","",IFERROR(VLOOKUP(B248,TblArticles,3,FALSE),""))</f>
        <v/>
      </c>
      <c r="E248" s="9">
        <f>IFERROR(DATE(2000+VALUE(MID(A248,FIND("15",A248,FIND("01",A248)+16)+2,2)),VALUE(MID(A248,FIND("15",A248,FIND("01",A248)+16)+4,2)),VALUE(MID(A248,FIND("15",A248,FIND("01",A248)+16)+6,2))),"")</f>
        <v/>
      </c>
      <c r="F248" s="8">
        <f>IFERROR(MID(A248,FIND("10",A248,FIND("15",A248,FIND("01",A248)+16)+8)+2,50),"")</f>
        <v/>
      </c>
      <c r="G248" s="8" t="n"/>
    </row>
    <row r="249">
      <c r="A249" s="4" t="n"/>
      <c r="B249" s="5">
        <f>IFERROR(MID(A249,FIND("01",A249)+2,14),"")</f>
        <v/>
      </c>
      <c r="C249" s="4">
        <f>IF(A249="","",IFERROR(VLOOKUP(B249,TblArticles,2,FALSE),"GTIN inconnu"))</f>
        <v/>
      </c>
      <c r="D249" s="5">
        <f>IF(A249="","",IFERROR(VLOOKUP(B249,TblArticles,3,FALSE),""))</f>
        <v/>
      </c>
      <c r="E249" s="6">
        <f>IFERROR(DATE(2000+VALUE(MID(A249,FIND("15",A249,FIND("01",A249)+16)+2,2)),VALUE(MID(A249,FIND("15",A249,FIND("01",A249)+16)+4,2)),VALUE(MID(A249,FIND("15",A249,FIND("01",A249)+16)+6,2))),"")</f>
        <v/>
      </c>
      <c r="F249" s="5">
        <f>IFERROR(MID(A249,FIND("10",A249,FIND("15",A249,FIND("01",A249)+16)+8)+2,50),"")</f>
        <v/>
      </c>
      <c r="G249" s="5" t="n"/>
    </row>
    <row r="250">
      <c r="A250" s="7" t="n"/>
      <c r="B250" s="8">
        <f>IFERROR(MID(A250,FIND("01",A250)+2,14),"")</f>
        <v/>
      </c>
      <c r="C250" s="7">
        <f>IF(A250="","",IFERROR(VLOOKUP(B250,TblArticles,2,FALSE),"GTIN inconnu"))</f>
        <v/>
      </c>
      <c r="D250" s="8">
        <f>IF(A250="","",IFERROR(VLOOKUP(B250,TblArticles,3,FALSE),""))</f>
        <v/>
      </c>
      <c r="E250" s="9">
        <f>IFERROR(DATE(2000+VALUE(MID(A250,FIND("15",A250,FIND("01",A250)+16)+2,2)),VALUE(MID(A250,FIND("15",A250,FIND("01",A250)+16)+4,2)),VALUE(MID(A250,FIND("15",A250,FIND("01",A250)+16)+6,2))),"")</f>
        <v/>
      </c>
      <c r="F250" s="8">
        <f>IFERROR(MID(A250,FIND("10",A250,FIND("15",A250,FIND("01",A250)+16)+8)+2,50),"")</f>
        <v/>
      </c>
      <c r="G250" s="8" t="n"/>
    </row>
    <row r="251">
      <c r="A251" s="4" t="n"/>
      <c r="B251" s="5">
        <f>IFERROR(MID(A251,FIND("01",A251)+2,14),"")</f>
        <v/>
      </c>
      <c r="C251" s="4">
        <f>IF(A251="","",IFERROR(VLOOKUP(B251,TblArticles,2,FALSE),"GTIN inconnu"))</f>
        <v/>
      </c>
      <c r="D251" s="5">
        <f>IF(A251="","",IFERROR(VLOOKUP(B251,TblArticles,3,FALSE),""))</f>
        <v/>
      </c>
      <c r="E251" s="6">
        <f>IFERROR(DATE(2000+VALUE(MID(A251,FIND("15",A251,FIND("01",A251)+16)+2,2)),VALUE(MID(A251,FIND("15",A251,FIND("01",A251)+16)+4,2)),VALUE(MID(A251,FIND("15",A251,FIND("01",A251)+16)+6,2))),"")</f>
        <v/>
      </c>
      <c r="F251" s="5">
        <f>IFERROR(MID(A251,FIND("10",A251,FIND("15",A251,FIND("01",A251)+16)+8)+2,50),"")</f>
        <v/>
      </c>
      <c r="G251" s="5" t="n"/>
    </row>
    <row r="252">
      <c r="A252" s="7" t="n"/>
      <c r="B252" s="8">
        <f>IFERROR(MID(A252,FIND("01",A252)+2,14),"")</f>
        <v/>
      </c>
      <c r="C252" s="7">
        <f>IF(A252="","",IFERROR(VLOOKUP(B252,TblArticles,2,FALSE),"GTIN inconnu"))</f>
        <v/>
      </c>
      <c r="D252" s="8">
        <f>IF(A252="","",IFERROR(VLOOKUP(B252,TblArticles,3,FALSE),""))</f>
        <v/>
      </c>
      <c r="E252" s="9">
        <f>IFERROR(DATE(2000+VALUE(MID(A252,FIND("15",A252,FIND("01",A252)+16)+2,2)),VALUE(MID(A252,FIND("15",A252,FIND("01",A252)+16)+4,2)),VALUE(MID(A252,FIND("15",A252,FIND("01",A252)+16)+6,2))),"")</f>
        <v/>
      </c>
      <c r="F252" s="8">
        <f>IFERROR(MID(A252,FIND("10",A252,FIND("15",A252,FIND("01",A252)+16)+8)+2,50),"")</f>
        <v/>
      </c>
      <c r="G252" s="8" t="n"/>
    </row>
    <row r="253">
      <c r="A253" s="4" t="n"/>
      <c r="B253" s="5">
        <f>IFERROR(MID(A253,FIND("01",A253)+2,14),"")</f>
        <v/>
      </c>
      <c r="C253" s="4">
        <f>IF(A253="","",IFERROR(VLOOKUP(B253,TblArticles,2,FALSE),"GTIN inconnu"))</f>
        <v/>
      </c>
      <c r="D253" s="5">
        <f>IF(A253="","",IFERROR(VLOOKUP(B253,TblArticles,3,FALSE),""))</f>
        <v/>
      </c>
      <c r="E253" s="6">
        <f>IFERROR(DATE(2000+VALUE(MID(A253,FIND("15",A253,FIND("01",A253)+16)+2,2)),VALUE(MID(A253,FIND("15",A253,FIND("01",A253)+16)+4,2)),VALUE(MID(A253,FIND("15",A253,FIND("01",A253)+16)+6,2))),"")</f>
        <v/>
      </c>
      <c r="F253" s="5">
        <f>IFERROR(MID(A253,FIND("10",A253,FIND("15",A253,FIND("01",A253)+16)+8)+2,50),"")</f>
        <v/>
      </c>
      <c r="G253" s="5" t="n"/>
    </row>
    <row r="254">
      <c r="A254" s="7" t="n"/>
      <c r="B254" s="8">
        <f>IFERROR(MID(A254,FIND("01",A254)+2,14),"")</f>
        <v/>
      </c>
      <c r="C254" s="7">
        <f>IF(A254="","",IFERROR(VLOOKUP(B254,TblArticles,2,FALSE),"GTIN inconnu"))</f>
        <v/>
      </c>
      <c r="D254" s="8">
        <f>IF(A254="","",IFERROR(VLOOKUP(B254,TblArticles,3,FALSE),""))</f>
        <v/>
      </c>
      <c r="E254" s="9">
        <f>IFERROR(DATE(2000+VALUE(MID(A254,FIND("15",A254,FIND("01",A254)+16)+2,2)),VALUE(MID(A254,FIND("15",A254,FIND("01",A254)+16)+4,2)),VALUE(MID(A254,FIND("15",A254,FIND("01",A254)+16)+6,2))),"")</f>
        <v/>
      </c>
      <c r="F254" s="8">
        <f>IFERROR(MID(A254,FIND("10",A254,FIND("15",A254,FIND("01",A254)+16)+8)+2,50),"")</f>
        <v/>
      </c>
      <c r="G254" s="8" t="n"/>
    </row>
    <row r="255">
      <c r="A255" s="4" t="n"/>
      <c r="B255" s="5">
        <f>IFERROR(MID(A255,FIND("01",A255)+2,14),"")</f>
        <v/>
      </c>
      <c r="C255" s="4">
        <f>IF(A255="","",IFERROR(VLOOKUP(B255,TblArticles,2,FALSE),"GTIN inconnu"))</f>
        <v/>
      </c>
      <c r="D255" s="5">
        <f>IF(A255="","",IFERROR(VLOOKUP(B255,TblArticles,3,FALSE),""))</f>
        <v/>
      </c>
      <c r="E255" s="6">
        <f>IFERROR(DATE(2000+VALUE(MID(A255,FIND("15",A255,FIND("01",A255)+16)+2,2)),VALUE(MID(A255,FIND("15",A255,FIND("01",A255)+16)+4,2)),VALUE(MID(A255,FIND("15",A255,FIND("01",A255)+16)+6,2))),"")</f>
        <v/>
      </c>
      <c r="F255" s="5">
        <f>IFERROR(MID(A255,FIND("10",A255,FIND("15",A255,FIND("01",A255)+16)+8)+2,50),"")</f>
        <v/>
      </c>
      <c r="G255" s="5" t="n"/>
    </row>
    <row r="256">
      <c r="A256" s="7" t="n"/>
      <c r="B256" s="8">
        <f>IFERROR(MID(A256,FIND("01",A256)+2,14),"")</f>
        <v/>
      </c>
      <c r="C256" s="7">
        <f>IF(A256="","",IFERROR(VLOOKUP(B256,TblArticles,2,FALSE),"GTIN inconnu"))</f>
        <v/>
      </c>
      <c r="D256" s="8">
        <f>IF(A256="","",IFERROR(VLOOKUP(B256,TblArticles,3,FALSE),""))</f>
        <v/>
      </c>
      <c r="E256" s="9">
        <f>IFERROR(DATE(2000+VALUE(MID(A256,FIND("15",A256,FIND("01",A256)+16)+2,2)),VALUE(MID(A256,FIND("15",A256,FIND("01",A256)+16)+4,2)),VALUE(MID(A256,FIND("15",A256,FIND("01",A256)+16)+6,2))),"")</f>
        <v/>
      </c>
      <c r="F256" s="8">
        <f>IFERROR(MID(A256,FIND("10",A256,FIND("15",A256,FIND("01",A256)+16)+8)+2,50),"")</f>
        <v/>
      </c>
      <c r="G256" s="8" t="n"/>
    </row>
    <row r="257">
      <c r="A257" s="4" t="n"/>
      <c r="B257" s="5">
        <f>IFERROR(MID(A257,FIND("01",A257)+2,14),"")</f>
        <v/>
      </c>
      <c r="C257" s="4">
        <f>IF(A257="","",IFERROR(VLOOKUP(B257,TblArticles,2,FALSE),"GTIN inconnu"))</f>
        <v/>
      </c>
      <c r="D257" s="5">
        <f>IF(A257="","",IFERROR(VLOOKUP(B257,TblArticles,3,FALSE),""))</f>
        <v/>
      </c>
      <c r="E257" s="6">
        <f>IFERROR(DATE(2000+VALUE(MID(A257,FIND("15",A257,FIND("01",A257)+16)+2,2)),VALUE(MID(A257,FIND("15",A257,FIND("01",A257)+16)+4,2)),VALUE(MID(A257,FIND("15",A257,FIND("01",A257)+16)+6,2))),"")</f>
        <v/>
      </c>
      <c r="F257" s="5">
        <f>IFERROR(MID(A257,FIND("10",A257,FIND("15",A257,FIND("01",A257)+16)+8)+2,50),"")</f>
        <v/>
      </c>
      <c r="G257" s="5" t="n"/>
    </row>
    <row r="258">
      <c r="A258" s="7" t="n"/>
      <c r="B258" s="8">
        <f>IFERROR(MID(A258,FIND("01",A258)+2,14),"")</f>
        <v/>
      </c>
      <c r="C258" s="7">
        <f>IF(A258="","",IFERROR(VLOOKUP(B258,TblArticles,2,FALSE),"GTIN inconnu"))</f>
        <v/>
      </c>
      <c r="D258" s="8">
        <f>IF(A258="","",IFERROR(VLOOKUP(B258,TblArticles,3,FALSE),""))</f>
        <v/>
      </c>
      <c r="E258" s="9">
        <f>IFERROR(DATE(2000+VALUE(MID(A258,FIND("15",A258,FIND("01",A258)+16)+2,2)),VALUE(MID(A258,FIND("15",A258,FIND("01",A258)+16)+4,2)),VALUE(MID(A258,FIND("15",A258,FIND("01",A258)+16)+6,2))),"")</f>
        <v/>
      </c>
      <c r="F258" s="8">
        <f>IFERROR(MID(A258,FIND("10",A258,FIND("15",A258,FIND("01",A258)+16)+8)+2,50),"")</f>
        <v/>
      </c>
      <c r="G258" s="8" t="n"/>
    </row>
    <row r="259">
      <c r="A259" s="4" t="n"/>
      <c r="B259" s="5">
        <f>IFERROR(MID(A259,FIND("01",A259)+2,14),"")</f>
        <v/>
      </c>
      <c r="C259" s="4">
        <f>IF(A259="","",IFERROR(VLOOKUP(B259,TblArticles,2,FALSE),"GTIN inconnu"))</f>
        <v/>
      </c>
      <c r="D259" s="5">
        <f>IF(A259="","",IFERROR(VLOOKUP(B259,TblArticles,3,FALSE),""))</f>
        <v/>
      </c>
      <c r="E259" s="6">
        <f>IFERROR(DATE(2000+VALUE(MID(A259,FIND("15",A259,FIND("01",A259)+16)+2,2)),VALUE(MID(A259,FIND("15",A259,FIND("01",A259)+16)+4,2)),VALUE(MID(A259,FIND("15",A259,FIND("01",A259)+16)+6,2))),"")</f>
        <v/>
      </c>
      <c r="F259" s="5">
        <f>IFERROR(MID(A259,FIND("10",A259,FIND("15",A259,FIND("01",A259)+16)+8)+2,50),"")</f>
        <v/>
      </c>
      <c r="G259" s="5" t="n"/>
    </row>
    <row r="260">
      <c r="A260" s="7" t="n"/>
      <c r="B260" s="8">
        <f>IFERROR(MID(A260,FIND("01",A260)+2,14),"")</f>
        <v/>
      </c>
      <c r="C260" s="7">
        <f>IF(A260="","",IFERROR(VLOOKUP(B260,TblArticles,2,FALSE),"GTIN inconnu"))</f>
        <v/>
      </c>
      <c r="D260" s="8">
        <f>IF(A260="","",IFERROR(VLOOKUP(B260,TblArticles,3,FALSE),""))</f>
        <v/>
      </c>
      <c r="E260" s="9">
        <f>IFERROR(DATE(2000+VALUE(MID(A260,FIND("15",A260,FIND("01",A260)+16)+2,2)),VALUE(MID(A260,FIND("15",A260,FIND("01",A260)+16)+4,2)),VALUE(MID(A260,FIND("15",A260,FIND("01",A260)+16)+6,2))),"")</f>
        <v/>
      </c>
      <c r="F260" s="8">
        <f>IFERROR(MID(A260,FIND("10",A260,FIND("15",A260,FIND("01",A260)+16)+8)+2,50),"")</f>
        <v/>
      </c>
      <c r="G260" s="8" t="n"/>
    </row>
    <row r="261">
      <c r="A261" s="4" t="n"/>
      <c r="B261" s="5">
        <f>IFERROR(MID(A261,FIND("01",A261)+2,14),"")</f>
        <v/>
      </c>
      <c r="C261" s="4">
        <f>IF(A261="","",IFERROR(VLOOKUP(B261,TblArticles,2,FALSE),"GTIN inconnu"))</f>
        <v/>
      </c>
      <c r="D261" s="5">
        <f>IF(A261="","",IFERROR(VLOOKUP(B261,TblArticles,3,FALSE),""))</f>
        <v/>
      </c>
      <c r="E261" s="6">
        <f>IFERROR(DATE(2000+VALUE(MID(A261,FIND("15",A261,FIND("01",A261)+16)+2,2)),VALUE(MID(A261,FIND("15",A261,FIND("01",A261)+16)+4,2)),VALUE(MID(A261,FIND("15",A261,FIND("01",A261)+16)+6,2))),"")</f>
        <v/>
      </c>
      <c r="F261" s="5">
        <f>IFERROR(MID(A261,FIND("10",A261,FIND("15",A261,FIND("01",A261)+16)+8)+2,50),"")</f>
        <v/>
      </c>
      <c r="G261" s="5" t="n"/>
    </row>
    <row r="262">
      <c r="A262" s="7" t="n"/>
      <c r="B262" s="8">
        <f>IFERROR(MID(A262,FIND("01",A262)+2,14),"")</f>
        <v/>
      </c>
      <c r="C262" s="7">
        <f>IF(A262="","",IFERROR(VLOOKUP(B262,TblArticles,2,FALSE),"GTIN inconnu"))</f>
        <v/>
      </c>
      <c r="D262" s="8">
        <f>IF(A262="","",IFERROR(VLOOKUP(B262,TblArticles,3,FALSE),""))</f>
        <v/>
      </c>
      <c r="E262" s="9">
        <f>IFERROR(DATE(2000+VALUE(MID(A262,FIND("15",A262,FIND("01",A262)+16)+2,2)),VALUE(MID(A262,FIND("15",A262,FIND("01",A262)+16)+4,2)),VALUE(MID(A262,FIND("15",A262,FIND("01",A262)+16)+6,2))),"")</f>
        <v/>
      </c>
      <c r="F262" s="8">
        <f>IFERROR(MID(A262,FIND("10",A262,FIND("15",A262,FIND("01",A262)+16)+8)+2,50),"")</f>
        <v/>
      </c>
      <c r="G262" s="8" t="n"/>
    </row>
    <row r="263">
      <c r="A263" s="4" t="n"/>
      <c r="B263" s="5">
        <f>IFERROR(MID(A263,FIND("01",A263)+2,14),"")</f>
        <v/>
      </c>
      <c r="C263" s="4">
        <f>IF(A263="","",IFERROR(VLOOKUP(B263,TblArticles,2,FALSE),"GTIN inconnu"))</f>
        <v/>
      </c>
      <c r="D263" s="5">
        <f>IF(A263="","",IFERROR(VLOOKUP(B263,TblArticles,3,FALSE),""))</f>
        <v/>
      </c>
      <c r="E263" s="6">
        <f>IFERROR(DATE(2000+VALUE(MID(A263,FIND("15",A263,FIND("01",A263)+16)+2,2)),VALUE(MID(A263,FIND("15",A263,FIND("01",A263)+16)+4,2)),VALUE(MID(A263,FIND("15",A263,FIND("01",A263)+16)+6,2))),"")</f>
        <v/>
      </c>
      <c r="F263" s="5">
        <f>IFERROR(MID(A263,FIND("10",A263,FIND("15",A263,FIND("01",A263)+16)+8)+2,50),"")</f>
        <v/>
      </c>
      <c r="G263" s="5" t="n"/>
    </row>
    <row r="264">
      <c r="A264" s="7" t="n"/>
      <c r="B264" s="8">
        <f>IFERROR(MID(A264,FIND("01",A264)+2,14),"")</f>
        <v/>
      </c>
      <c r="C264" s="7">
        <f>IF(A264="","",IFERROR(VLOOKUP(B264,TblArticles,2,FALSE),"GTIN inconnu"))</f>
        <v/>
      </c>
      <c r="D264" s="8">
        <f>IF(A264="","",IFERROR(VLOOKUP(B264,TblArticles,3,FALSE),""))</f>
        <v/>
      </c>
      <c r="E264" s="9">
        <f>IFERROR(DATE(2000+VALUE(MID(A264,FIND("15",A264,FIND("01",A264)+16)+2,2)),VALUE(MID(A264,FIND("15",A264,FIND("01",A264)+16)+4,2)),VALUE(MID(A264,FIND("15",A264,FIND("01",A264)+16)+6,2))),"")</f>
        <v/>
      </c>
      <c r="F264" s="8">
        <f>IFERROR(MID(A264,FIND("10",A264,FIND("15",A264,FIND("01",A264)+16)+8)+2,50),"")</f>
        <v/>
      </c>
      <c r="G264" s="8" t="n"/>
    </row>
    <row r="265">
      <c r="A265" s="4" t="n"/>
      <c r="B265" s="5">
        <f>IFERROR(MID(A265,FIND("01",A265)+2,14),"")</f>
        <v/>
      </c>
      <c r="C265" s="4">
        <f>IF(A265="","",IFERROR(VLOOKUP(B265,TblArticles,2,FALSE),"GTIN inconnu"))</f>
        <v/>
      </c>
      <c r="D265" s="5">
        <f>IF(A265="","",IFERROR(VLOOKUP(B265,TblArticles,3,FALSE),""))</f>
        <v/>
      </c>
      <c r="E265" s="6">
        <f>IFERROR(DATE(2000+VALUE(MID(A265,FIND("15",A265,FIND("01",A265)+16)+2,2)),VALUE(MID(A265,FIND("15",A265,FIND("01",A265)+16)+4,2)),VALUE(MID(A265,FIND("15",A265,FIND("01",A265)+16)+6,2))),"")</f>
        <v/>
      </c>
      <c r="F265" s="5">
        <f>IFERROR(MID(A265,FIND("10",A265,FIND("15",A265,FIND("01",A265)+16)+8)+2,50),"")</f>
        <v/>
      </c>
      <c r="G265" s="5" t="n"/>
    </row>
    <row r="266">
      <c r="A266" s="7" t="n"/>
      <c r="B266" s="8">
        <f>IFERROR(MID(A266,FIND("01",A266)+2,14),"")</f>
        <v/>
      </c>
      <c r="C266" s="7">
        <f>IF(A266="","",IFERROR(VLOOKUP(B266,TblArticles,2,FALSE),"GTIN inconnu"))</f>
        <v/>
      </c>
      <c r="D266" s="8">
        <f>IF(A266="","",IFERROR(VLOOKUP(B266,TblArticles,3,FALSE),""))</f>
        <v/>
      </c>
      <c r="E266" s="9">
        <f>IFERROR(DATE(2000+VALUE(MID(A266,FIND("15",A266,FIND("01",A266)+16)+2,2)),VALUE(MID(A266,FIND("15",A266,FIND("01",A266)+16)+4,2)),VALUE(MID(A266,FIND("15",A266,FIND("01",A266)+16)+6,2))),"")</f>
        <v/>
      </c>
      <c r="F266" s="8">
        <f>IFERROR(MID(A266,FIND("10",A266,FIND("15",A266,FIND("01",A266)+16)+8)+2,50),"")</f>
        <v/>
      </c>
      <c r="G266" s="8" t="n"/>
    </row>
    <row r="267">
      <c r="A267" s="4" t="n"/>
      <c r="B267" s="5">
        <f>IFERROR(MID(A267,FIND("01",A267)+2,14),"")</f>
        <v/>
      </c>
      <c r="C267" s="4">
        <f>IF(A267="","",IFERROR(VLOOKUP(B267,TblArticles,2,FALSE),"GTIN inconnu"))</f>
        <v/>
      </c>
      <c r="D267" s="5">
        <f>IF(A267="","",IFERROR(VLOOKUP(B267,TblArticles,3,FALSE),""))</f>
        <v/>
      </c>
      <c r="E267" s="6">
        <f>IFERROR(DATE(2000+VALUE(MID(A267,FIND("15",A267,FIND("01",A267)+16)+2,2)),VALUE(MID(A267,FIND("15",A267,FIND("01",A267)+16)+4,2)),VALUE(MID(A267,FIND("15",A267,FIND("01",A267)+16)+6,2))),"")</f>
        <v/>
      </c>
      <c r="F267" s="5">
        <f>IFERROR(MID(A267,FIND("10",A267,FIND("15",A267,FIND("01",A267)+16)+8)+2,50),"")</f>
        <v/>
      </c>
      <c r="G267" s="5" t="n"/>
    </row>
    <row r="268">
      <c r="A268" s="7" t="n"/>
      <c r="B268" s="8">
        <f>IFERROR(MID(A268,FIND("01",A268)+2,14),"")</f>
        <v/>
      </c>
      <c r="C268" s="7">
        <f>IF(A268="","",IFERROR(VLOOKUP(B268,TblArticles,2,FALSE),"GTIN inconnu"))</f>
        <v/>
      </c>
      <c r="D268" s="8">
        <f>IF(A268="","",IFERROR(VLOOKUP(B268,TblArticles,3,FALSE),""))</f>
        <v/>
      </c>
      <c r="E268" s="9">
        <f>IFERROR(DATE(2000+VALUE(MID(A268,FIND("15",A268,FIND("01",A268)+16)+2,2)),VALUE(MID(A268,FIND("15",A268,FIND("01",A268)+16)+4,2)),VALUE(MID(A268,FIND("15",A268,FIND("01",A268)+16)+6,2))),"")</f>
        <v/>
      </c>
      <c r="F268" s="8">
        <f>IFERROR(MID(A268,FIND("10",A268,FIND("15",A268,FIND("01",A268)+16)+8)+2,50),"")</f>
        <v/>
      </c>
      <c r="G268" s="8" t="n"/>
    </row>
    <row r="269">
      <c r="A269" s="4" t="n"/>
      <c r="B269" s="5">
        <f>IFERROR(MID(A269,FIND("01",A269)+2,14),"")</f>
        <v/>
      </c>
      <c r="C269" s="4">
        <f>IF(A269="","",IFERROR(VLOOKUP(B269,TblArticles,2,FALSE),"GTIN inconnu"))</f>
        <v/>
      </c>
      <c r="D269" s="5">
        <f>IF(A269="","",IFERROR(VLOOKUP(B269,TblArticles,3,FALSE),""))</f>
        <v/>
      </c>
      <c r="E269" s="6">
        <f>IFERROR(DATE(2000+VALUE(MID(A269,FIND("15",A269,FIND("01",A269)+16)+2,2)),VALUE(MID(A269,FIND("15",A269,FIND("01",A269)+16)+4,2)),VALUE(MID(A269,FIND("15",A269,FIND("01",A269)+16)+6,2))),"")</f>
        <v/>
      </c>
      <c r="F269" s="5">
        <f>IFERROR(MID(A269,FIND("10",A269,FIND("15",A269,FIND("01",A269)+16)+8)+2,50),"")</f>
        <v/>
      </c>
      <c r="G269" s="5" t="n"/>
    </row>
    <row r="270">
      <c r="A270" s="7" t="n"/>
      <c r="B270" s="8">
        <f>IFERROR(MID(A270,FIND("01",A270)+2,14),"")</f>
        <v/>
      </c>
      <c r="C270" s="7">
        <f>IF(A270="","",IFERROR(VLOOKUP(B270,TblArticles,2,FALSE),"GTIN inconnu"))</f>
        <v/>
      </c>
      <c r="D270" s="8">
        <f>IF(A270="","",IFERROR(VLOOKUP(B270,TblArticles,3,FALSE),""))</f>
        <v/>
      </c>
      <c r="E270" s="9">
        <f>IFERROR(DATE(2000+VALUE(MID(A270,FIND("15",A270,FIND("01",A270)+16)+2,2)),VALUE(MID(A270,FIND("15",A270,FIND("01",A270)+16)+4,2)),VALUE(MID(A270,FIND("15",A270,FIND("01",A270)+16)+6,2))),"")</f>
        <v/>
      </c>
      <c r="F270" s="8">
        <f>IFERROR(MID(A270,FIND("10",A270,FIND("15",A270,FIND("01",A270)+16)+8)+2,50),"")</f>
        <v/>
      </c>
      <c r="G270" s="8" t="n"/>
    </row>
    <row r="271">
      <c r="A271" s="4" t="n"/>
      <c r="B271" s="5">
        <f>IFERROR(MID(A271,FIND("01",A271)+2,14),"")</f>
        <v/>
      </c>
      <c r="C271" s="4">
        <f>IF(A271="","",IFERROR(VLOOKUP(B271,TblArticles,2,FALSE),"GTIN inconnu"))</f>
        <v/>
      </c>
      <c r="D271" s="5">
        <f>IF(A271="","",IFERROR(VLOOKUP(B271,TblArticles,3,FALSE),""))</f>
        <v/>
      </c>
      <c r="E271" s="6">
        <f>IFERROR(DATE(2000+VALUE(MID(A271,FIND("15",A271,FIND("01",A271)+16)+2,2)),VALUE(MID(A271,FIND("15",A271,FIND("01",A271)+16)+4,2)),VALUE(MID(A271,FIND("15",A271,FIND("01",A271)+16)+6,2))),"")</f>
        <v/>
      </c>
      <c r="F271" s="5">
        <f>IFERROR(MID(A271,FIND("10",A271,FIND("15",A271,FIND("01",A271)+16)+8)+2,50),"")</f>
        <v/>
      </c>
      <c r="G271" s="5" t="n"/>
    </row>
    <row r="272">
      <c r="A272" s="7" t="n"/>
      <c r="B272" s="8">
        <f>IFERROR(MID(A272,FIND("01",A272)+2,14),"")</f>
        <v/>
      </c>
      <c r="C272" s="7">
        <f>IF(A272="","",IFERROR(VLOOKUP(B272,TblArticles,2,FALSE),"GTIN inconnu"))</f>
        <v/>
      </c>
      <c r="D272" s="8">
        <f>IF(A272="","",IFERROR(VLOOKUP(B272,TblArticles,3,FALSE),""))</f>
        <v/>
      </c>
      <c r="E272" s="9">
        <f>IFERROR(DATE(2000+VALUE(MID(A272,FIND("15",A272,FIND("01",A272)+16)+2,2)),VALUE(MID(A272,FIND("15",A272,FIND("01",A272)+16)+4,2)),VALUE(MID(A272,FIND("15",A272,FIND("01",A272)+16)+6,2))),"")</f>
        <v/>
      </c>
      <c r="F272" s="8">
        <f>IFERROR(MID(A272,FIND("10",A272,FIND("15",A272,FIND("01",A272)+16)+8)+2,50),"")</f>
        <v/>
      </c>
      <c r="G272" s="8" t="n"/>
    </row>
    <row r="273">
      <c r="A273" s="4" t="n"/>
      <c r="B273" s="5">
        <f>IFERROR(MID(A273,FIND("01",A273)+2,14),"")</f>
        <v/>
      </c>
      <c r="C273" s="4">
        <f>IF(A273="","",IFERROR(VLOOKUP(B273,TblArticles,2,FALSE),"GTIN inconnu"))</f>
        <v/>
      </c>
      <c r="D273" s="5">
        <f>IF(A273="","",IFERROR(VLOOKUP(B273,TblArticles,3,FALSE),""))</f>
        <v/>
      </c>
      <c r="E273" s="6">
        <f>IFERROR(DATE(2000+VALUE(MID(A273,FIND("15",A273,FIND("01",A273)+16)+2,2)),VALUE(MID(A273,FIND("15",A273,FIND("01",A273)+16)+4,2)),VALUE(MID(A273,FIND("15",A273,FIND("01",A273)+16)+6,2))),"")</f>
        <v/>
      </c>
      <c r="F273" s="5">
        <f>IFERROR(MID(A273,FIND("10",A273,FIND("15",A273,FIND("01",A273)+16)+8)+2,50),"")</f>
        <v/>
      </c>
      <c r="G273" s="5" t="n"/>
    </row>
    <row r="274">
      <c r="A274" s="7" t="n"/>
      <c r="B274" s="8">
        <f>IFERROR(MID(A274,FIND("01",A274)+2,14),"")</f>
        <v/>
      </c>
      <c r="C274" s="7">
        <f>IF(A274="","",IFERROR(VLOOKUP(B274,TblArticles,2,FALSE),"GTIN inconnu"))</f>
        <v/>
      </c>
      <c r="D274" s="8">
        <f>IF(A274="","",IFERROR(VLOOKUP(B274,TblArticles,3,FALSE),""))</f>
        <v/>
      </c>
      <c r="E274" s="9">
        <f>IFERROR(DATE(2000+VALUE(MID(A274,FIND("15",A274,FIND("01",A274)+16)+2,2)),VALUE(MID(A274,FIND("15",A274,FIND("01",A274)+16)+4,2)),VALUE(MID(A274,FIND("15",A274,FIND("01",A274)+16)+6,2))),"")</f>
        <v/>
      </c>
      <c r="F274" s="8">
        <f>IFERROR(MID(A274,FIND("10",A274,FIND("15",A274,FIND("01",A274)+16)+8)+2,50),"")</f>
        <v/>
      </c>
      <c r="G274" s="8" t="n"/>
    </row>
    <row r="275">
      <c r="A275" s="4" t="n"/>
      <c r="B275" s="5">
        <f>IFERROR(MID(A275,FIND("01",A275)+2,14),"")</f>
        <v/>
      </c>
      <c r="C275" s="4">
        <f>IF(A275="","",IFERROR(VLOOKUP(B275,TblArticles,2,FALSE),"GTIN inconnu"))</f>
        <v/>
      </c>
      <c r="D275" s="5">
        <f>IF(A275="","",IFERROR(VLOOKUP(B275,TblArticles,3,FALSE),""))</f>
        <v/>
      </c>
      <c r="E275" s="6">
        <f>IFERROR(DATE(2000+VALUE(MID(A275,FIND("15",A275,FIND("01",A275)+16)+2,2)),VALUE(MID(A275,FIND("15",A275,FIND("01",A275)+16)+4,2)),VALUE(MID(A275,FIND("15",A275,FIND("01",A275)+16)+6,2))),"")</f>
        <v/>
      </c>
      <c r="F275" s="5">
        <f>IFERROR(MID(A275,FIND("10",A275,FIND("15",A275,FIND("01",A275)+16)+8)+2,50),"")</f>
        <v/>
      </c>
      <c r="G275" s="5" t="n"/>
    </row>
    <row r="276">
      <c r="A276" s="7" t="n"/>
      <c r="B276" s="8">
        <f>IFERROR(MID(A276,FIND("01",A276)+2,14),"")</f>
        <v/>
      </c>
      <c r="C276" s="7">
        <f>IF(A276="","",IFERROR(VLOOKUP(B276,TblArticles,2,FALSE),"GTIN inconnu"))</f>
        <v/>
      </c>
      <c r="D276" s="8">
        <f>IF(A276="","",IFERROR(VLOOKUP(B276,TblArticles,3,FALSE),""))</f>
        <v/>
      </c>
      <c r="E276" s="9">
        <f>IFERROR(DATE(2000+VALUE(MID(A276,FIND("15",A276,FIND("01",A276)+16)+2,2)),VALUE(MID(A276,FIND("15",A276,FIND("01",A276)+16)+4,2)),VALUE(MID(A276,FIND("15",A276,FIND("01",A276)+16)+6,2))),"")</f>
        <v/>
      </c>
      <c r="F276" s="8">
        <f>IFERROR(MID(A276,FIND("10",A276,FIND("15",A276,FIND("01",A276)+16)+8)+2,50),"")</f>
        <v/>
      </c>
      <c r="G276" s="8" t="n"/>
    </row>
    <row r="277">
      <c r="A277" s="4" t="n"/>
      <c r="B277" s="5">
        <f>IFERROR(MID(A277,FIND("01",A277)+2,14),"")</f>
        <v/>
      </c>
      <c r="C277" s="4">
        <f>IF(A277="","",IFERROR(VLOOKUP(B277,TblArticles,2,FALSE),"GTIN inconnu"))</f>
        <v/>
      </c>
      <c r="D277" s="5">
        <f>IF(A277="","",IFERROR(VLOOKUP(B277,TblArticles,3,FALSE),""))</f>
        <v/>
      </c>
      <c r="E277" s="6">
        <f>IFERROR(DATE(2000+VALUE(MID(A277,FIND("15",A277,FIND("01",A277)+16)+2,2)),VALUE(MID(A277,FIND("15",A277,FIND("01",A277)+16)+4,2)),VALUE(MID(A277,FIND("15",A277,FIND("01",A277)+16)+6,2))),"")</f>
        <v/>
      </c>
      <c r="F277" s="5">
        <f>IFERROR(MID(A277,FIND("10",A277,FIND("15",A277,FIND("01",A277)+16)+8)+2,50),"")</f>
        <v/>
      </c>
      <c r="G277" s="5" t="n"/>
    </row>
    <row r="278">
      <c r="A278" s="7" t="n"/>
      <c r="B278" s="8">
        <f>IFERROR(MID(A278,FIND("01",A278)+2,14),"")</f>
        <v/>
      </c>
      <c r="C278" s="7">
        <f>IF(A278="","",IFERROR(VLOOKUP(B278,TblArticles,2,FALSE),"GTIN inconnu"))</f>
        <v/>
      </c>
      <c r="D278" s="8">
        <f>IF(A278="","",IFERROR(VLOOKUP(B278,TblArticles,3,FALSE),""))</f>
        <v/>
      </c>
      <c r="E278" s="9">
        <f>IFERROR(DATE(2000+VALUE(MID(A278,FIND("15",A278,FIND("01",A278)+16)+2,2)),VALUE(MID(A278,FIND("15",A278,FIND("01",A278)+16)+4,2)),VALUE(MID(A278,FIND("15",A278,FIND("01",A278)+16)+6,2))),"")</f>
        <v/>
      </c>
      <c r="F278" s="8">
        <f>IFERROR(MID(A278,FIND("10",A278,FIND("15",A278,FIND("01",A278)+16)+8)+2,50),"")</f>
        <v/>
      </c>
      <c r="G278" s="8" t="n"/>
    </row>
    <row r="279">
      <c r="A279" s="4" t="n"/>
      <c r="B279" s="5">
        <f>IFERROR(MID(A279,FIND("01",A279)+2,14),"")</f>
        <v/>
      </c>
      <c r="C279" s="4">
        <f>IF(A279="","",IFERROR(VLOOKUP(B279,TblArticles,2,FALSE),"GTIN inconnu"))</f>
        <v/>
      </c>
      <c r="D279" s="5">
        <f>IF(A279="","",IFERROR(VLOOKUP(B279,TblArticles,3,FALSE),""))</f>
        <v/>
      </c>
      <c r="E279" s="6">
        <f>IFERROR(DATE(2000+VALUE(MID(A279,FIND("15",A279,FIND("01",A279)+16)+2,2)),VALUE(MID(A279,FIND("15",A279,FIND("01",A279)+16)+4,2)),VALUE(MID(A279,FIND("15",A279,FIND("01",A279)+16)+6,2))),"")</f>
        <v/>
      </c>
      <c r="F279" s="5">
        <f>IFERROR(MID(A279,FIND("10",A279,FIND("15",A279,FIND("01",A279)+16)+8)+2,50),"")</f>
        <v/>
      </c>
      <c r="G279" s="5" t="n"/>
    </row>
    <row r="280">
      <c r="A280" s="7" t="n"/>
      <c r="B280" s="8">
        <f>IFERROR(MID(A280,FIND("01",A280)+2,14),"")</f>
        <v/>
      </c>
      <c r="C280" s="7">
        <f>IF(A280="","",IFERROR(VLOOKUP(B280,TblArticles,2,FALSE),"GTIN inconnu"))</f>
        <v/>
      </c>
      <c r="D280" s="8">
        <f>IF(A280="","",IFERROR(VLOOKUP(B280,TblArticles,3,FALSE),""))</f>
        <v/>
      </c>
      <c r="E280" s="9">
        <f>IFERROR(DATE(2000+VALUE(MID(A280,FIND("15",A280,FIND("01",A280)+16)+2,2)),VALUE(MID(A280,FIND("15",A280,FIND("01",A280)+16)+4,2)),VALUE(MID(A280,FIND("15",A280,FIND("01",A280)+16)+6,2))),"")</f>
        <v/>
      </c>
      <c r="F280" s="8">
        <f>IFERROR(MID(A280,FIND("10",A280,FIND("15",A280,FIND("01",A280)+16)+8)+2,50),"")</f>
        <v/>
      </c>
      <c r="G280" s="8" t="n"/>
    </row>
    <row r="281">
      <c r="A281" s="4" t="n"/>
      <c r="B281" s="5">
        <f>IFERROR(MID(A281,FIND("01",A281)+2,14),"")</f>
        <v/>
      </c>
      <c r="C281" s="4">
        <f>IF(A281="","",IFERROR(VLOOKUP(B281,TblArticles,2,FALSE),"GTIN inconnu"))</f>
        <v/>
      </c>
      <c r="D281" s="5">
        <f>IF(A281="","",IFERROR(VLOOKUP(B281,TblArticles,3,FALSE),""))</f>
        <v/>
      </c>
      <c r="E281" s="6">
        <f>IFERROR(DATE(2000+VALUE(MID(A281,FIND("15",A281,FIND("01",A281)+16)+2,2)),VALUE(MID(A281,FIND("15",A281,FIND("01",A281)+16)+4,2)),VALUE(MID(A281,FIND("15",A281,FIND("01",A281)+16)+6,2))),"")</f>
        <v/>
      </c>
      <c r="F281" s="5">
        <f>IFERROR(MID(A281,FIND("10",A281,FIND("15",A281,FIND("01",A281)+16)+8)+2,50),"")</f>
        <v/>
      </c>
      <c r="G281" s="5" t="n"/>
    </row>
    <row r="282">
      <c r="A282" s="7" t="n"/>
      <c r="B282" s="8">
        <f>IFERROR(MID(A282,FIND("01",A282)+2,14),"")</f>
        <v/>
      </c>
      <c r="C282" s="7">
        <f>IF(A282="","",IFERROR(VLOOKUP(B282,TblArticles,2,FALSE),"GTIN inconnu"))</f>
        <v/>
      </c>
      <c r="D282" s="8">
        <f>IF(A282="","",IFERROR(VLOOKUP(B282,TblArticles,3,FALSE),""))</f>
        <v/>
      </c>
      <c r="E282" s="9">
        <f>IFERROR(DATE(2000+VALUE(MID(A282,FIND("15",A282,FIND("01",A282)+16)+2,2)),VALUE(MID(A282,FIND("15",A282,FIND("01",A282)+16)+4,2)),VALUE(MID(A282,FIND("15",A282,FIND("01",A282)+16)+6,2))),"")</f>
        <v/>
      </c>
      <c r="F282" s="8">
        <f>IFERROR(MID(A282,FIND("10",A282,FIND("15",A282,FIND("01",A282)+16)+8)+2,50),"")</f>
        <v/>
      </c>
      <c r="G282" s="8" t="n"/>
    </row>
    <row r="283">
      <c r="A283" s="4" t="n"/>
      <c r="B283" s="5">
        <f>IFERROR(MID(A283,FIND("01",A283)+2,14),"")</f>
        <v/>
      </c>
      <c r="C283" s="4">
        <f>IF(A283="","",IFERROR(VLOOKUP(B283,TblArticles,2,FALSE),"GTIN inconnu"))</f>
        <v/>
      </c>
      <c r="D283" s="5">
        <f>IF(A283="","",IFERROR(VLOOKUP(B283,TblArticles,3,FALSE),""))</f>
        <v/>
      </c>
      <c r="E283" s="6">
        <f>IFERROR(DATE(2000+VALUE(MID(A283,FIND("15",A283,FIND("01",A283)+16)+2,2)),VALUE(MID(A283,FIND("15",A283,FIND("01",A283)+16)+4,2)),VALUE(MID(A283,FIND("15",A283,FIND("01",A283)+16)+6,2))),"")</f>
        <v/>
      </c>
      <c r="F283" s="5">
        <f>IFERROR(MID(A283,FIND("10",A283,FIND("15",A283,FIND("01",A283)+16)+8)+2,50),"")</f>
        <v/>
      </c>
      <c r="G283" s="5" t="n"/>
    </row>
    <row r="284">
      <c r="A284" s="7" t="n"/>
      <c r="B284" s="8">
        <f>IFERROR(MID(A284,FIND("01",A284)+2,14),"")</f>
        <v/>
      </c>
      <c r="C284" s="7">
        <f>IF(A284="","",IFERROR(VLOOKUP(B284,TblArticles,2,FALSE),"GTIN inconnu"))</f>
        <v/>
      </c>
      <c r="D284" s="8">
        <f>IF(A284="","",IFERROR(VLOOKUP(B284,TblArticles,3,FALSE),""))</f>
        <v/>
      </c>
      <c r="E284" s="9">
        <f>IFERROR(DATE(2000+VALUE(MID(A284,FIND("15",A284,FIND("01",A284)+16)+2,2)),VALUE(MID(A284,FIND("15",A284,FIND("01",A284)+16)+4,2)),VALUE(MID(A284,FIND("15",A284,FIND("01",A284)+16)+6,2))),"")</f>
        <v/>
      </c>
      <c r="F284" s="8">
        <f>IFERROR(MID(A284,FIND("10",A284,FIND("15",A284,FIND("01",A284)+16)+8)+2,50),"")</f>
        <v/>
      </c>
      <c r="G284" s="8" t="n"/>
    </row>
    <row r="285">
      <c r="A285" s="4" t="n"/>
      <c r="B285" s="5">
        <f>IFERROR(MID(A285,FIND("01",A285)+2,14),"")</f>
        <v/>
      </c>
      <c r="C285" s="4">
        <f>IF(A285="","",IFERROR(VLOOKUP(B285,TblArticles,2,FALSE),"GTIN inconnu"))</f>
        <v/>
      </c>
      <c r="D285" s="5">
        <f>IF(A285="","",IFERROR(VLOOKUP(B285,TblArticles,3,FALSE),""))</f>
        <v/>
      </c>
      <c r="E285" s="6">
        <f>IFERROR(DATE(2000+VALUE(MID(A285,FIND("15",A285,FIND("01",A285)+16)+2,2)),VALUE(MID(A285,FIND("15",A285,FIND("01",A285)+16)+4,2)),VALUE(MID(A285,FIND("15",A285,FIND("01",A285)+16)+6,2))),"")</f>
        <v/>
      </c>
      <c r="F285" s="5">
        <f>IFERROR(MID(A285,FIND("10",A285,FIND("15",A285,FIND("01",A285)+16)+8)+2,50),"")</f>
        <v/>
      </c>
      <c r="G285" s="5" t="n"/>
    </row>
    <row r="286">
      <c r="A286" s="7" t="n"/>
      <c r="B286" s="8">
        <f>IFERROR(MID(A286,FIND("01",A286)+2,14),"")</f>
        <v/>
      </c>
      <c r="C286" s="7">
        <f>IF(A286="","",IFERROR(VLOOKUP(B286,TblArticles,2,FALSE),"GTIN inconnu"))</f>
        <v/>
      </c>
      <c r="D286" s="8">
        <f>IF(A286="","",IFERROR(VLOOKUP(B286,TblArticles,3,FALSE),""))</f>
        <v/>
      </c>
      <c r="E286" s="9">
        <f>IFERROR(DATE(2000+VALUE(MID(A286,FIND("15",A286,FIND("01",A286)+16)+2,2)),VALUE(MID(A286,FIND("15",A286,FIND("01",A286)+16)+4,2)),VALUE(MID(A286,FIND("15",A286,FIND("01",A286)+16)+6,2))),"")</f>
        <v/>
      </c>
      <c r="F286" s="8">
        <f>IFERROR(MID(A286,FIND("10",A286,FIND("15",A286,FIND("01",A286)+16)+8)+2,50),"")</f>
        <v/>
      </c>
      <c r="G286" s="8" t="n"/>
    </row>
    <row r="287">
      <c r="A287" s="4" t="n"/>
      <c r="B287" s="5">
        <f>IFERROR(MID(A287,FIND("01",A287)+2,14),"")</f>
        <v/>
      </c>
      <c r="C287" s="4">
        <f>IF(A287="","",IFERROR(VLOOKUP(B287,TblArticles,2,FALSE),"GTIN inconnu"))</f>
        <v/>
      </c>
      <c r="D287" s="5">
        <f>IF(A287="","",IFERROR(VLOOKUP(B287,TblArticles,3,FALSE),""))</f>
        <v/>
      </c>
      <c r="E287" s="6">
        <f>IFERROR(DATE(2000+VALUE(MID(A287,FIND("15",A287,FIND("01",A287)+16)+2,2)),VALUE(MID(A287,FIND("15",A287,FIND("01",A287)+16)+4,2)),VALUE(MID(A287,FIND("15",A287,FIND("01",A287)+16)+6,2))),"")</f>
        <v/>
      </c>
      <c r="F287" s="5">
        <f>IFERROR(MID(A287,FIND("10",A287,FIND("15",A287,FIND("01",A287)+16)+8)+2,50),"")</f>
        <v/>
      </c>
      <c r="G287" s="5" t="n"/>
    </row>
    <row r="288">
      <c r="A288" s="7" t="n"/>
      <c r="B288" s="8">
        <f>IFERROR(MID(A288,FIND("01",A288)+2,14),"")</f>
        <v/>
      </c>
      <c r="C288" s="7">
        <f>IF(A288="","",IFERROR(VLOOKUP(B288,TblArticles,2,FALSE),"GTIN inconnu"))</f>
        <v/>
      </c>
      <c r="D288" s="8">
        <f>IF(A288="","",IFERROR(VLOOKUP(B288,TblArticles,3,FALSE),""))</f>
        <v/>
      </c>
      <c r="E288" s="9">
        <f>IFERROR(DATE(2000+VALUE(MID(A288,FIND("15",A288,FIND("01",A288)+16)+2,2)),VALUE(MID(A288,FIND("15",A288,FIND("01",A288)+16)+4,2)),VALUE(MID(A288,FIND("15",A288,FIND("01",A288)+16)+6,2))),"")</f>
        <v/>
      </c>
      <c r="F288" s="8">
        <f>IFERROR(MID(A288,FIND("10",A288,FIND("15",A288,FIND("01",A288)+16)+8)+2,50),"")</f>
        <v/>
      </c>
      <c r="G288" s="8" t="n"/>
    </row>
    <row r="289">
      <c r="A289" s="4" t="n"/>
      <c r="B289" s="5">
        <f>IFERROR(MID(A289,FIND("01",A289)+2,14),"")</f>
        <v/>
      </c>
      <c r="C289" s="4">
        <f>IF(A289="","",IFERROR(VLOOKUP(B289,TblArticles,2,FALSE),"GTIN inconnu"))</f>
        <v/>
      </c>
      <c r="D289" s="5">
        <f>IF(A289="","",IFERROR(VLOOKUP(B289,TblArticles,3,FALSE),""))</f>
        <v/>
      </c>
      <c r="E289" s="6">
        <f>IFERROR(DATE(2000+VALUE(MID(A289,FIND("15",A289,FIND("01",A289)+16)+2,2)),VALUE(MID(A289,FIND("15",A289,FIND("01",A289)+16)+4,2)),VALUE(MID(A289,FIND("15",A289,FIND("01",A289)+16)+6,2))),"")</f>
        <v/>
      </c>
      <c r="F289" s="5">
        <f>IFERROR(MID(A289,FIND("10",A289,FIND("15",A289,FIND("01",A289)+16)+8)+2,50),"")</f>
        <v/>
      </c>
      <c r="G289" s="5" t="n"/>
    </row>
    <row r="290">
      <c r="A290" s="7" t="n"/>
      <c r="B290" s="8">
        <f>IFERROR(MID(A290,FIND("01",A290)+2,14),"")</f>
        <v/>
      </c>
      <c r="C290" s="7">
        <f>IF(A290="","",IFERROR(VLOOKUP(B290,TblArticles,2,FALSE),"GTIN inconnu"))</f>
        <v/>
      </c>
      <c r="D290" s="8">
        <f>IF(A290="","",IFERROR(VLOOKUP(B290,TblArticles,3,FALSE),""))</f>
        <v/>
      </c>
      <c r="E290" s="9">
        <f>IFERROR(DATE(2000+VALUE(MID(A290,FIND("15",A290,FIND("01",A290)+16)+2,2)),VALUE(MID(A290,FIND("15",A290,FIND("01",A290)+16)+4,2)),VALUE(MID(A290,FIND("15",A290,FIND("01",A290)+16)+6,2))),"")</f>
        <v/>
      </c>
      <c r="F290" s="8">
        <f>IFERROR(MID(A290,FIND("10",A290,FIND("15",A290,FIND("01",A290)+16)+8)+2,50),"")</f>
        <v/>
      </c>
      <c r="G290" s="8" t="n"/>
    </row>
    <row r="291">
      <c r="A291" s="4" t="n"/>
      <c r="B291" s="5">
        <f>IFERROR(MID(A291,FIND("01",A291)+2,14),"")</f>
        <v/>
      </c>
      <c r="C291" s="4">
        <f>IF(A291="","",IFERROR(VLOOKUP(B291,TblArticles,2,FALSE),"GTIN inconnu"))</f>
        <v/>
      </c>
      <c r="D291" s="5">
        <f>IF(A291="","",IFERROR(VLOOKUP(B291,TblArticles,3,FALSE),""))</f>
        <v/>
      </c>
      <c r="E291" s="6">
        <f>IFERROR(DATE(2000+VALUE(MID(A291,FIND("15",A291,FIND("01",A291)+16)+2,2)),VALUE(MID(A291,FIND("15",A291,FIND("01",A291)+16)+4,2)),VALUE(MID(A291,FIND("15",A291,FIND("01",A291)+16)+6,2))),"")</f>
        <v/>
      </c>
      <c r="F291" s="5">
        <f>IFERROR(MID(A291,FIND("10",A291,FIND("15",A291,FIND("01",A291)+16)+8)+2,50),"")</f>
        <v/>
      </c>
      <c r="G291" s="5" t="n"/>
    </row>
    <row r="292">
      <c r="A292" s="7" t="n"/>
      <c r="B292" s="8">
        <f>IFERROR(MID(A292,FIND("01",A292)+2,14),"")</f>
        <v/>
      </c>
      <c r="C292" s="7">
        <f>IF(A292="","",IFERROR(VLOOKUP(B292,TblArticles,2,FALSE),"GTIN inconnu"))</f>
        <v/>
      </c>
      <c r="D292" s="8">
        <f>IF(A292="","",IFERROR(VLOOKUP(B292,TblArticles,3,FALSE),""))</f>
        <v/>
      </c>
      <c r="E292" s="9">
        <f>IFERROR(DATE(2000+VALUE(MID(A292,FIND("15",A292,FIND("01",A292)+16)+2,2)),VALUE(MID(A292,FIND("15",A292,FIND("01",A292)+16)+4,2)),VALUE(MID(A292,FIND("15",A292,FIND("01",A292)+16)+6,2))),"")</f>
        <v/>
      </c>
      <c r="F292" s="8">
        <f>IFERROR(MID(A292,FIND("10",A292,FIND("15",A292,FIND("01",A292)+16)+8)+2,50),"")</f>
        <v/>
      </c>
      <c r="G292" s="8" t="n"/>
    </row>
    <row r="293">
      <c r="A293" s="4" t="n"/>
      <c r="B293" s="5">
        <f>IFERROR(MID(A293,FIND("01",A293)+2,14),"")</f>
        <v/>
      </c>
      <c r="C293" s="4">
        <f>IF(A293="","",IFERROR(VLOOKUP(B293,TblArticles,2,FALSE),"GTIN inconnu"))</f>
        <v/>
      </c>
      <c r="D293" s="5">
        <f>IF(A293="","",IFERROR(VLOOKUP(B293,TblArticles,3,FALSE),""))</f>
        <v/>
      </c>
      <c r="E293" s="6">
        <f>IFERROR(DATE(2000+VALUE(MID(A293,FIND("15",A293,FIND("01",A293)+16)+2,2)),VALUE(MID(A293,FIND("15",A293,FIND("01",A293)+16)+4,2)),VALUE(MID(A293,FIND("15",A293,FIND("01",A293)+16)+6,2))),"")</f>
        <v/>
      </c>
      <c r="F293" s="5">
        <f>IFERROR(MID(A293,FIND("10",A293,FIND("15",A293,FIND("01",A293)+16)+8)+2,50),"")</f>
        <v/>
      </c>
      <c r="G293" s="5" t="n"/>
    </row>
    <row r="294">
      <c r="A294" s="7" t="n"/>
      <c r="B294" s="8">
        <f>IFERROR(MID(A294,FIND("01",A294)+2,14),"")</f>
        <v/>
      </c>
      <c r="C294" s="7">
        <f>IF(A294="","",IFERROR(VLOOKUP(B294,TblArticles,2,FALSE),"GTIN inconnu"))</f>
        <v/>
      </c>
      <c r="D294" s="8">
        <f>IF(A294="","",IFERROR(VLOOKUP(B294,TblArticles,3,FALSE),""))</f>
        <v/>
      </c>
      <c r="E294" s="9">
        <f>IFERROR(DATE(2000+VALUE(MID(A294,FIND("15",A294,FIND("01",A294)+16)+2,2)),VALUE(MID(A294,FIND("15",A294,FIND("01",A294)+16)+4,2)),VALUE(MID(A294,FIND("15",A294,FIND("01",A294)+16)+6,2))),"")</f>
        <v/>
      </c>
      <c r="F294" s="8">
        <f>IFERROR(MID(A294,FIND("10",A294,FIND("15",A294,FIND("01",A294)+16)+8)+2,50),"")</f>
        <v/>
      </c>
      <c r="G294" s="8" t="n"/>
    </row>
    <row r="295">
      <c r="A295" s="4" t="n"/>
      <c r="B295" s="5">
        <f>IFERROR(MID(A295,FIND("01",A295)+2,14),"")</f>
        <v/>
      </c>
      <c r="C295" s="4">
        <f>IF(A295="","",IFERROR(VLOOKUP(B295,TblArticles,2,FALSE),"GTIN inconnu"))</f>
        <v/>
      </c>
      <c r="D295" s="5">
        <f>IF(A295="","",IFERROR(VLOOKUP(B295,TblArticles,3,FALSE),""))</f>
        <v/>
      </c>
      <c r="E295" s="6">
        <f>IFERROR(DATE(2000+VALUE(MID(A295,FIND("15",A295,FIND("01",A295)+16)+2,2)),VALUE(MID(A295,FIND("15",A295,FIND("01",A295)+16)+4,2)),VALUE(MID(A295,FIND("15",A295,FIND("01",A295)+16)+6,2))),"")</f>
        <v/>
      </c>
      <c r="F295" s="5">
        <f>IFERROR(MID(A295,FIND("10",A295,FIND("15",A295,FIND("01",A295)+16)+8)+2,50),"")</f>
        <v/>
      </c>
      <c r="G295" s="5" t="n"/>
    </row>
    <row r="296">
      <c r="A296" s="7" t="n"/>
      <c r="B296" s="8">
        <f>IFERROR(MID(A296,FIND("01",A296)+2,14),"")</f>
        <v/>
      </c>
      <c r="C296" s="7">
        <f>IF(A296="","",IFERROR(VLOOKUP(B296,TblArticles,2,FALSE),"GTIN inconnu"))</f>
        <v/>
      </c>
      <c r="D296" s="8">
        <f>IF(A296="","",IFERROR(VLOOKUP(B296,TblArticles,3,FALSE),""))</f>
        <v/>
      </c>
      <c r="E296" s="9">
        <f>IFERROR(DATE(2000+VALUE(MID(A296,FIND("15",A296,FIND("01",A296)+16)+2,2)),VALUE(MID(A296,FIND("15",A296,FIND("01",A296)+16)+4,2)),VALUE(MID(A296,FIND("15",A296,FIND("01",A296)+16)+6,2))),"")</f>
        <v/>
      </c>
      <c r="F296" s="8">
        <f>IFERROR(MID(A296,FIND("10",A296,FIND("15",A296,FIND("01",A296)+16)+8)+2,50),"")</f>
        <v/>
      </c>
      <c r="G296" s="8" t="n"/>
    </row>
    <row r="297">
      <c r="A297" s="4" t="n"/>
      <c r="B297" s="5">
        <f>IFERROR(MID(A297,FIND("01",A297)+2,14),"")</f>
        <v/>
      </c>
      <c r="C297" s="4">
        <f>IF(A297="","",IFERROR(VLOOKUP(B297,TblArticles,2,FALSE),"GTIN inconnu"))</f>
        <v/>
      </c>
      <c r="D297" s="5">
        <f>IF(A297="","",IFERROR(VLOOKUP(B297,TblArticles,3,FALSE),""))</f>
        <v/>
      </c>
      <c r="E297" s="6">
        <f>IFERROR(DATE(2000+VALUE(MID(A297,FIND("15",A297,FIND("01",A297)+16)+2,2)),VALUE(MID(A297,FIND("15",A297,FIND("01",A297)+16)+4,2)),VALUE(MID(A297,FIND("15",A297,FIND("01",A297)+16)+6,2))),"")</f>
        <v/>
      </c>
      <c r="F297" s="5">
        <f>IFERROR(MID(A297,FIND("10",A297,FIND("15",A297,FIND("01",A297)+16)+8)+2,50),"")</f>
        <v/>
      </c>
      <c r="G297" s="5" t="n"/>
    </row>
    <row r="298">
      <c r="A298" s="7" t="n"/>
      <c r="B298" s="8">
        <f>IFERROR(MID(A298,FIND("01",A298)+2,14),"")</f>
        <v/>
      </c>
      <c r="C298" s="7">
        <f>IF(A298="","",IFERROR(VLOOKUP(B298,TblArticles,2,FALSE),"GTIN inconnu"))</f>
        <v/>
      </c>
      <c r="D298" s="8">
        <f>IF(A298="","",IFERROR(VLOOKUP(B298,TblArticles,3,FALSE),""))</f>
        <v/>
      </c>
      <c r="E298" s="9">
        <f>IFERROR(DATE(2000+VALUE(MID(A298,FIND("15",A298,FIND("01",A298)+16)+2,2)),VALUE(MID(A298,FIND("15",A298,FIND("01",A298)+16)+4,2)),VALUE(MID(A298,FIND("15",A298,FIND("01",A298)+16)+6,2))),"")</f>
        <v/>
      </c>
      <c r="F298" s="8">
        <f>IFERROR(MID(A298,FIND("10",A298,FIND("15",A298,FIND("01",A298)+16)+8)+2,50),"")</f>
        <v/>
      </c>
      <c r="G298" s="8" t="n"/>
    </row>
    <row r="299">
      <c r="A299" s="4" t="n"/>
      <c r="B299" s="5">
        <f>IFERROR(MID(A299,FIND("01",A299)+2,14),"")</f>
        <v/>
      </c>
      <c r="C299" s="4">
        <f>IF(A299="","",IFERROR(VLOOKUP(B299,TblArticles,2,FALSE),"GTIN inconnu"))</f>
        <v/>
      </c>
      <c r="D299" s="5">
        <f>IF(A299="","",IFERROR(VLOOKUP(B299,TblArticles,3,FALSE),""))</f>
        <v/>
      </c>
      <c r="E299" s="6">
        <f>IFERROR(DATE(2000+VALUE(MID(A299,FIND("15",A299,FIND("01",A299)+16)+2,2)),VALUE(MID(A299,FIND("15",A299,FIND("01",A299)+16)+4,2)),VALUE(MID(A299,FIND("15",A299,FIND("01",A299)+16)+6,2))),"")</f>
        <v/>
      </c>
      <c r="F299" s="5">
        <f>IFERROR(MID(A299,FIND("10",A299,FIND("15",A299,FIND("01",A299)+16)+8)+2,50),"")</f>
        <v/>
      </c>
      <c r="G299" s="5" t="n"/>
    </row>
    <row r="300">
      <c r="A300" s="7" t="n"/>
      <c r="B300" s="8">
        <f>IFERROR(MID(A300,FIND("01",A300)+2,14),"")</f>
        <v/>
      </c>
      <c r="C300" s="7">
        <f>IF(A300="","",IFERROR(VLOOKUP(B300,TblArticles,2,FALSE),"GTIN inconnu"))</f>
        <v/>
      </c>
      <c r="D300" s="8">
        <f>IF(A300="","",IFERROR(VLOOKUP(B300,TblArticles,3,FALSE),""))</f>
        <v/>
      </c>
      <c r="E300" s="9">
        <f>IFERROR(DATE(2000+VALUE(MID(A300,FIND("15",A300,FIND("01",A300)+16)+2,2)),VALUE(MID(A300,FIND("15",A300,FIND("01",A300)+16)+4,2)),VALUE(MID(A300,FIND("15",A300,FIND("01",A300)+16)+6,2))),"")</f>
        <v/>
      </c>
      <c r="F300" s="8">
        <f>IFERROR(MID(A300,FIND("10",A300,FIND("15",A300,FIND("01",A300)+16)+8)+2,50),"")</f>
        <v/>
      </c>
      <c r="G300" s="8" t="n"/>
    </row>
    <row r="301">
      <c r="A301" s="4" t="n"/>
      <c r="B301" s="5">
        <f>IFERROR(MID(A301,FIND("01",A301)+2,14),"")</f>
        <v/>
      </c>
      <c r="C301" s="4">
        <f>IF(A301="","",IFERROR(VLOOKUP(B301,TblArticles,2,FALSE),"GTIN inconnu"))</f>
        <v/>
      </c>
      <c r="D301" s="5">
        <f>IF(A301="","",IFERROR(VLOOKUP(B301,TblArticles,3,FALSE),""))</f>
        <v/>
      </c>
      <c r="E301" s="6">
        <f>IFERROR(DATE(2000+VALUE(MID(A301,FIND("15",A301,FIND("01",A301)+16)+2,2)),VALUE(MID(A301,FIND("15",A301,FIND("01",A301)+16)+4,2)),VALUE(MID(A301,FIND("15",A301,FIND("01",A301)+16)+6,2))),"")</f>
        <v/>
      </c>
      <c r="F301" s="5">
        <f>IFERROR(MID(A301,FIND("10",A301,FIND("15",A301,FIND("01",A301)+16)+8)+2,50),"")</f>
        <v/>
      </c>
      <c r="G301" s="5" t="n"/>
    </row>
    <row r="302">
      <c r="A302" s="7" t="n"/>
      <c r="B302" s="8">
        <f>IFERROR(MID(A302,FIND("01",A302)+2,14),"")</f>
        <v/>
      </c>
      <c r="C302" s="7">
        <f>IF(A302="","",IFERROR(VLOOKUP(B302,TblArticles,2,FALSE),"GTIN inconnu"))</f>
        <v/>
      </c>
      <c r="D302" s="8">
        <f>IF(A302="","",IFERROR(VLOOKUP(B302,TblArticles,3,FALSE),""))</f>
        <v/>
      </c>
      <c r="E302" s="9">
        <f>IFERROR(DATE(2000+VALUE(MID(A302,FIND("15",A302,FIND("01",A302)+16)+2,2)),VALUE(MID(A302,FIND("15",A302,FIND("01",A302)+16)+4,2)),VALUE(MID(A302,FIND("15",A302,FIND("01",A302)+16)+6,2))),"")</f>
        <v/>
      </c>
      <c r="F302" s="8">
        <f>IFERROR(MID(A302,FIND("10",A302,FIND("15",A302,FIND("01",A302)+16)+8)+2,50),"")</f>
        <v/>
      </c>
      <c r="G302" s="8" t="n"/>
    </row>
    <row r="303">
      <c r="A303" s="4" t="n"/>
      <c r="B303" s="5">
        <f>IFERROR(MID(A303,FIND("01",A303)+2,14),"")</f>
        <v/>
      </c>
      <c r="C303" s="4">
        <f>IF(A303="","",IFERROR(VLOOKUP(B303,TblArticles,2,FALSE),"GTIN inconnu"))</f>
        <v/>
      </c>
      <c r="D303" s="5">
        <f>IF(A303="","",IFERROR(VLOOKUP(B303,TblArticles,3,FALSE),""))</f>
        <v/>
      </c>
      <c r="E303" s="6">
        <f>IFERROR(DATE(2000+VALUE(MID(A303,FIND("15",A303,FIND("01",A303)+16)+2,2)),VALUE(MID(A303,FIND("15",A303,FIND("01",A303)+16)+4,2)),VALUE(MID(A303,FIND("15",A303,FIND("01",A303)+16)+6,2))),"")</f>
        <v/>
      </c>
      <c r="F303" s="5">
        <f>IFERROR(MID(A303,FIND("10",A303,FIND("15",A303,FIND("01",A303)+16)+8)+2,50),"")</f>
        <v/>
      </c>
      <c r="G303" s="5" t="n"/>
    </row>
    <row r="304">
      <c r="A304" s="7" t="n"/>
      <c r="B304" s="8">
        <f>IFERROR(MID(A304,FIND("01",A304)+2,14),"")</f>
        <v/>
      </c>
      <c r="C304" s="7">
        <f>IF(A304="","",IFERROR(VLOOKUP(B304,TblArticles,2,FALSE),"GTIN inconnu"))</f>
        <v/>
      </c>
      <c r="D304" s="8">
        <f>IF(A304="","",IFERROR(VLOOKUP(B304,TblArticles,3,FALSE),""))</f>
        <v/>
      </c>
      <c r="E304" s="9">
        <f>IFERROR(DATE(2000+VALUE(MID(A304,FIND("15",A304,FIND("01",A304)+16)+2,2)),VALUE(MID(A304,FIND("15",A304,FIND("01",A304)+16)+4,2)),VALUE(MID(A304,FIND("15",A304,FIND("01",A304)+16)+6,2))),"")</f>
        <v/>
      </c>
      <c r="F304" s="8">
        <f>IFERROR(MID(A304,FIND("10",A304,FIND("15",A304,FIND("01",A304)+16)+8)+2,50),"")</f>
        <v/>
      </c>
      <c r="G304" s="8" t="n"/>
    </row>
    <row r="305">
      <c r="A305" s="4" t="n"/>
      <c r="B305" s="5">
        <f>IFERROR(MID(A305,FIND("01",A305)+2,14),"")</f>
        <v/>
      </c>
      <c r="C305" s="4">
        <f>IF(A305="","",IFERROR(VLOOKUP(B305,TblArticles,2,FALSE),"GTIN inconnu"))</f>
        <v/>
      </c>
      <c r="D305" s="5">
        <f>IF(A305="","",IFERROR(VLOOKUP(B305,TblArticles,3,FALSE),""))</f>
        <v/>
      </c>
      <c r="E305" s="6">
        <f>IFERROR(DATE(2000+VALUE(MID(A305,FIND("15",A305,FIND("01",A305)+16)+2,2)),VALUE(MID(A305,FIND("15",A305,FIND("01",A305)+16)+4,2)),VALUE(MID(A305,FIND("15",A305,FIND("01",A305)+16)+6,2))),"")</f>
        <v/>
      </c>
      <c r="F305" s="5">
        <f>IFERROR(MID(A305,FIND("10",A305,FIND("15",A305,FIND("01",A305)+16)+8)+2,50),"")</f>
        <v/>
      </c>
      <c r="G305" s="5" t="n"/>
    </row>
    <row r="306">
      <c r="A306" s="7" t="n"/>
      <c r="B306" s="8">
        <f>IFERROR(MID(A306,FIND("01",A306)+2,14),"")</f>
        <v/>
      </c>
      <c r="C306" s="7">
        <f>IF(A306="","",IFERROR(VLOOKUP(B306,TblArticles,2,FALSE),"GTIN inconnu"))</f>
        <v/>
      </c>
      <c r="D306" s="8">
        <f>IF(A306="","",IFERROR(VLOOKUP(B306,TblArticles,3,FALSE),""))</f>
        <v/>
      </c>
      <c r="E306" s="9">
        <f>IFERROR(DATE(2000+VALUE(MID(A306,FIND("15",A306,FIND("01",A306)+16)+2,2)),VALUE(MID(A306,FIND("15",A306,FIND("01",A306)+16)+4,2)),VALUE(MID(A306,FIND("15",A306,FIND("01",A306)+16)+6,2))),"")</f>
        <v/>
      </c>
      <c r="F306" s="8">
        <f>IFERROR(MID(A306,FIND("10",A306,FIND("15",A306,FIND("01",A306)+16)+8)+2,50),"")</f>
        <v/>
      </c>
      <c r="G306" s="8" t="n"/>
    </row>
    <row r="307">
      <c r="A307" s="4" t="n"/>
      <c r="B307" s="5">
        <f>IFERROR(MID(A307,FIND("01",A307)+2,14),"")</f>
        <v/>
      </c>
      <c r="C307" s="4">
        <f>IF(A307="","",IFERROR(VLOOKUP(B307,TblArticles,2,FALSE),"GTIN inconnu"))</f>
        <v/>
      </c>
      <c r="D307" s="5">
        <f>IF(A307="","",IFERROR(VLOOKUP(B307,TblArticles,3,FALSE),""))</f>
        <v/>
      </c>
      <c r="E307" s="6">
        <f>IFERROR(DATE(2000+VALUE(MID(A307,FIND("15",A307,FIND("01",A307)+16)+2,2)),VALUE(MID(A307,FIND("15",A307,FIND("01",A307)+16)+4,2)),VALUE(MID(A307,FIND("15",A307,FIND("01",A307)+16)+6,2))),"")</f>
        <v/>
      </c>
      <c r="F307" s="5">
        <f>IFERROR(MID(A307,FIND("10",A307,FIND("15",A307,FIND("01",A307)+16)+8)+2,50),"")</f>
        <v/>
      </c>
      <c r="G307" s="5" t="n"/>
    </row>
    <row r="308">
      <c r="A308" s="7" t="n"/>
      <c r="B308" s="8">
        <f>IFERROR(MID(A308,FIND("01",A308)+2,14),"")</f>
        <v/>
      </c>
      <c r="C308" s="7">
        <f>IF(A308="","",IFERROR(VLOOKUP(B308,TblArticles,2,FALSE),"GTIN inconnu"))</f>
        <v/>
      </c>
      <c r="D308" s="8">
        <f>IF(A308="","",IFERROR(VLOOKUP(B308,TblArticles,3,FALSE),""))</f>
        <v/>
      </c>
      <c r="E308" s="9">
        <f>IFERROR(DATE(2000+VALUE(MID(A308,FIND("15",A308,FIND("01",A308)+16)+2,2)),VALUE(MID(A308,FIND("15",A308,FIND("01",A308)+16)+4,2)),VALUE(MID(A308,FIND("15",A308,FIND("01",A308)+16)+6,2))),"")</f>
        <v/>
      </c>
      <c r="F308" s="8">
        <f>IFERROR(MID(A308,FIND("10",A308,FIND("15",A308,FIND("01",A308)+16)+8)+2,50),"")</f>
        <v/>
      </c>
      <c r="G308" s="8" t="n"/>
    </row>
    <row r="309">
      <c r="A309" s="4" t="n"/>
      <c r="B309" s="5">
        <f>IFERROR(MID(A309,FIND("01",A309)+2,14),"")</f>
        <v/>
      </c>
      <c r="C309" s="4">
        <f>IF(A309="","",IFERROR(VLOOKUP(B309,TblArticles,2,FALSE),"GTIN inconnu"))</f>
        <v/>
      </c>
      <c r="D309" s="5">
        <f>IF(A309="","",IFERROR(VLOOKUP(B309,TblArticles,3,FALSE),""))</f>
        <v/>
      </c>
      <c r="E309" s="6">
        <f>IFERROR(DATE(2000+VALUE(MID(A309,FIND("15",A309,FIND("01",A309)+16)+2,2)),VALUE(MID(A309,FIND("15",A309,FIND("01",A309)+16)+4,2)),VALUE(MID(A309,FIND("15",A309,FIND("01",A309)+16)+6,2))),"")</f>
        <v/>
      </c>
      <c r="F309" s="5">
        <f>IFERROR(MID(A309,FIND("10",A309,FIND("15",A309,FIND("01",A309)+16)+8)+2,50),"")</f>
        <v/>
      </c>
      <c r="G309" s="5" t="n"/>
    </row>
    <row r="310">
      <c r="A310" s="7" t="n"/>
      <c r="B310" s="8">
        <f>IFERROR(MID(A310,FIND("01",A310)+2,14),"")</f>
        <v/>
      </c>
      <c r="C310" s="7">
        <f>IF(A310="","",IFERROR(VLOOKUP(B310,TblArticles,2,FALSE),"GTIN inconnu"))</f>
        <v/>
      </c>
      <c r="D310" s="8">
        <f>IF(A310="","",IFERROR(VLOOKUP(B310,TblArticles,3,FALSE),""))</f>
        <v/>
      </c>
      <c r="E310" s="9">
        <f>IFERROR(DATE(2000+VALUE(MID(A310,FIND("15",A310,FIND("01",A310)+16)+2,2)),VALUE(MID(A310,FIND("15",A310,FIND("01",A310)+16)+4,2)),VALUE(MID(A310,FIND("15",A310,FIND("01",A310)+16)+6,2))),"")</f>
        <v/>
      </c>
      <c r="F310" s="8">
        <f>IFERROR(MID(A310,FIND("10",A310,FIND("15",A310,FIND("01",A310)+16)+8)+2,50),"")</f>
        <v/>
      </c>
      <c r="G310" s="8" t="n"/>
    </row>
    <row r="311">
      <c r="A311" s="4" t="n"/>
      <c r="B311" s="5">
        <f>IFERROR(MID(A311,FIND("01",A311)+2,14),"")</f>
        <v/>
      </c>
      <c r="C311" s="4">
        <f>IF(A311="","",IFERROR(VLOOKUP(B311,TblArticles,2,FALSE),"GTIN inconnu"))</f>
        <v/>
      </c>
      <c r="D311" s="5">
        <f>IF(A311="","",IFERROR(VLOOKUP(B311,TblArticles,3,FALSE),""))</f>
        <v/>
      </c>
      <c r="E311" s="6">
        <f>IFERROR(DATE(2000+VALUE(MID(A311,FIND("15",A311,FIND("01",A311)+16)+2,2)),VALUE(MID(A311,FIND("15",A311,FIND("01",A311)+16)+4,2)),VALUE(MID(A311,FIND("15",A311,FIND("01",A311)+16)+6,2))),"")</f>
        <v/>
      </c>
      <c r="F311" s="5">
        <f>IFERROR(MID(A311,FIND("10",A311,FIND("15",A311,FIND("01",A311)+16)+8)+2,50),"")</f>
        <v/>
      </c>
      <c r="G311" s="5" t="n"/>
    </row>
    <row r="312">
      <c r="A312" s="7" t="n"/>
      <c r="B312" s="8">
        <f>IFERROR(MID(A312,FIND("01",A312)+2,14),"")</f>
        <v/>
      </c>
      <c r="C312" s="7">
        <f>IF(A312="","",IFERROR(VLOOKUP(B312,TblArticles,2,FALSE),"GTIN inconnu"))</f>
        <v/>
      </c>
      <c r="D312" s="8">
        <f>IF(A312="","",IFERROR(VLOOKUP(B312,TblArticles,3,FALSE),""))</f>
        <v/>
      </c>
      <c r="E312" s="9">
        <f>IFERROR(DATE(2000+VALUE(MID(A312,FIND("15",A312,FIND("01",A312)+16)+2,2)),VALUE(MID(A312,FIND("15",A312,FIND("01",A312)+16)+4,2)),VALUE(MID(A312,FIND("15",A312,FIND("01",A312)+16)+6,2))),"")</f>
        <v/>
      </c>
      <c r="F312" s="8">
        <f>IFERROR(MID(A312,FIND("10",A312,FIND("15",A312,FIND("01",A312)+16)+8)+2,50),"")</f>
        <v/>
      </c>
      <c r="G312" s="8" t="n"/>
    </row>
    <row r="313">
      <c r="A313" s="4" t="n"/>
      <c r="B313" s="5">
        <f>IFERROR(MID(A313,FIND("01",A313)+2,14),"")</f>
        <v/>
      </c>
      <c r="C313" s="4">
        <f>IF(A313="","",IFERROR(VLOOKUP(B313,TblArticles,2,FALSE),"GTIN inconnu"))</f>
        <v/>
      </c>
      <c r="D313" s="5">
        <f>IF(A313="","",IFERROR(VLOOKUP(B313,TblArticles,3,FALSE),""))</f>
        <v/>
      </c>
      <c r="E313" s="6">
        <f>IFERROR(DATE(2000+VALUE(MID(A313,FIND("15",A313,FIND("01",A313)+16)+2,2)),VALUE(MID(A313,FIND("15",A313,FIND("01",A313)+16)+4,2)),VALUE(MID(A313,FIND("15",A313,FIND("01",A313)+16)+6,2))),"")</f>
        <v/>
      </c>
      <c r="F313" s="5">
        <f>IFERROR(MID(A313,FIND("10",A313,FIND("15",A313,FIND("01",A313)+16)+8)+2,50),"")</f>
        <v/>
      </c>
      <c r="G313" s="5" t="n"/>
    </row>
    <row r="314">
      <c r="A314" s="7" t="n"/>
      <c r="B314" s="8">
        <f>IFERROR(MID(A314,FIND("01",A314)+2,14),"")</f>
        <v/>
      </c>
      <c r="C314" s="7">
        <f>IF(A314="","",IFERROR(VLOOKUP(B314,TblArticles,2,FALSE),"GTIN inconnu"))</f>
        <v/>
      </c>
      <c r="D314" s="8">
        <f>IF(A314="","",IFERROR(VLOOKUP(B314,TblArticles,3,FALSE),""))</f>
        <v/>
      </c>
      <c r="E314" s="9">
        <f>IFERROR(DATE(2000+VALUE(MID(A314,FIND("15",A314,FIND("01",A314)+16)+2,2)),VALUE(MID(A314,FIND("15",A314,FIND("01",A314)+16)+4,2)),VALUE(MID(A314,FIND("15",A314,FIND("01",A314)+16)+6,2))),"")</f>
        <v/>
      </c>
      <c r="F314" s="8">
        <f>IFERROR(MID(A314,FIND("10",A314,FIND("15",A314,FIND("01",A314)+16)+8)+2,50),"")</f>
        <v/>
      </c>
      <c r="G314" s="8" t="n"/>
    </row>
    <row r="315">
      <c r="A315" s="4" t="n"/>
      <c r="B315" s="5">
        <f>IFERROR(MID(A315,FIND("01",A315)+2,14),"")</f>
        <v/>
      </c>
      <c r="C315" s="4">
        <f>IF(A315="","",IFERROR(VLOOKUP(B315,TblArticles,2,FALSE),"GTIN inconnu"))</f>
        <v/>
      </c>
      <c r="D315" s="5">
        <f>IF(A315="","",IFERROR(VLOOKUP(B315,TblArticles,3,FALSE),""))</f>
        <v/>
      </c>
      <c r="E315" s="6">
        <f>IFERROR(DATE(2000+VALUE(MID(A315,FIND("15",A315,FIND("01",A315)+16)+2,2)),VALUE(MID(A315,FIND("15",A315,FIND("01",A315)+16)+4,2)),VALUE(MID(A315,FIND("15",A315,FIND("01",A315)+16)+6,2))),"")</f>
        <v/>
      </c>
      <c r="F315" s="5">
        <f>IFERROR(MID(A315,FIND("10",A315,FIND("15",A315,FIND("01",A315)+16)+8)+2,50),"")</f>
        <v/>
      </c>
      <c r="G315" s="5" t="n"/>
    </row>
    <row r="316">
      <c r="A316" s="7" t="n"/>
      <c r="B316" s="8">
        <f>IFERROR(MID(A316,FIND("01",A316)+2,14),"")</f>
        <v/>
      </c>
      <c r="C316" s="7">
        <f>IF(A316="","",IFERROR(VLOOKUP(B316,TblArticles,2,FALSE),"GTIN inconnu"))</f>
        <v/>
      </c>
      <c r="D316" s="8">
        <f>IF(A316="","",IFERROR(VLOOKUP(B316,TblArticles,3,FALSE),""))</f>
        <v/>
      </c>
      <c r="E316" s="9">
        <f>IFERROR(DATE(2000+VALUE(MID(A316,FIND("15",A316,FIND("01",A316)+16)+2,2)),VALUE(MID(A316,FIND("15",A316,FIND("01",A316)+16)+4,2)),VALUE(MID(A316,FIND("15",A316,FIND("01",A316)+16)+6,2))),"")</f>
        <v/>
      </c>
      <c r="F316" s="8">
        <f>IFERROR(MID(A316,FIND("10",A316,FIND("15",A316,FIND("01",A316)+16)+8)+2,50),"")</f>
        <v/>
      </c>
      <c r="G316" s="8" t="n"/>
    </row>
    <row r="317">
      <c r="A317" s="4" t="n"/>
      <c r="B317" s="5">
        <f>IFERROR(MID(A317,FIND("01",A317)+2,14),"")</f>
        <v/>
      </c>
      <c r="C317" s="4">
        <f>IF(A317="","",IFERROR(VLOOKUP(B317,TblArticles,2,FALSE),"GTIN inconnu"))</f>
        <v/>
      </c>
      <c r="D317" s="5">
        <f>IF(A317="","",IFERROR(VLOOKUP(B317,TblArticles,3,FALSE),""))</f>
        <v/>
      </c>
      <c r="E317" s="6">
        <f>IFERROR(DATE(2000+VALUE(MID(A317,FIND("15",A317,FIND("01",A317)+16)+2,2)),VALUE(MID(A317,FIND("15",A317,FIND("01",A317)+16)+4,2)),VALUE(MID(A317,FIND("15",A317,FIND("01",A317)+16)+6,2))),"")</f>
        <v/>
      </c>
      <c r="F317" s="5">
        <f>IFERROR(MID(A317,FIND("10",A317,FIND("15",A317,FIND("01",A317)+16)+8)+2,50),"")</f>
        <v/>
      </c>
      <c r="G317" s="5" t="n"/>
    </row>
    <row r="318">
      <c r="A318" s="7" t="n"/>
      <c r="B318" s="8">
        <f>IFERROR(MID(A318,FIND("01",A318)+2,14),"")</f>
        <v/>
      </c>
      <c r="C318" s="7">
        <f>IF(A318="","",IFERROR(VLOOKUP(B318,TblArticles,2,FALSE),"GTIN inconnu"))</f>
        <v/>
      </c>
      <c r="D318" s="8">
        <f>IF(A318="","",IFERROR(VLOOKUP(B318,TblArticles,3,FALSE),""))</f>
        <v/>
      </c>
      <c r="E318" s="9">
        <f>IFERROR(DATE(2000+VALUE(MID(A318,FIND("15",A318,FIND("01",A318)+16)+2,2)),VALUE(MID(A318,FIND("15",A318,FIND("01",A318)+16)+4,2)),VALUE(MID(A318,FIND("15",A318,FIND("01",A318)+16)+6,2))),"")</f>
        <v/>
      </c>
      <c r="F318" s="8">
        <f>IFERROR(MID(A318,FIND("10",A318,FIND("15",A318,FIND("01",A318)+16)+8)+2,50),"")</f>
        <v/>
      </c>
      <c r="G318" s="8" t="n"/>
    </row>
    <row r="319">
      <c r="A319" s="4" t="n"/>
      <c r="B319" s="5">
        <f>IFERROR(MID(A319,FIND("01",A319)+2,14),"")</f>
        <v/>
      </c>
      <c r="C319" s="4">
        <f>IF(A319="","",IFERROR(VLOOKUP(B319,TblArticles,2,FALSE),"GTIN inconnu"))</f>
        <v/>
      </c>
      <c r="D319" s="5">
        <f>IF(A319="","",IFERROR(VLOOKUP(B319,TblArticles,3,FALSE),""))</f>
        <v/>
      </c>
      <c r="E319" s="6">
        <f>IFERROR(DATE(2000+VALUE(MID(A319,FIND("15",A319,FIND("01",A319)+16)+2,2)),VALUE(MID(A319,FIND("15",A319,FIND("01",A319)+16)+4,2)),VALUE(MID(A319,FIND("15",A319,FIND("01",A319)+16)+6,2))),"")</f>
        <v/>
      </c>
      <c r="F319" s="5">
        <f>IFERROR(MID(A319,FIND("10",A319,FIND("15",A319,FIND("01",A319)+16)+8)+2,50),"")</f>
        <v/>
      </c>
      <c r="G319" s="5" t="n"/>
    </row>
    <row r="320">
      <c r="A320" s="7" t="n"/>
      <c r="B320" s="8">
        <f>IFERROR(MID(A320,FIND("01",A320)+2,14),"")</f>
        <v/>
      </c>
      <c r="C320" s="7">
        <f>IF(A320="","",IFERROR(VLOOKUP(B320,TblArticles,2,FALSE),"GTIN inconnu"))</f>
        <v/>
      </c>
      <c r="D320" s="8">
        <f>IF(A320="","",IFERROR(VLOOKUP(B320,TblArticles,3,FALSE),""))</f>
        <v/>
      </c>
      <c r="E320" s="9">
        <f>IFERROR(DATE(2000+VALUE(MID(A320,FIND("15",A320,FIND("01",A320)+16)+2,2)),VALUE(MID(A320,FIND("15",A320,FIND("01",A320)+16)+4,2)),VALUE(MID(A320,FIND("15",A320,FIND("01",A320)+16)+6,2))),"")</f>
        <v/>
      </c>
      <c r="F320" s="8">
        <f>IFERROR(MID(A320,FIND("10",A320,FIND("15",A320,FIND("01",A320)+16)+8)+2,50),"")</f>
        <v/>
      </c>
      <c r="G320" s="8" t="n"/>
    </row>
    <row r="321">
      <c r="A321" s="4" t="n"/>
      <c r="B321" s="5">
        <f>IFERROR(MID(A321,FIND("01",A321)+2,14),"")</f>
        <v/>
      </c>
      <c r="C321" s="4">
        <f>IF(A321="","",IFERROR(VLOOKUP(B321,TblArticles,2,FALSE),"GTIN inconnu"))</f>
        <v/>
      </c>
      <c r="D321" s="5">
        <f>IF(A321="","",IFERROR(VLOOKUP(B321,TblArticles,3,FALSE),""))</f>
        <v/>
      </c>
      <c r="E321" s="6">
        <f>IFERROR(DATE(2000+VALUE(MID(A321,FIND("15",A321,FIND("01",A321)+16)+2,2)),VALUE(MID(A321,FIND("15",A321,FIND("01",A321)+16)+4,2)),VALUE(MID(A321,FIND("15",A321,FIND("01",A321)+16)+6,2))),"")</f>
        <v/>
      </c>
      <c r="F321" s="5">
        <f>IFERROR(MID(A321,FIND("10",A321,FIND("15",A321,FIND("01",A321)+16)+8)+2,50),"")</f>
        <v/>
      </c>
      <c r="G321" s="5" t="n"/>
    </row>
    <row r="322">
      <c r="A322" s="7" t="n"/>
      <c r="B322" s="8">
        <f>IFERROR(MID(A322,FIND("01",A322)+2,14),"")</f>
        <v/>
      </c>
      <c r="C322" s="7">
        <f>IF(A322="","",IFERROR(VLOOKUP(B322,TblArticles,2,FALSE),"GTIN inconnu"))</f>
        <v/>
      </c>
      <c r="D322" s="8">
        <f>IF(A322="","",IFERROR(VLOOKUP(B322,TblArticles,3,FALSE),""))</f>
        <v/>
      </c>
      <c r="E322" s="9">
        <f>IFERROR(DATE(2000+VALUE(MID(A322,FIND("15",A322,FIND("01",A322)+16)+2,2)),VALUE(MID(A322,FIND("15",A322,FIND("01",A322)+16)+4,2)),VALUE(MID(A322,FIND("15",A322,FIND("01",A322)+16)+6,2))),"")</f>
        <v/>
      </c>
      <c r="F322" s="8">
        <f>IFERROR(MID(A322,FIND("10",A322,FIND("15",A322,FIND("01",A322)+16)+8)+2,50),"")</f>
        <v/>
      </c>
      <c r="G322" s="8" t="n"/>
    </row>
    <row r="323">
      <c r="A323" s="4" t="n"/>
      <c r="B323" s="5">
        <f>IFERROR(MID(A323,FIND("01",A323)+2,14),"")</f>
        <v/>
      </c>
      <c r="C323" s="4">
        <f>IF(A323="","",IFERROR(VLOOKUP(B323,TblArticles,2,FALSE),"GTIN inconnu"))</f>
        <v/>
      </c>
      <c r="D323" s="5">
        <f>IF(A323="","",IFERROR(VLOOKUP(B323,TblArticles,3,FALSE),""))</f>
        <v/>
      </c>
      <c r="E323" s="6">
        <f>IFERROR(DATE(2000+VALUE(MID(A323,FIND("15",A323,FIND("01",A323)+16)+2,2)),VALUE(MID(A323,FIND("15",A323,FIND("01",A323)+16)+4,2)),VALUE(MID(A323,FIND("15",A323,FIND("01",A323)+16)+6,2))),"")</f>
        <v/>
      </c>
      <c r="F323" s="5">
        <f>IFERROR(MID(A323,FIND("10",A323,FIND("15",A323,FIND("01",A323)+16)+8)+2,50),"")</f>
        <v/>
      </c>
      <c r="G323" s="5" t="n"/>
    </row>
    <row r="324">
      <c r="A324" s="7" t="n"/>
      <c r="B324" s="8">
        <f>IFERROR(MID(A324,FIND("01",A324)+2,14),"")</f>
        <v/>
      </c>
      <c r="C324" s="7">
        <f>IF(A324="","",IFERROR(VLOOKUP(B324,TblArticles,2,FALSE),"GTIN inconnu"))</f>
        <v/>
      </c>
      <c r="D324" s="8">
        <f>IF(A324="","",IFERROR(VLOOKUP(B324,TblArticles,3,FALSE),""))</f>
        <v/>
      </c>
      <c r="E324" s="9">
        <f>IFERROR(DATE(2000+VALUE(MID(A324,FIND("15",A324,FIND("01",A324)+16)+2,2)),VALUE(MID(A324,FIND("15",A324,FIND("01",A324)+16)+4,2)),VALUE(MID(A324,FIND("15",A324,FIND("01",A324)+16)+6,2))),"")</f>
        <v/>
      </c>
      <c r="F324" s="8">
        <f>IFERROR(MID(A324,FIND("10",A324,FIND("15",A324,FIND("01",A324)+16)+8)+2,50),"")</f>
        <v/>
      </c>
      <c r="G324" s="8" t="n"/>
    </row>
    <row r="325">
      <c r="A325" s="4" t="n"/>
      <c r="B325" s="5">
        <f>IFERROR(MID(A325,FIND("01",A325)+2,14),"")</f>
        <v/>
      </c>
      <c r="C325" s="4">
        <f>IF(A325="","",IFERROR(VLOOKUP(B325,TblArticles,2,FALSE),"GTIN inconnu"))</f>
        <v/>
      </c>
      <c r="D325" s="5">
        <f>IF(A325="","",IFERROR(VLOOKUP(B325,TblArticles,3,FALSE),""))</f>
        <v/>
      </c>
      <c r="E325" s="6">
        <f>IFERROR(DATE(2000+VALUE(MID(A325,FIND("15",A325,FIND("01",A325)+16)+2,2)),VALUE(MID(A325,FIND("15",A325,FIND("01",A325)+16)+4,2)),VALUE(MID(A325,FIND("15",A325,FIND("01",A325)+16)+6,2))),"")</f>
        <v/>
      </c>
      <c r="F325" s="5">
        <f>IFERROR(MID(A325,FIND("10",A325,FIND("15",A325,FIND("01",A325)+16)+8)+2,50),"")</f>
        <v/>
      </c>
      <c r="G325" s="5" t="n"/>
    </row>
    <row r="326">
      <c r="A326" s="7" t="n"/>
      <c r="B326" s="8">
        <f>IFERROR(MID(A326,FIND("01",A326)+2,14),"")</f>
        <v/>
      </c>
      <c r="C326" s="7">
        <f>IF(A326="","",IFERROR(VLOOKUP(B326,TblArticles,2,FALSE),"GTIN inconnu"))</f>
        <v/>
      </c>
      <c r="D326" s="8">
        <f>IF(A326="","",IFERROR(VLOOKUP(B326,TblArticles,3,FALSE),""))</f>
        <v/>
      </c>
      <c r="E326" s="9">
        <f>IFERROR(DATE(2000+VALUE(MID(A326,FIND("15",A326,FIND("01",A326)+16)+2,2)),VALUE(MID(A326,FIND("15",A326,FIND("01",A326)+16)+4,2)),VALUE(MID(A326,FIND("15",A326,FIND("01",A326)+16)+6,2))),"")</f>
        <v/>
      </c>
      <c r="F326" s="8">
        <f>IFERROR(MID(A326,FIND("10",A326,FIND("15",A326,FIND("01",A326)+16)+8)+2,50),"")</f>
        <v/>
      </c>
      <c r="G326" s="8" t="n"/>
    </row>
    <row r="327">
      <c r="A327" s="4" t="n"/>
      <c r="B327" s="5">
        <f>IFERROR(MID(A327,FIND("01",A327)+2,14),"")</f>
        <v/>
      </c>
      <c r="C327" s="4">
        <f>IF(A327="","",IFERROR(VLOOKUP(B327,TblArticles,2,FALSE),"GTIN inconnu"))</f>
        <v/>
      </c>
      <c r="D327" s="5">
        <f>IF(A327="","",IFERROR(VLOOKUP(B327,TblArticles,3,FALSE),""))</f>
        <v/>
      </c>
      <c r="E327" s="6">
        <f>IFERROR(DATE(2000+VALUE(MID(A327,FIND("15",A327,FIND("01",A327)+16)+2,2)),VALUE(MID(A327,FIND("15",A327,FIND("01",A327)+16)+4,2)),VALUE(MID(A327,FIND("15",A327,FIND("01",A327)+16)+6,2))),"")</f>
        <v/>
      </c>
      <c r="F327" s="5">
        <f>IFERROR(MID(A327,FIND("10",A327,FIND("15",A327,FIND("01",A327)+16)+8)+2,50),"")</f>
        <v/>
      </c>
      <c r="G327" s="5" t="n"/>
    </row>
    <row r="328">
      <c r="A328" s="7" t="n"/>
      <c r="B328" s="8">
        <f>IFERROR(MID(A328,FIND("01",A328)+2,14),"")</f>
        <v/>
      </c>
      <c r="C328" s="7">
        <f>IF(A328="","",IFERROR(VLOOKUP(B328,TblArticles,2,FALSE),"GTIN inconnu"))</f>
        <v/>
      </c>
      <c r="D328" s="8">
        <f>IF(A328="","",IFERROR(VLOOKUP(B328,TblArticles,3,FALSE),""))</f>
        <v/>
      </c>
      <c r="E328" s="9">
        <f>IFERROR(DATE(2000+VALUE(MID(A328,FIND("15",A328,FIND("01",A328)+16)+2,2)),VALUE(MID(A328,FIND("15",A328,FIND("01",A328)+16)+4,2)),VALUE(MID(A328,FIND("15",A328,FIND("01",A328)+16)+6,2))),"")</f>
        <v/>
      </c>
      <c r="F328" s="8">
        <f>IFERROR(MID(A328,FIND("10",A328,FIND("15",A328,FIND("01",A328)+16)+8)+2,50),"")</f>
        <v/>
      </c>
      <c r="G328" s="8" t="n"/>
    </row>
    <row r="329">
      <c r="A329" s="4" t="n"/>
      <c r="B329" s="5">
        <f>IFERROR(MID(A329,FIND("01",A329)+2,14),"")</f>
        <v/>
      </c>
      <c r="C329" s="4">
        <f>IF(A329="","",IFERROR(VLOOKUP(B329,TblArticles,2,FALSE),"GTIN inconnu"))</f>
        <v/>
      </c>
      <c r="D329" s="5">
        <f>IF(A329="","",IFERROR(VLOOKUP(B329,TblArticles,3,FALSE),""))</f>
        <v/>
      </c>
      <c r="E329" s="6">
        <f>IFERROR(DATE(2000+VALUE(MID(A329,FIND("15",A329,FIND("01",A329)+16)+2,2)),VALUE(MID(A329,FIND("15",A329,FIND("01",A329)+16)+4,2)),VALUE(MID(A329,FIND("15",A329,FIND("01",A329)+16)+6,2))),"")</f>
        <v/>
      </c>
      <c r="F329" s="5">
        <f>IFERROR(MID(A329,FIND("10",A329,FIND("15",A329,FIND("01",A329)+16)+8)+2,50),"")</f>
        <v/>
      </c>
      <c r="G329" s="5" t="n"/>
    </row>
    <row r="330">
      <c r="A330" s="7" t="n"/>
      <c r="B330" s="8">
        <f>IFERROR(MID(A330,FIND("01",A330)+2,14),"")</f>
        <v/>
      </c>
      <c r="C330" s="7">
        <f>IF(A330="","",IFERROR(VLOOKUP(B330,TblArticles,2,FALSE),"GTIN inconnu"))</f>
        <v/>
      </c>
      <c r="D330" s="8">
        <f>IF(A330="","",IFERROR(VLOOKUP(B330,TblArticles,3,FALSE),""))</f>
        <v/>
      </c>
      <c r="E330" s="9">
        <f>IFERROR(DATE(2000+VALUE(MID(A330,FIND("15",A330,FIND("01",A330)+16)+2,2)),VALUE(MID(A330,FIND("15",A330,FIND("01",A330)+16)+4,2)),VALUE(MID(A330,FIND("15",A330,FIND("01",A330)+16)+6,2))),"")</f>
        <v/>
      </c>
      <c r="F330" s="8">
        <f>IFERROR(MID(A330,FIND("10",A330,FIND("15",A330,FIND("01",A330)+16)+8)+2,50),"")</f>
        <v/>
      </c>
      <c r="G330" s="8" t="n"/>
    </row>
    <row r="331">
      <c r="A331" s="4" t="n"/>
      <c r="B331" s="5">
        <f>IFERROR(MID(A331,FIND("01",A331)+2,14),"")</f>
        <v/>
      </c>
      <c r="C331" s="4">
        <f>IF(A331="","",IFERROR(VLOOKUP(B331,TblArticles,2,FALSE),"GTIN inconnu"))</f>
        <v/>
      </c>
      <c r="D331" s="5">
        <f>IF(A331="","",IFERROR(VLOOKUP(B331,TblArticles,3,FALSE),""))</f>
        <v/>
      </c>
      <c r="E331" s="6">
        <f>IFERROR(DATE(2000+VALUE(MID(A331,FIND("15",A331,FIND("01",A331)+16)+2,2)),VALUE(MID(A331,FIND("15",A331,FIND("01",A331)+16)+4,2)),VALUE(MID(A331,FIND("15",A331,FIND("01",A331)+16)+6,2))),"")</f>
        <v/>
      </c>
      <c r="F331" s="5">
        <f>IFERROR(MID(A331,FIND("10",A331,FIND("15",A331,FIND("01",A331)+16)+8)+2,50),"")</f>
        <v/>
      </c>
      <c r="G331" s="5" t="n"/>
    </row>
    <row r="332">
      <c r="A332" s="7" t="n"/>
      <c r="B332" s="8">
        <f>IFERROR(MID(A332,FIND("01",A332)+2,14),"")</f>
        <v/>
      </c>
      <c r="C332" s="7">
        <f>IF(A332="","",IFERROR(VLOOKUP(B332,TblArticles,2,FALSE),"GTIN inconnu"))</f>
        <v/>
      </c>
      <c r="D332" s="8">
        <f>IF(A332="","",IFERROR(VLOOKUP(B332,TblArticles,3,FALSE),""))</f>
        <v/>
      </c>
      <c r="E332" s="9">
        <f>IFERROR(DATE(2000+VALUE(MID(A332,FIND("15",A332,FIND("01",A332)+16)+2,2)),VALUE(MID(A332,FIND("15",A332,FIND("01",A332)+16)+4,2)),VALUE(MID(A332,FIND("15",A332,FIND("01",A332)+16)+6,2))),"")</f>
        <v/>
      </c>
      <c r="F332" s="8">
        <f>IFERROR(MID(A332,FIND("10",A332,FIND("15",A332,FIND("01",A332)+16)+8)+2,50),"")</f>
        <v/>
      </c>
      <c r="G332" s="8" t="n"/>
    </row>
    <row r="333">
      <c r="A333" s="4" t="n"/>
      <c r="B333" s="5">
        <f>IFERROR(MID(A333,FIND("01",A333)+2,14),"")</f>
        <v/>
      </c>
      <c r="C333" s="4">
        <f>IF(A333="","",IFERROR(VLOOKUP(B333,TblArticles,2,FALSE),"GTIN inconnu"))</f>
        <v/>
      </c>
      <c r="D333" s="5">
        <f>IF(A333="","",IFERROR(VLOOKUP(B333,TblArticles,3,FALSE),""))</f>
        <v/>
      </c>
      <c r="E333" s="6">
        <f>IFERROR(DATE(2000+VALUE(MID(A333,FIND("15",A333,FIND("01",A333)+16)+2,2)),VALUE(MID(A333,FIND("15",A333,FIND("01",A333)+16)+4,2)),VALUE(MID(A333,FIND("15",A333,FIND("01",A333)+16)+6,2))),"")</f>
        <v/>
      </c>
      <c r="F333" s="5">
        <f>IFERROR(MID(A333,FIND("10",A333,FIND("15",A333,FIND("01",A333)+16)+8)+2,50),"")</f>
        <v/>
      </c>
      <c r="G333" s="5" t="n"/>
    </row>
    <row r="334">
      <c r="A334" s="7" t="n"/>
      <c r="B334" s="8">
        <f>IFERROR(MID(A334,FIND("01",A334)+2,14),"")</f>
        <v/>
      </c>
      <c r="C334" s="7">
        <f>IF(A334="","",IFERROR(VLOOKUP(B334,TblArticles,2,FALSE),"GTIN inconnu"))</f>
        <v/>
      </c>
      <c r="D334" s="8">
        <f>IF(A334="","",IFERROR(VLOOKUP(B334,TblArticles,3,FALSE),""))</f>
        <v/>
      </c>
      <c r="E334" s="9">
        <f>IFERROR(DATE(2000+VALUE(MID(A334,FIND("15",A334,FIND("01",A334)+16)+2,2)),VALUE(MID(A334,FIND("15",A334,FIND("01",A334)+16)+4,2)),VALUE(MID(A334,FIND("15",A334,FIND("01",A334)+16)+6,2))),"")</f>
        <v/>
      </c>
      <c r="F334" s="8">
        <f>IFERROR(MID(A334,FIND("10",A334,FIND("15",A334,FIND("01",A334)+16)+8)+2,50),"")</f>
        <v/>
      </c>
      <c r="G334" s="8" t="n"/>
    </row>
    <row r="335">
      <c r="A335" s="4" t="n"/>
      <c r="B335" s="5">
        <f>IFERROR(MID(A335,FIND("01",A335)+2,14),"")</f>
        <v/>
      </c>
      <c r="C335" s="4">
        <f>IF(A335="","",IFERROR(VLOOKUP(B335,TblArticles,2,FALSE),"GTIN inconnu"))</f>
        <v/>
      </c>
      <c r="D335" s="5">
        <f>IF(A335="","",IFERROR(VLOOKUP(B335,TblArticles,3,FALSE),""))</f>
        <v/>
      </c>
      <c r="E335" s="6">
        <f>IFERROR(DATE(2000+VALUE(MID(A335,FIND("15",A335,FIND("01",A335)+16)+2,2)),VALUE(MID(A335,FIND("15",A335,FIND("01",A335)+16)+4,2)),VALUE(MID(A335,FIND("15",A335,FIND("01",A335)+16)+6,2))),"")</f>
        <v/>
      </c>
      <c r="F335" s="5">
        <f>IFERROR(MID(A335,FIND("10",A335,FIND("15",A335,FIND("01",A335)+16)+8)+2,50),"")</f>
        <v/>
      </c>
      <c r="G335" s="5" t="n"/>
    </row>
    <row r="336">
      <c r="A336" s="7" t="n"/>
      <c r="B336" s="8">
        <f>IFERROR(MID(A336,FIND("01",A336)+2,14),"")</f>
        <v/>
      </c>
      <c r="C336" s="7">
        <f>IF(A336="","",IFERROR(VLOOKUP(B336,TblArticles,2,FALSE),"GTIN inconnu"))</f>
        <v/>
      </c>
      <c r="D336" s="8">
        <f>IF(A336="","",IFERROR(VLOOKUP(B336,TblArticles,3,FALSE),""))</f>
        <v/>
      </c>
      <c r="E336" s="9">
        <f>IFERROR(DATE(2000+VALUE(MID(A336,FIND("15",A336,FIND("01",A336)+16)+2,2)),VALUE(MID(A336,FIND("15",A336,FIND("01",A336)+16)+4,2)),VALUE(MID(A336,FIND("15",A336,FIND("01",A336)+16)+6,2))),"")</f>
        <v/>
      </c>
      <c r="F336" s="8">
        <f>IFERROR(MID(A336,FIND("10",A336,FIND("15",A336,FIND("01",A336)+16)+8)+2,50),"")</f>
        <v/>
      </c>
      <c r="G336" s="8" t="n"/>
    </row>
    <row r="337">
      <c r="A337" s="4" t="n"/>
      <c r="B337" s="5">
        <f>IFERROR(MID(A337,FIND("01",A337)+2,14),"")</f>
        <v/>
      </c>
      <c r="C337" s="4">
        <f>IF(A337="","",IFERROR(VLOOKUP(B337,TblArticles,2,FALSE),"GTIN inconnu"))</f>
        <v/>
      </c>
      <c r="D337" s="5">
        <f>IF(A337="","",IFERROR(VLOOKUP(B337,TblArticles,3,FALSE),""))</f>
        <v/>
      </c>
      <c r="E337" s="6">
        <f>IFERROR(DATE(2000+VALUE(MID(A337,FIND("15",A337,FIND("01",A337)+16)+2,2)),VALUE(MID(A337,FIND("15",A337,FIND("01",A337)+16)+4,2)),VALUE(MID(A337,FIND("15",A337,FIND("01",A337)+16)+6,2))),"")</f>
        <v/>
      </c>
      <c r="F337" s="5">
        <f>IFERROR(MID(A337,FIND("10",A337,FIND("15",A337,FIND("01",A337)+16)+8)+2,50),"")</f>
        <v/>
      </c>
      <c r="G337" s="5" t="n"/>
    </row>
    <row r="338">
      <c r="A338" s="7" t="n"/>
      <c r="B338" s="8">
        <f>IFERROR(MID(A338,FIND("01",A338)+2,14),"")</f>
        <v/>
      </c>
      <c r="C338" s="7">
        <f>IF(A338="","",IFERROR(VLOOKUP(B338,TblArticles,2,FALSE),"GTIN inconnu"))</f>
        <v/>
      </c>
      <c r="D338" s="8">
        <f>IF(A338="","",IFERROR(VLOOKUP(B338,TblArticles,3,FALSE),""))</f>
        <v/>
      </c>
      <c r="E338" s="9">
        <f>IFERROR(DATE(2000+VALUE(MID(A338,FIND("15",A338,FIND("01",A338)+16)+2,2)),VALUE(MID(A338,FIND("15",A338,FIND("01",A338)+16)+4,2)),VALUE(MID(A338,FIND("15",A338,FIND("01",A338)+16)+6,2))),"")</f>
        <v/>
      </c>
      <c r="F338" s="8">
        <f>IFERROR(MID(A338,FIND("10",A338,FIND("15",A338,FIND("01",A338)+16)+8)+2,50),"")</f>
        <v/>
      </c>
      <c r="G338" s="8" t="n"/>
    </row>
    <row r="339">
      <c r="A339" s="4" t="n"/>
      <c r="B339" s="5">
        <f>IFERROR(MID(A339,FIND("01",A339)+2,14),"")</f>
        <v/>
      </c>
      <c r="C339" s="4">
        <f>IF(A339="","",IFERROR(VLOOKUP(B339,TblArticles,2,FALSE),"GTIN inconnu"))</f>
        <v/>
      </c>
      <c r="D339" s="5">
        <f>IF(A339="","",IFERROR(VLOOKUP(B339,TblArticles,3,FALSE),""))</f>
        <v/>
      </c>
      <c r="E339" s="6">
        <f>IFERROR(DATE(2000+VALUE(MID(A339,FIND("15",A339,FIND("01",A339)+16)+2,2)),VALUE(MID(A339,FIND("15",A339,FIND("01",A339)+16)+4,2)),VALUE(MID(A339,FIND("15",A339,FIND("01",A339)+16)+6,2))),"")</f>
        <v/>
      </c>
      <c r="F339" s="5">
        <f>IFERROR(MID(A339,FIND("10",A339,FIND("15",A339,FIND("01",A339)+16)+8)+2,50),"")</f>
        <v/>
      </c>
      <c r="G339" s="5" t="n"/>
    </row>
    <row r="340">
      <c r="A340" s="7" t="n"/>
      <c r="B340" s="8">
        <f>IFERROR(MID(A340,FIND("01",A340)+2,14),"")</f>
        <v/>
      </c>
      <c r="C340" s="7">
        <f>IF(A340="","",IFERROR(VLOOKUP(B340,TblArticles,2,FALSE),"GTIN inconnu"))</f>
        <v/>
      </c>
      <c r="D340" s="8">
        <f>IF(A340="","",IFERROR(VLOOKUP(B340,TblArticles,3,FALSE),""))</f>
        <v/>
      </c>
      <c r="E340" s="9">
        <f>IFERROR(DATE(2000+VALUE(MID(A340,FIND("15",A340,FIND("01",A340)+16)+2,2)),VALUE(MID(A340,FIND("15",A340,FIND("01",A340)+16)+4,2)),VALUE(MID(A340,FIND("15",A340,FIND("01",A340)+16)+6,2))),"")</f>
        <v/>
      </c>
      <c r="F340" s="8">
        <f>IFERROR(MID(A340,FIND("10",A340,FIND("15",A340,FIND("01",A340)+16)+8)+2,50),"")</f>
        <v/>
      </c>
      <c r="G340" s="8" t="n"/>
    </row>
    <row r="341">
      <c r="A341" s="4" t="n"/>
      <c r="B341" s="5">
        <f>IFERROR(MID(A341,FIND("01",A341)+2,14),"")</f>
        <v/>
      </c>
      <c r="C341" s="4">
        <f>IF(A341="","",IFERROR(VLOOKUP(B341,TblArticles,2,FALSE),"GTIN inconnu"))</f>
        <v/>
      </c>
      <c r="D341" s="5">
        <f>IF(A341="","",IFERROR(VLOOKUP(B341,TblArticles,3,FALSE),""))</f>
        <v/>
      </c>
      <c r="E341" s="6">
        <f>IFERROR(DATE(2000+VALUE(MID(A341,FIND("15",A341,FIND("01",A341)+16)+2,2)),VALUE(MID(A341,FIND("15",A341,FIND("01",A341)+16)+4,2)),VALUE(MID(A341,FIND("15",A341,FIND("01",A341)+16)+6,2))),"")</f>
        <v/>
      </c>
      <c r="F341" s="5">
        <f>IFERROR(MID(A341,FIND("10",A341,FIND("15",A341,FIND("01",A341)+16)+8)+2,50),"")</f>
        <v/>
      </c>
      <c r="G341" s="5" t="n"/>
    </row>
    <row r="342">
      <c r="A342" s="7" t="n"/>
      <c r="B342" s="8">
        <f>IFERROR(MID(A342,FIND("01",A342)+2,14),"")</f>
        <v/>
      </c>
      <c r="C342" s="7">
        <f>IF(A342="","",IFERROR(VLOOKUP(B342,TblArticles,2,FALSE),"GTIN inconnu"))</f>
        <v/>
      </c>
      <c r="D342" s="8">
        <f>IF(A342="","",IFERROR(VLOOKUP(B342,TblArticles,3,FALSE),""))</f>
        <v/>
      </c>
      <c r="E342" s="9">
        <f>IFERROR(DATE(2000+VALUE(MID(A342,FIND("15",A342,FIND("01",A342)+16)+2,2)),VALUE(MID(A342,FIND("15",A342,FIND("01",A342)+16)+4,2)),VALUE(MID(A342,FIND("15",A342,FIND("01",A342)+16)+6,2))),"")</f>
        <v/>
      </c>
      <c r="F342" s="8">
        <f>IFERROR(MID(A342,FIND("10",A342,FIND("15",A342,FIND("01",A342)+16)+8)+2,50),"")</f>
        <v/>
      </c>
      <c r="G342" s="8" t="n"/>
    </row>
    <row r="343">
      <c r="A343" s="4" t="n"/>
      <c r="B343" s="5">
        <f>IFERROR(MID(A343,FIND("01",A343)+2,14),"")</f>
        <v/>
      </c>
      <c r="C343" s="4">
        <f>IF(A343="","",IFERROR(VLOOKUP(B343,TblArticles,2,FALSE),"GTIN inconnu"))</f>
        <v/>
      </c>
      <c r="D343" s="5">
        <f>IF(A343="","",IFERROR(VLOOKUP(B343,TblArticles,3,FALSE),""))</f>
        <v/>
      </c>
      <c r="E343" s="6">
        <f>IFERROR(DATE(2000+VALUE(MID(A343,FIND("15",A343,FIND("01",A343)+16)+2,2)),VALUE(MID(A343,FIND("15",A343,FIND("01",A343)+16)+4,2)),VALUE(MID(A343,FIND("15",A343,FIND("01",A343)+16)+6,2))),"")</f>
        <v/>
      </c>
      <c r="F343" s="5">
        <f>IFERROR(MID(A343,FIND("10",A343,FIND("15",A343,FIND("01",A343)+16)+8)+2,50),"")</f>
        <v/>
      </c>
      <c r="G343" s="5" t="n"/>
    </row>
    <row r="344">
      <c r="A344" s="7" t="n"/>
      <c r="B344" s="8">
        <f>IFERROR(MID(A344,FIND("01",A344)+2,14),"")</f>
        <v/>
      </c>
      <c r="C344" s="7">
        <f>IF(A344="","",IFERROR(VLOOKUP(B344,TblArticles,2,FALSE),"GTIN inconnu"))</f>
        <v/>
      </c>
      <c r="D344" s="8">
        <f>IF(A344="","",IFERROR(VLOOKUP(B344,TblArticles,3,FALSE),""))</f>
        <v/>
      </c>
      <c r="E344" s="9">
        <f>IFERROR(DATE(2000+VALUE(MID(A344,FIND("15",A344,FIND("01",A344)+16)+2,2)),VALUE(MID(A344,FIND("15",A344,FIND("01",A344)+16)+4,2)),VALUE(MID(A344,FIND("15",A344,FIND("01",A344)+16)+6,2))),"")</f>
        <v/>
      </c>
      <c r="F344" s="8">
        <f>IFERROR(MID(A344,FIND("10",A344,FIND("15",A344,FIND("01",A344)+16)+8)+2,50),"")</f>
        <v/>
      </c>
      <c r="G344" s="8" t="n"/>
    </row>
    <row r="345">
      <c r="A345" s="4" t="n"/>
      <c r="B345" s="5">
        <f>IFERROR(MID(A345,FIND("01",A345)+2,14),"")</f>
        <v/>
      </c>
      <c r="C345" s="4">
        <f>IF(A345="","",IFERROR(VLOOKUP(B345,TblArticles,2,FALSE),"GTIN inconnu"))</f>
        <v/>
      </c>
      <c r="D345" s="5">
        <f>IF(A345="","",IFERROR(VLOOKUP(B345,TblArticles,3,FALSE),""))</f>
        <v/>
      </c>
      <c r="E345" s="6">
        <f>IFERROR(DATE(2000+VALUE(MID(A345,FIND("15",A345,FIND("01",A345)+16)+2,2)),VALUE(MID(A345,FIND("15",A345,FIND("01",A345)+16)+4,2)),VALUE(MID(A345,FIND("15",A345,FIND("01",A345)+16)+6,2))),"")</f>
        <v/>
      </c>
      <c r="F345" s="5">
        <f>IFERROR(MID(A345,FIND("10",A345,FIND("15",A345,FIND("01",A345)+16)+8)+2,50),"")</f>
        <v/>
      </c>
      <c r="G345" s="5" t="n"/>
    </row>
    <row r="346">
      <c r="A346" s="7" t="n"/>
      <c r="B346" s="8">
        <f>IFERROR(MID(A346,FIND("01",A346)+2,14),"")</f>
        <v/>
      </c>
      <c r="C346" s="7">
        <f>IF(A346="","",IFERROR(VLOOKUP(B346,TblArticles,2,FALSE),"GTIN inconnu"))</f>
        <v/>
      </c>
      <c r="D346" s="8">
        <f>IF(A346="","",IFERROR(VLOOKUP(B346,TblArticles,3,FALSE),""))</f>
        <v/>
      </c>
      <c r="E346" s="9">
        <f>IFERROR(DATE(2000+VALUE(MID(A346,FIND("15",A346,FIND("01",A346)+16)+2,2)),VALUE(MID(A346,FIND("15",A346,FIND("01",A346)+16)+4,2)),VALUE(MID(A346,FIND("15",A346,FIND("01",A346)+16)+6,2))),"")</f>
        <v/>
      </c>
      <c r="F346" s="8">
        <f>IFERROR(MID(A346,FIND("10",A346,FIND("15",A346,FIND("01",A346)+16)+8)+2,50),"")</f>
        <v/>
      </c>
      <c r="G346" s="8" t="n"/>
    </row>
    <row r="347">
      <c r="A347" s="4" t="n"/>
      <c r="B347" s="5">
        <f>IFERROR(MID(A347,FIND("01",A347)+2,14),"")</f>
        <v/>
      </c>
      <c r="C347" s="4">
        <f>IF(A347="","",IFERROR(VLOOKUP(B347,TblArticles,2,FALSE),"GTIN inconnu"))</f>
        <v/>
      </c>
      <c r="D347" s="5">
        <f>IF(A347="","",IFERROR(VLOOKUP(B347,TblArticles,3,FALSE),""))</f>
        <v/>
      </c>
      <c r="E347" s="6">
        <f>IFERROR(DATE(2000+VALUE(MID(A347,FIND("15",A347,FIND("01",A347)+16)+2,2)),VALUE(MID(A347,FIND("15",A347,FIND("01",A347)+16)+4,2)),VALUE(MID(A347,FIND("15",A347,FIND("01",A347)+16)+6,2))),"")</f>
        <v/>
      </c>
      <c r="F347" s="5">
        <f>IFERROR(MID(A347,FIND("10",A347,FIND("15",A347,FIND("01",A347)+16)+8)+2,50),"")</f>
        <v/>
      </c>
      <c r="G347" s="5" t="n"/>
    </row>
    <row r="348">
      <c r="A348" s="7" t="n"/>
      <c r="B348" s="8">
        <f>IFERROR(MID(A348,FIND("01",A348)+2,14),"")</f>
        <v/>
      </c>
      <c r="C348" s="7">
        <f>IF(A348="","",IFERROR(VLOOKUP(B348,TblArticles,2,FALSE),"GTIN inconnu"))</f>
        <v/>
      </c>
      <c r="D348" s="8">
        <f>IF(A348="","",IFERROR(VLOOKUP(B348,TblArticles,3,FALSE),""))</f>
        <v/>
      </c>
      <c r="E348" s="9">
        <f>IFERROR(DATE(2000+VALUE(MID(A348,FIND("15",A348,FIND("01",A348)+16)+2,2)),VALUE(MID(A348,FIND("15",A348,FIND("01",A348)+16)+4,2)),VALUE(MID(A348,FIND("15",A348,FIND("01",A348)+16)+6,2))),"")</f>
        <v/>
      </c>
      <c r="F348" s="8">
        <f>IFERROR(MID(A348,FIND("10",A348,FIND("15",A348,FIND("01",A348)+16)+8)+2,50),"")</f>
        <v/>
      </c>
      <c r="G348" s="8" t="n"/>
    </row>
    <row r="349">
      <c r="A349" s="4" t="n"/>
      <c r="B349" s="5">
        <f>IFERROR(MID(A349,FIND("01",A349)+2,14),"")</f>
        <v/>
      </c>
      <c r="C349" s="4">
        <f>IF(A349="","",IFERROR(VLOOKUP(B349,TblArticles,2,FALSE),"GTIN inconnu"))</f>
        <v/>
      </c>
      <c r="D349" s="5">
        <f>IF(A349="","",IFERROR(VLOOKUP(B349,TblArticles,3,FALSE),""))</f>
        <v/>
      </c>
      <c r="E349" s="6">
        <f>IFERROR(DATE(2000+VALUE(MID(A349,FIND("15",A349,FIND("01",A349)+16)+2,2)),VALUE(MID(A349,FIND("15",A349,FIND("01",A349)+16)+4,2)),VALUE(MID(A349,FIND("15",A349,FIND("01",A349)+16)+6,2))),"")</f>
        <v/>
      </c>
      <c r="F349" s="5">
        <f>IFERROR(MID(A349,FIND("10",A349,FIND("15",A349,FIND("01",A349)+16)+8)+2,50),"")</f>
        <v/>
      </c>
      <c r="G349" s="5" t="n"/>
    </row>
    <row r="350">
      <c r="A350" s="7" t="n"/>
      <c r="B350" s="8">
        <f>IFERROR(MID(A350,FIND("01",A350)+2,14),"")</f>
        <v/>
      </c>
      <c r="C350" s="7">
        <f>IF(A350="","",IFERROR(VLOOKUP(B350,TblArticles,2,FALSE),"GTIN inconnu"))</f>
        <v/>
      </c>
      <c r="D350" s="8">
        <f>IF(A350="","",IFERROR(VLOOKUP(B350,TblArticles,3,FALSE),""))</f>
        <v/>
      </c>
      <c r="E350" s="9">
        <f>IFERROR(DATE(2000+VALUE(MID(A350,FIND("15",A350,FIND("01",A350)+16)+2,2)),VALUE(MID(A350,FIND("15",A350,FIND("01",A350)+16)+4,2)),VALUE(MID(A350,FIND("15",A350,FIND("01",A350)+16)+6,2))),"")</f>
        <v/>
      </c>
      <c r="F350" s="8">
        <f>IFERROR(MID(A350,FIND("10",A350,FIND("15",A350,FIND("01",A350)+16)+8)+2,50),"")</f>
        <v/>
      </c>
      <c r="G350" s="8" t="n"/>
    </row>
    <row r="351">
      <c r="A351" s="4" t="n"/>
      <c r="B351" s="5">
        <f>IFERROR(MID(A351,FIND("01",A351)+2,14),"")</f>
        <v/>
      </c>
      <c r="C351" s="4">
        <f>IF(A351="","",IFERROR(VLOOKUP(B351,TblArticles,2,FALSE),"GTIN inconnu"))</f>
        <v/>
      </c>
      <c r="D351" s="5">
        <f>IF(A351="","",IFERROR(VLOOKUP(B351,TblArticles,3,FALSE),""))</f>
        <v/>
      </c>
      <c r="E351" s="6">
        <f>IFERROR(DATE(2000+VALUE(MID(A351,FIND("15",A351,FIND("01",A351)+16)+2,2)),VALUE(MID(A351,FIND("15",A351,FIND("01",A351)+16)+4,2)),VALUE(MID(A351,FIND("15",A351,FIND("01",A351)+16)+6,2))),"")</f>
        <v/>
      </c>
      <c r="F351" s="5">
        <f>IFERROR(MID(A351,FIND("10",A351,FIND("15",A351,FIND("01",A351)+16)+8)+2,50),"")</f>
        <v/>
      </c>
      <c r="G351" s="5" t="n"/>
    </row>
    <row r="352">
      <c r="A352" s="7" t="n"/>
      <c r="B352" s="8">
        <f>IFERROR(MID(A352,FIND("01",A352)+2,14),"")</f>
        <v/>
      </c>
      <c r="C352" s="7">
        <f>IF(A352="","",IFERROR(VLOOKUP(B352,TblArticles,2,FALSE),"GTIN inconnu"))</f>
        <v/>
      </c>
      <c r="D352" s="8">
        <f>IF(A352="","",IFERROR(VLOOKUP(B352,TblArticles,3,FALSE),""))</f>
        <v/>
      </c>
      <c r="E352" s="9">
        <f>IFERROR(DATE(2000+VALUE(MID(A352,FIND("15",A352,FIND("01",A352)+16)+2,2)),VALUE(MID(A352,FIND("15",A352,FIND("01",A352)+16)+4,2)),VALUE(MID(A352,FIND("15",A352,FIND("01",A352)+16)+6,2))),"")</f>
        <v/>
      </c>
      <c r="F352" s="8">
        <f>IFERROR(MID(A352,FIND("10",A352,FIND("15",A352,FIND("01",A352)+16)+8)+2,50),"")</f>
        <v/>
      </c>
      <c r="G352" s="8" t="n"/>
    </row>
    <row r="353">
      <c r="A353" s="4" t="n"/>
      <c r="B353" s="5">
        <f>IFERROR(MID(A353,FIND("01",A353)+2,14),"")</f>
        <v/>
      </c>
      <c r="C353" s="4">
        <f>IF(A353="","",IFERROR(VLOOKUP(B353,TblArticles,2,FALSE),"GTIN inconnu"))</f>
        <v/>
      </c>
      <c r="D353" s="5">
        <f>IF(A353="","",IFERROR(VLOOKUP(B353,TblArticles,3,FALSE),""))</f>
        <v/>
      </c>
      <c r="E353" s="6">
        <f>IFERROR(DATE(2000+VALUE(MID(A353,FIND("15",A353,FIND("01",A353)+16)+2,2)),VALUE(MID(A353,FIND("15",A353,FIND("01",A353)+16)+4,2)),VALUE(MID(A353,FIND("15",A353,FIND("01",A353)+16)+6,2))),"")</f>
        <v/>
      </c>
      <c r="F353" s="5">
        <f>IFERROR(MID(A353,FIND("10",A353,FIND("15",A353,FIND("01",A353)+16)+8)+2,50),"")</f>
        <v/>
      </c>
      <c r="G353" s="5" t="n"/>
    </row>
    <row r="354">
      <c r="A354" s="7" t="n"/>
      <c r="B354" s="8">
        <f>IFERROR(MID(A354,FIND("01",A354)+2,14),"")</f>
        <v/>
      </c>
      <c r="C354" s="7">
        <f>IF(A354="","",IFERROR(VLOOKUP(B354,TblArticles,2,FALSE),"GTIN inconnu"))</f>
        <v/>
      </c>
      <c r="D354" s="8">
        <f>IF(A354="","",IFERROR(VLOOKUP(B354,TblArticles,3,FALSE),""))</f>
        <v/>
      </c>
      <c r="E354" s="9">
        <f>IFERROR(DATE(2000+VALUE(MID(A354,FIND("15",A354,FIND("01",A354)+16)+2,2)),VALUE(MID(A354,FIND("15",A354,FIND("01",A354)+16)+4,2)),VALUE(MID(A354,FIND("15",A354,FIND("01",A354)+16)+6,2))),"")</f>
        <v/>
      </c>
      <c r="F354" s="8">
        <f>IFERROR(MID(A354,FIND("10",A354,FIND("15",A354,FIND("01",A354)+16)+8)+2,50),"")</f>
        <v/>
      </c>
      <c r="G354" s="8" t="n"/>
    </row>
    <row r="355">
      <c r="A355" s="4" t="n"/>
      <c r="B355" s="5">
        <f>IFERROR(MID(A355,FIND("01",A355)+2,14),"")</f>
        <v/>
      </c>
      <c r="C355" s="4">
        <f>IF(A355="","",IFERROR(VLOOKUP(B355,TblArticles,2,FALSE),"GTIN inconnu"))</f>
        <v/>
      </c>
      <c r="D355" s="5">
        <f>IF(A355="","",IFERROR(VLOOKUP(B355,TblArticles,3,FALSE),""))</f>
        <v/>
      </c>
      <c r="E355" s="6">
        <f>IFERROR(DATE(2000+VALUE(MID(A355,FIND("15",A355,FIND("01",A355)+16)+2,2)),VALUE(MID(A355,FIND("15",A355,FIND("01",A355)+16)+4,2)),VALUE(MID(A355,FIND("15",A355,FIND("01",A355)+16)+6,2))),"")</f>
        <v/>
      </c>
      <c r="F355" s="5">
        <f>IFERROR(MID(A355,FIND("10",A355,FIND("15",A355,FIND("01",A355)+16)+8)+2,50),"")</f>
        <v/>
      </c>
      <c r="G355" s="5" t="n"/>
    </row>
    <row r="356">
      <c r="A356" s="7" t="n"/>
      <c r="B356" s="8">
        <f>IFERROR(MID(A356,FIND("01",A356)+2,14),"")</f>
        <v/>
      </c>
      <c r="C356" s="7">
        <f>IF(A356="","",IFERROR(VLOOKUP(B356,TblArticles,2,FALSE),"GTIN inconnu"))</f>
        <v/>
      </c>
      <c r="D356" s="8">
        <f>IF(A356="","",IFERROR(VLOOKUP(B356,TblArticles,3,FALSE),""))</f>
        <v/>
      </c>
      <c r="E356" s="9">
        <f>IFERROR(DATE(2000+VALUE(MID(A356,FIND("15",A356,FIND("01",A356)+16)+2,2)),VALUE(MID(A356,FIND("15",A356,FIND("01",A356)+16)+4,2)),VALUE(MID(A356,FIND("15",A356,FIND("01",A356)+16)+6,2))),"")</f>
        <v/>
      </c>
      <c r="F356" s="8">
        <f>IFERROR(MID(A356,FIND("10",A356,FIND("15",A356,FIND("01",A356)+16)+8)+2,50),"")</f>
        <v/>
      </c>
      <c r="G356" s="8" t="n"/>
    </row>
    <row r="357">
      <c r="A357" s="4" t="n"/>
      <c r="B357" s="5">
        <f>IFERROR(MID(A357,FIND("01",A357)+2,14),"")</f>
        <v/>
      </c>
      <c r="C357" s="4">
        <f>IF(A357="","",IFERROR(VLOOKUP(B357,TblArticles,2,FALSE),"GTIN inconnu"))</f>
        <v/>
      </c>
      <c r="D357" s="5">
        <f>IF(A357="","",IFERROR(VLOOKUP(B357,TblArticles,3,FALSE),""))</f>
        <v/>
      </c>
      <c r="E357" s="6">
        <f>IFERROR(DATE(2000+VALUE(MID(A357,FIND("15",A357,FIND("01",A357)+16)+2,2)),VALUE(MID(A357,FIND("15",A357,FIND("01",A357)+16)+4,2)),VALUE(MID(A357,FIND("15",A357,FIND("01",A357)+16)+6,2))),"")</f>
        <v/>
      </c>
      <c r="F357" s="5">
        <f>IFERROR(MID(A357,FIND("10",A357,FIND("15",A357,FIND("01",A357)+16)+8)+2,50),"")</f>
        <v/>
      </c>
      <c r="G357" s="5" t="n"/>
    </row>
    <row r="358">
      <c r="A358" s="7" t="n"/>
      <c r="B358" s="8">
        <f>IFERROR(MID(A358,FIND("01",A358)+2,14),"")</f>
        <v/>
      </c>
      <c r="C358" s="7">
        <f>IF(A358="","",IFERROR(VLOOKUP(B358,TblArticles,2,FALSE),"GTIN inconnu"))</f>
        <v/>
      </c>
      <c r="D358" s="8">
        <f>IF(A358="","",IFERROR(VLOOKUP(B358,TblArticles,3,FALSE),""))</f>
        <v/>
      </c>
      <c r="E358" s="9">
        <f>IFERROR(DATE(2000+VALUE(MID(A358,FIND("15",A358,FIND("01",A358)+16)+2,2)),VALUE(MID(A358,FIND("15",A358,FIND("01",A358)+16)+4,2)),VALUE(MID(A358,FIND("15",A358,FIND("01",A358)+16)+6,2))),"")</f>
        <v/>
      </c>
      <c r="F358" s="8">
        <f>IFERROR(MID(A358,FIND("10",A358,FIND("15",A358,FIND("01",A358)+16)+8)+2,50),"")</f>
        <v/>
      </c>
      <c r="G358" s="8" t="n"/>
    </row>
    <row r="359">
      <c r="A359" s="4" t="n"/>
      <c r="B359" s="5">
        <f>IFERROR(MID(A359,FIND("01",A359)+2,14),"")</f>
        <v/>
      </c>
      <c r="C359" s="4">
        <f>IF(A359="","",IFERROR(VLOOKUP(B359,TblArticles,2,FALSE),"GTIN inconnu"))</f>
        <v/>
      </c>
      <c r="D359" s="5">
        <f>IF(A359="","",IFERROR(VLOOKUP(B359,TblArticles,3,FALSE),""))</f>
        <v/>
      </c>
      <c r="E359" s="6">
        <f>IFERROR(DATE(2000+VALUE(MID(A359,FIND("15",A359,FIND("01",A359)+16)+2,2)),VALUE(MID(A359,FIND("15",A359,FIND("01",A359)+16)+4,2)),VALUE(MID(A359,FIND("15",A359,FIND("01",A359)+16)+6,2))),"")</f>
        <v/>
      </c>
      <c r="F359" s="5">
        <f>IFERROR(MID(A359,FIND("10",A359,FIND("15",A359,FIND("01",A359)+16)+8)+2,50),"")</f>
        <v/>
      </c>
      <c r="G359" s="5" t="n"/>
    </row>
    <row r="360">
      <c r="A360" s="7" t="n"/>
      <c r="B360" s="8">
        <f>IFERROR(MID(A360,FIND("01",A360)+2,14),"")</f>
        <v/>
      </c>
      <c r="C360" s="7">
        <f>IF(A360="","",IFERROR(VLOOKUP(B360,TblArticles,2,FALSE),"GTIN inconnu"))</f>
        <v/>
      </c>
      <c r="D360" s="8">
        <f>IF(A360="","",IFERROR(VLOOKUP(B360,TblArticles,3,FALSE),""))</f>
        <v/>
      </c>
      <c r="E360" s="9">
        <f>IFERROR(DATE(2000+VALUE(MID(A360,FIND("15",A360,FIND("01",A360)+16)+2,2)),VALUE(MID(A360,FIND("15",A360,FIND("01",A360)+16)+4,2)),VALUE(MID(A360,FIND("15",A360,FIND("01",A360)+16)+6,2))),"")</f>
        <v/>
      </c>
      <c r="F360" s="8">
        <f>IFERROR(MID(A360,FIND("10",A360,FIND("15",A360,FIND("01",A360)+16)+8)+2,50),"")</f>
        <v/>
      </c>
      <c r="G360" s="8" t="n"/>
    </row>
    <row r="361">
      <c r="A361" s="4" t="n"/>
      <c r="B361" s="5">
        <f>IFERROR(MID(A361,FIND("01",A361)+2,14),"")</f>
        <v/>
      </c>
      <c r="C361" s="4">
        <f>IF(A361="","",IFERROR(VLOOKUP(B361,TblArticles,2,FALSE),"GTIN inconnu"))</f>
        <v/>
      </c>
      <c r="D361" s="5">
        <f>IF(A361="","",IFERROR(VLOOKUP(B361,TblArticles,3,FALSE),""))</f>
        <v/>
      </c>
      <c r="E361" s="6">
        <f>IFERROR(DATE(2000+VALUE(MID(A361,FIND("15",A361,FIND("01",A361)+16)+2,2)),VALUE(MID(A361,FIND("15",A361,FIND("01",A361)+16)+4,2)),VALUE(MID(A361,FIND("15",A361,FIND("01",A361)+16)+6,2))),"")</f>
        <v/>
      </c>
      <c r="F361" s="5">
        <f>IFERROR(MID(A361,FIND("10",A361,FIND("15",A361,FIND("01",A361)+16)+8)+2,50),"")</f>
        <v/>
      </c>
      <c r="G361" s="5" t="n"/>
    </row>
    <row r="362">
      <c r="A362" s="7" t="n"/>
      <c r="B362" s="8">
        <f>IFERROR(MID(A362,FIND("01",A362)+2,14),"")</f>
        <v/>
      </c>
      <c r="C362" s="7">
        <f>IF(A362="","",IFERROR(VLOOKUP(B362,TblArticles,2,FALSE),"GTIN inconnu"))</f>
        <v/>
      </c>
      <c r="D362" s="8">
        <f>IF(A362="","",IFERROR(VLOOKUP(B362,TblArticles,3,FALSE),""))</f>
        <v/>
      </c>
      <c r="E362" s="9">
        <f>IFERROR(DATE(2000+VALUE(MID(A362,FIND("15",A362,FIND("01",A362)+16)+2,2)),VALUE(MID(A362,FIND("15",A362,FIND("01",A362)+16)+4,2)),VALUE(MID(A362,FIND("15",A362,FIND("01",A362)+16)+6,2))),"")</f>
        <v/>
      </c>
      <c r="F362" s="8">
        <f>IFERROR(MID(A362,FIND("10",A362,FIND("15",A362,FIND("01",A362)+16)+8)+2,50),"")</f>
        <v/>
      </c>
      <c r="G362" s="8" t="n"/>
    </row>
    <row r="363">
      <c r="A363" s="4" t="n"/>
      <c r="B363" s="5">
        <f>IFERROR(MID(A363,FIND("01",A363)+2,14),"")</f>
        <v/>
      </c>
      <c r="C363" s="4">
        <f>IF(A363="","",IFERROR(VLOOKUP(B363,TblArticles,2,FALSE),"GTIN inconnu"))</f>
        <v/>
      </c>
      <c r="D363" s="5">
        <f>IF(A363="","",IFERROR(VLOOKUP(B363,TblArticles,3,FALSE),""))</f>
        <v/>
      </c>
      <c r="E363" s="6">
        <f>IFERROR(DATE(2000+VALUE(MID(A363,FIND("15",A363,FIND("01",A363)+16)+2,2)),VALUE(MID(A363,FIND("15",A363,FIND("01",A363)+16)+4,2)),VALUE(MID(A363,FIND("15",A363,FIND("01",A363)+16)+6,2))),"")</f>
        <v/>
      </c>
      <c r="F363" s="5">
        <f>IFERROR(MID(A363,FIND("10",A363,FIND("15",A363,FIND("01",A363)+16)+8)+2,50),"")</f>
        <v/>
      </c>
      <c r="G363" s="5" t="n"/>
    </row>
    <row r="364">
      <c r="A364" s="7" t="n"/>
      <c r="B364" s="8">
        <f>IFERROR(MID(A364,FIND("01",A364)+2,14),"")</f>
        <v/>
      </c>
      <c r="C364" s="7">
        <f>IF(A364="","",IFERROR(VLOOKUP(B364,TblArticles,2,FALSE),"GTIN inconnu"))</f>
        <v/>
      </c>
      <c r="D364" s="8">
        <f>IF(A364="","",IFERROR(VLOOKUP(B364,TblArticles,3,FALSE),""))</f>
        <v/>
      </c>
      <c r="E364" s="9">
        <f>IFERROR(DATE(2000+VALUE(MID(A364,FIND("15",A364,FIND("01",A364)+16)+2,2)),VALUE(MID(A364,FIND("15",A364,FIND("01",A364)+16)+4,2)),VALUE(MID(A364,FIND("15",A364,FIND("01",A364)+16)+6,2))),"")</f>
        <v/>
      </c>
      <c r="F364" s="8">
        <f>IFERROR(MID(A364,FIND("10",A364,FIND("15",A364,FIND("01",A364)+16)+8)+2,50),"")</f>
        <v/>
      </c>
      <c r="G364" s="8" t="n"/>
    </row>
    <row r="365">
      <c r="A365" s="4" t="n"/>
      <c r="B365" s="5">
        <f>IFERROR(MID(A365,FIND("01",A365)+2,14),"")</f>
        <v/>
      </c>
      <c r="C365" s="4">
        <f>IF(A365="","",IFERROR(VLOOKUP(B365,TblArticles,2,FALSE),"GTIN inconnu"))</f>
        <v/>
      </c>
      <c r="D365" s="5">
        <f>IF(A365="","",IFERROR(VLOOKUP(B365,TblArticles,3,FALSE),""))</f>
        <v/>
      </c>
      <c r="E365" s="6">
        <f>IFERROR(DATE(2000+VALUE(MID(A365,FIND("15",A365,FIND("01",A365)+16)+2,2)),VALUE(MID(A365,FIND("15",A365,FIND("01",A365)+16)+4,2)),VALUE(MID(A365,FIND("15",A365,FIND("01",A365)+16)+6,2))),"")</f>
        <v/>
      </c>
      <c r="F365" s="5">
        <f>IFERROR(MID(A365,FIND("10",A365,FIND("15",A365,FIND("01",A365)+16)+8)+2,50),"")</f>
        <v/>
      </c>
      <c r="G365" s="5" t="n"/>
    </row>
    <row r="366">
      <c r="A366" s="7" t="n"/>
      <c r="B366" s="8">
        <f>IFERROR(MID(A366,FIND("01",A366)+2,14),"")</f>
        <v/>
      </c>
      <c r="C366" s="7">
        <f>IF(A366="","",IFERROR(VLOOKUP(B366,TblArticles,2,FALSE),"GTIN inconnu"))</f>
        <v/>
      </c>
      <c r="D366" s="8">
        <f>IF(A366="","",IFERROR(VLOOKUP(B366,TblArticles,3,FALSE),""))</f>
        <v/>
      </c>
      <c r="E366" s="9">
        <f>IFERROR(DATE(2000+VALUE(MID(A366,FIND("15",A366,FIND("01",A366)+16)+2,2)),VALUE(MID(A366,FIND("15",A366,FIND("01",A366)+16)+4,2)),VALUE(MID(A366,FIND("15",A366,FIND("01",A366)+16)+6,2))),"")</f>
        <v/>
      </c>
      <c r="F366" s="8">
        <f>IFERROR(MID(A366,FIND("10",A366,FIND("15",A366,FIND("01",A366)+16)+8)+2,50),"")</f>
        <v/>
      </c>
      <c r="G366" s="8" t="n"/>
    </row>
    <row r="367">
      <c r="A367" s="4" t="n"/>
      <c r="B367" s="5">
        <f>IFERROR(MID(A367,FIND("01",A367)+2,14),"")</f>
        <v/>
      </c>
      <c r="C367" s="4">
        <f>IF(A367="","",IFERROR(VLOOKUP(B367,TblArticles,2,FALSE),"GTIN inconnu"))</f>
        <v/>
      </c>
      <c r="D367" s="5">
        <f>IF(A367="","",IFERROR(VLOOKUP(B367,TblArticles,3,FALSE),""))</f>
        <v/>
      </c>
      <c r="E367" s="6">
        <f>IFERROR(DATE(2000+VALUE(MID(A367,FIND("15",A367,FIND("01",A367)+16)+2,2)),VALUE(MID(A367,FIND("15",A367,FIND("01",A367)+16)+4,2)),VALUE(MID(A367,FIND("15",A367,FIND("01",A367)+16)+6,2))),"")</f>
        <v/>
      </c>
      <c r="F367" s="5">
        <f>IFERROR(MID(A367,FIND("10",A367,FIND("15",A367,FIND("01",A367)+16)+8)+2,50),"")</f>
        <v/>
      </c>
      <c r="G367" s="5" t="n"/>
    </row>
    <row r="368">
      <c r="A368" s="7" t="n"/>
      <c r="B368" s="8">
        <f>IFERROR(MID(A368,FIND("01",A368)+2,14),"")</f>
        <v/>
      </c>
      <c r="C368" s="7">
        <f>IF(A368="","",IFERROR(VLOOKUP(B368,TblArticles,2,FALSE),"GTIN inconnu"))</f>
        <v/>
      </c>
      <c r="D368" s="8">
        <f>IF(A368="","",IFERROR(VLOOKUP(B368,TblArticles,3,FALSE),""))</f>
        <v/>
      </c>
      <c r="E368" s="9">
        <f>IFERROR(DATE(2000+VALUE(MID(A368,FIND("15",A368,FIND("01",A368)+16)+2,2)),VALUE(MID(A368,FIND("15",A368,FIND("01",A368)+16)+4,2)),VALUE(MID(A368,FIND("15",A368,FIND("01",A368)+16)+6,2))),"")</f>
        <v/>
      </c>
      <c r="F368" s="8">
        <f>IFERROR(MID(A368,FIND("10",A368,FIND("15",A368,FIND("01",A368)+16)+8)+2,50),"")</f>
        <v/>
      </c>
      <c r="G368" s="8" t="n"/>
    </row>
    <row r="369">
      <c r="A369" s="4" t="n"/>
      <c r="B369" s="5">
        <f>IFERROR(MID(A369,FIND("01",A369)+2,14),"")</f>
        <v/>
      </c>
      <c r="C369" s="4">
        <f>IF(A369="","",IFERROR(VLOOKUP(B369,TblArticles,2,FALSE),"GTIN inconnu"))</f>
        <v/>
      </c>
      <c r="D369" s="5">
        <f>IF(A369="","",IFERROR(VLOOKUP(B369,TblArticles,3,FALSE),""))</f>
        <v/>
      </c>
      <c r="E369" s="6">
        <f>IFERROR(DATE(2000+VALUE(MID(A369,FIND("15",A369,FIND("01",A369)+16)+2,2)),VALUE(MID(A369,FIND("15",A369,FIND("01",A369)+16)+4,2)),VALUE(MID(A369,FIND("15",A369,FIND("01",A369)+16)+6,2))),"")</f>
        <v/>
      </c>
      <c r="F369" s="5">
        <f>IFERROR(MID(A369,FIND("10",A369,FIND("15",A369,FIND("01",A369)+16)+8)+2,50),"")</f>
        <v/>
      </c>
      <c r="G369" s="5" t="n"/>
    </row>
    <row r="370">
      <c r="A370" s="7" t="n"/>
      <c r="B370" s="8">
        <f>IFERROR(MID(A370,FIND("01",A370)+2,14),"")</f>
        <v/>
      </c>
      <c r="C370" s="7">
        <f>IF(A370="","",IFERROR(VLOOKUP(B370,TblArticles,2,FALSE),"GTIN inconnu"))</f>
        <v/>
      </c>
      <c r="D370" s="8">
        <f>IF(A370="","",IFERROR(VLOOKUP(B370,TblArticles,3,FALSE),""))</f>
        <v/>
      </c>
      <c r="E370" s="9">
        <f>IFERROR(DATE(2000+VALUE(MID(A370,FIND("15",A370,FIND("01",A370)+16)+2,2)),VALUE(MID(A370,FIND("15",A370,FIND("01",A370)+16)+4,2)),VALUE(MID(A370,FIND("15",A370,FIND("01",A370)+16)+6,2))),"")</f>
        <v/>
      </c>
      <c r="F370" s="8">
        <f>IFERROR(MID(A370,FIND("10",A370,FIND("15",A370,FIND("01",A370)+16)+8)+2,50),"")</f>
        <v/>
      </c>
      <c r="G370" s="8" t="n"/>
    </row>
    <row r="371">
      <c r="A371" s="4" t="n"/>
      <c r="B371" s="5">
        <f>IFERROR(MID(A371,FIND("01",A371)+2,14),"")</f>
        <v/>
      </c>
      <c r="C371" s="4">
        <f>IF(A371="","",IFERROR(VLOOKUP(B371,TblArticles,2,FALSE),"GTIN inconnu"))</f>
        <v/>
      </c>
      <c r="D371" s="5">
        <f>IF(A371="","",IFERROR(VLOOKUP(B371,TblArticles,3,FALSE),""))</f>
        <v/>
      </c>
      <c r="E371" s="6">
        <f>IFERROR(DATE(2000+VALUE(MID(A371,FIND("15",A371,FIND("01",A371)+16)+2,2)),VALUE(MID(A371,FIND("15",A371,FIND("01",A371)+16)+4,2)),VALUE(MID(A371,FIND("15",A371,FIND("01",A371)+16)+6,2))),"")</f>
        <v/>
      </c>
      <c r="F371" s="5">
        <f>IFERROR(MID(A371,FIND("10",A371,FIND("15",A371,FIND("01",A371)+16)+8)+2,50),"")</f>
        <v/>
      </c>
      <c r="G371" s="5" t="n"/>
    </row>
    <row r="372">
      <c r="A372" s="7" t="n"/>
      <c r="B372" s="8">
        <f>IFERROR(MID(A372,FIND("01",A372)+2,14),"")</f>
        <v/>
      </c>
      <c r="C372" s="7">
        <f>IF(A372="","",IFERROR(VLOOKUP(B372,TblArticles,2,FALSE),"GTIN inconnu"))</f>
        <v/>
      </c>
      <c r="D372" s="8">
        <f>IF(A372="","",IFERROR(VLOOKUP(B372,TblArticles,3,FALSE),""))</f>
        <v/>
      </c>
      <c r="E372" s="9">
        <f>IFERROR(DATE(2000+VALUE(MID(A372,FIND("15",A372,FIND("01",A372)+16)+2,2)),VALUE(MID(A372,FIND("15",A372,FIND("01",A372)+16)+4,2)),VALUE(MID(A372,FIND("15",A372,FIND("01",A372)+16)+6,2))),"")</f>
        <v/>
      </c>
      <c r="F372" s="8">
        <f>IFERROR(MID(A372,FIND("10",A372,FIND("15",A372,FIND("01",A372)+16)+8)+2,50),"")</f>
        <v/>
      </c>
      <c r="G372" s="8" t="n"/>
    </row>
    <row r="373">
      <c r="A373" s="4" t="n"/>
      <c r="B373" s="5">
        <f>IFERROR(MID(A373,FIND("01",A373)+2,14),"")</f>
        <v/>
      </c>
      <c r="C373" s="4">
        <f>IF(A373="","",IFERROR(VLOOKUP(B373,TblArticles,2,FALSE),"GTIN inconnu"))</f>
        <v/>
      </c>
      <c r="D373" s="5">
        <f>IF(A373="","",IFERROR(VLOOKUP(B373,TblArticles,3,FALSE),""))</f>
        <v/>
      </c>
      <c r="E373" s="6">
        <f>IFERROR(DATE(2000+VALUE(MID(A373,FIND("15",A373,FIND("01",A373)+16)+2,2)),VALUE(MID(A373,FIND("15",A373,FIND("01",A373)+16)+4,2)),VALUE(MID(A373,FIND("15",A373,FIND("01",A373)+16)+6,2))),"")</f>
        <v/>
      </c>
      <c r="F373" s="5">
        <f>IFERROR(MID(A373,FIND("10",A373,FIND("15",A373,FIND("01",A373)+16)+8)+2,50),"")</f>
        <v/>
      </c>
      <c r="G373" s="5" t="n"/>
    </row>
    <row r="374">
      <c r="A374" s="7" t="n"/>
      <c r="B374" s="8">
        <f>IFERROR(MID(A374,FIND("01",A374)+2,14),"")</f>
        <v/>
      </c>
      <c r="C374" s="7">
        <f>IF(A374="","",IFERROR(VLOOKUP(B374,TblArticles,2,FALSE),"GTIN inconnu"))</f>
        <v/>
      </c>
      <c r="D374" s="8">
        <f>IF(A374="","",IFERROR(VLOOKUP(B374,TblArticles,3,FALSE),""))</f>
        <v/>
      </c>
      <c r="E374" s="9">
        <f>IFERROR(DATE(2000+VALUE(MID(A374,FIND("15",A374,FIND("01",A374)+16)+2,2)),VALUE(MID(A374,FIND("15",A374,FIND("01",A374)+16)+4,2)),VALUE(MID(A374,FIND("15",A374,FIND("01",A374)+16)+6,2))),"")</f>
        <v/>
      </c>
      <c r="F374" s="8">
        <f>IFERROR(MID(A374,FIND("10",A374,FIND("15",A374,FIND("01",A374)+16)+8)+2,50),"")</f>
        <v/>
      </c>
      <c r="G374" s="8" t="n"/>
    </row>
    <row r="375">
      <c r="A375" s="4" t="n"/>
      <c r="B375" s="5">
        <f>IFERROR(MID(A375,FIND("01",A375)+2,14),"")</f>
        <v/>
      </c>
      <c r="C375" s="4">
        <f>IF(A375="","",IFERROR(VLOOKUP(B375,TblArticles,2,FALSE),"GTIN inconnu"))</f>
        <v/>
      </c>
      <c r="D375" s="5">
        <f>IF(A375="","",IFERROR(VLOOKUP(B375,TblArticles,3,FALSE),""))</f>
        <v/>
      </c>
      <c r="E375" s="6">
        <f>IFERROR(DATE(2000+VALUE(MID(A375,FIND("15",A375,FIND("01",A375)+16)+2,2)),VALUE(MID(A375,FIND("15",A375,FIND("01",A375)+16)+4,2)),VALUE(MID(A375,FIND("15",A375,FIND("01",A375)+16)+6,2))),"")</f>
        <v/>
      </c>
      <c r="F375" s="5">
        <f>IFERROR(MID(A375,FIND("10",A375,FIND("15",A375,FIND("01",A375)+16)+8)+2,50),"")</f>
        <v/>
      </c>
      <c r="G375" s="5" t="n"/>
    </row>
    <row r="376">
      <c r="A376" s="7" t="n"/>
      <c r="B376" s="8">
        <f>IFERROR(MID(A376,FIND("01",A376)+2,14),"")</f>
        <v/>
      </c>
      <c r="C376" s="7">
        <f>IF(A376="","",IFERROR(VLOOKUP(B376,TblArticles,2,FALSE),"GTIN inconnu"))</f>
        <v/>
      </c>
      <c r="D376" s="8">
        <f>IF(A376="","",IFERROR(VLOOKUP(B376,TblArticles,3,FALSE),""))</f>
        <v/>
      </c>
      <c r="E376" s="9">
        <f>IFERROR(DATE(2000+VALUE(MID(A376,FIND("15",A376,FIND("01",A376)+16)+2,2)),VALUE(MID(A376,FIND("15",A376,FIND("01",A376)+16)+4,2)),VALUE(MID(A376,FIND("15",A376,FIND("01",A376)+16)+6,2))),"")</f>
        <v/>
      </c>
      <c r="F376" s="8">
        <f>IFERROR(MID(A376,FIND("10",A376,FIND("15",A376,FIND("01",A376)+16)+8)+2,50),"")</f>
        <v/>
      </c>
      <c r="G376" s="8" t="n"/>
    </row>
    <row r="377">
      <c r="A377" s="4" t="n"/>
      <c r="B377" s="5">
        <f>IFERROR(MID(A377,FIND("01",A377)+2,14),"")</f>
        <v/>
      </c>
      <c r="C377" s="4">
        <f>IF(A377="","",IFERROR(VLOOKUP(B377,TblArticles,2,FALSE),"GTIN inconnu"))</f>
        <v/>
      </c>
      <c r="D377" s="5">
        <f>IF(A377="","",IFERROR(VLOOKUP(B377,TblArticles,3,FALSE),""))</f>
        <v/>
      </c>
      <c r="E377" s="6">
        <f>IFERROR(DATE(2000+VALUE(MID(A377,FIND("15",A377,FIND("01",A377)+16)+2,2)),VALUE(MID(A377,FIND("15",A377,FIND("01",A377)+16)+4,2)),VALUE(MID(A377,FIND("15",A377,FIND("01",A377)+16)+6,2))),"")</f>
        <v/>
      </c>
      <c r="F377" s="5">
        <f>IFERROR(MID(A377,FIND("10",A377,FIND("15",A377,FIND("01",A377)+16)+8)+2,50),"")</f>
        <v/>
      </c>
      <c r="G377" s="5" t="n"/>
    </row>
    <row r="378">
      <c r="A378" s="7" t="n"/>
      <c r="B378" s="8">
        <f>IFERROR(MID(A378,FIND("01",A378)+2,14),"")</f>
        <v/>
      </c>
      <c r="C378" s="7">
        <f>IF(A378="","",IFERROR(VLOOKUP(B378,TblArticles,2,FALSE),"GTIN inconnu"))</f>
        <v/>
      </c>
      <c r="D378" s="8">
        <f>IF(A378="","",IFERROR(VLOOKUP(B378,TblArticles,3,FALSE),""))</f>
        <v/>
      </c>
      <c r="E378" s="9">
        <f>IFERROR(DATE(2000+VALUE(MID(A378,FIND("15",A378,FIND("01",A378)+16)+2,2)),VALUE(MID(A378,FIND("15",A378,FIND("01",A378)+16)+4,2)),VALUE(MID(A378,FIND("15",A378,FIND("01",A378)+16)+6,2))),"")</f>
        <v/>
      </c>
      <c r="F378" s="8">
        <f>IFERROR(MID(A378,FIND("10",A378,FIND("15",A378,FIND("01",A378)+16)+8)+2,50),"")</f>
        <v/>
      </c>
      <c r="G378" s="8" t="n"/>
    </row>
    <row r="379">
      <c r="A379" s="4" t="n"/>
      <c r="B379" s="5">
        <f>IFERROR(MID(A379,FIND("01",A379)+2,14),"")</f>
        <v/>
      </c>
      <c r="C379" s="4">
        <f>IF(A379="","",IFERROR(VLOOKUP(B379,TblArticles,2,FALSE),"GTIN inconnu"))</f>
        <v/>
      </c>
      <c r="D379" s="5">
        <f>IF(A379="","",IFERROR(VLOOKUP(B379,TblArticles,3,FALSE),""))</f>
        <v/>
      </c>
      <c r="E379" s="6">
        <f>IFERROR(DATE(2000+VALUE(MID(A379,FIND("15",A379,FIND("01",A379)+16)+2,2)),VALUE(MID(A379,FIND("15",A379,FIND("01",A379)+16)+4,2)),VALUE(MID(A379,FIND("15",A379,FIND("01",A379)+16)+6,2))),"")</f>
        <v/>
      </c>
      <c r="F379" s="5">
        <f>IFERROR(MID(A379,FIND("10",A379,FIND("15",A379,FIND("01",A379)+16)+8)+2,50),"")</f>
        <v/>
      </c>
      <c r="G379" s="5" t="n"/>
    </row>
    <row r="380">
      <c r="A380" s="7" t="n"/>
      <c r="B380" s="8">
        <f>IFERROR(MID(A380,FIND("01",A380)+2,14),"")</f>
        <v/>
      </c>
      <c r="C380" s="7">
        <f>IF(A380="","",IFERROR(VLOOKUP(B380,TblArticles,2,FALSE),"GTIN inconnu"))</f>
        <v/>
      </c>
      <c r="D380" s="8">
        <f>IF(A380="","",IFERROR(VLOOKUP(B380,TblArticles,3,FALSE),""))</f>
        <v/>
      </c>
      <c r="E380" s="9">
        <f>IFERROR(DATE(2000+VALUE(MID(A380,FIND("15",A380,FIND("01",A380)+16)+2,2)),VALUE(MID(A380,FIND("15",A380,FIND("01",A380)+16)+4,2)),VALUE(MID(A380,FIND("15",A380,FIND("01",A380)+16)+6,2))),"")</f>
        <v/>
      </c>
      <c r="F380" s="8">
        <f>IFERROR(MID(A380,FIND("10",A380,FIND("15",A380,FIND("01",A380)+16)+8)+2,50),"")</f>
        <v/>
      </c>
      <c r="G380" s="8" t="n"/>
    </row>
    <row r="381">
      <c r="A381" s="4" t="n"/>
      <c r="B381" s="5">
        <f>IFERROR(MID(A381,FIND("01",A381)+2,14),"")</f>
        <v/>
      </c>
      <c r="C381" s="4">
        <f>IF(A381="","",IFERROR(VLOOKUP(B381,TblArticles,2,FALSE),"GTIN inconnu"))</f>
        <v/>
      </c>
      <c r="D381" s="5">
        <f>IF(A381="","",IFERROR(VLOOKUP(B381,TblArticles,3,FALSE),""))</f>
        <v/>
      </c>
      <c r="E381" s="6">
        <f>IFERROR(DATE(2000+VALUE(MID(A381,FIND("15",A381,FIND("01",A381)+16)+2,2)),VALUE(MID(A381,FIND("15",A381,FIND("01",A381)+16)+4,2)),VALUE(MID(A381,FIND("15",A381,FIND("01",A381)+16)+6,2))),"")</f>
        <v/>
      </c>
      <c r="F381" s="5">
        <f>IFERROR(MID(A381,FIND("10",A381,FIND("15",A381,FIND("01",A381)+16)+8)+2,50),"")</f>
        <v/>
      </c>
      <c r="G381" s="5" t="n"/>
    </row>
    <row r="382">
      <c r="A382" s="7" t="n"/>
      <c r="B382" s="8">
        <f>IFERROR(MID(A382,FIND("01",A382)+2,14),"")</f>
        <v/>
      </c>
      <c r="C382" s="7">
        <f>IF(A382="","",IFERROR(VLOOKUP(B382,TblArticles,2,FALSE),"GTIN inconnu"))</f>
        <v/>
      </c>
      <c r="D382" s="8">
        <f>IF(A382="","",IFERROR(VLOOKUP(B382,TblArticles,3,FALSE),""))</f>
        <v/>
      </c>
      <c r="E382" s="9">
        <f>IFERROR(DATE(2000+VALUE(MID(A382,FIND("15",A382,FIND("01",A382)+16)+2,2)),VALUE(MID(A382,FIND("15",A382,FIND("01",A382)+16)+4,2)),VALUE(MID(A382,FIND("15",A382,FIND("01",A382)+16)+6,2))),"")</f>
        <v/>
      </c>
      <c r="F382" s="8">
        <f>IFERROR(MID(A382,FIND("10",A382,FIND("15",A382,FIND("01",A382)+16)+8)+2,50),"")</f>
        <v/>
      </c>
      <c r="G382" s="8" t="n"/>
    </row>
    <row r="383">
      <c r="A383" s="4" t="n"/>
      <c r="B383" s="5">
        <f>IFERROR(MID(A383,FIND("01",A383)+2,14),"")</f>
        <v/>
      </c>
      <c r="C383" s="4">
        <f>IF(A383="","",IFERROR(VLOOKUP(B383,TblArticles,2,FALSE),"GTIN inconnu"))</f>
        <v/>
      </c>
      <c r="D383" s="5">
        <f>IF(A383="","",IFERROR(VLOOKUP(B383,TblArticles,3,FALSE),""))</f>
        <v/>
      </c>
      <c r="E383" s="6">
        <f>IFERROR(DATE(2000+VALUE(MID(A383,FIND("15",A383,FIND("01",A383)+16)+2,2)),VALUE(MID(A383,FIND("15",A383,FIND("01",A383)+16)+4,2)),VALUE(MID(A383,FIND("15",A383,FIND("01",A383)+16)+6,2))),"")</f>
        <v/>
      </c>
      <c r="F383" s="5">
        <f>IFERROR(MID(A383,FIND("10",A383,FIND("15",A383,FIND("01",A383)+16)+8)+2,50),"")</f>
        <v/>
      </c>
      <c r="G383" s="5" t="n"/>
    </row>
    <row r="384">
      <c r="A384" s="7" t="n"/>
      <c r="B384" s="8">
        <f>IFERROR(MID(A384,FIND("01",A384)+2,14),"")</f>
        <v/>
      </c>
      <c r="C384" s="7">
        <f>IF(A384="","",IFERROR(VLOOKUP(B384,TblArticles,2,FALSE),"GTIN inconnu"))</f>
        <v/>
      </c>
      <c r="D384" s="8">
        <f>IF(A384="","",IFERROR(VLOOKUP(B384,TblArticles,3,FALSE),""))</f>
        <v/>
      </c>
      <c r="E384" s="9">
        <f>IFERROR(DATE(2000+VALUE(MID(A384,FIND("15",A384,FIND("01",A384)+16)+2,2)),VALUE(MID(A384,FIND("15",A384,FIND("01",A384)+16)+4,2)),VALUE(MID(A384,FIND("15",A384,FIND("01",A384)+16)+6,2))),"")</f>
        <v/>
      </c>
      <c r="F384" s="8">
        <f>IFERROR(MID(A384,FIND("10",A384,FIND("15",A384,FIND("01",A384)+16)+8)+2,50),"")</f>
        <v/>
      </c>
      <c r="G384" s="8" t="n"/>
    </row>
    <row r="385">
      <c r="A385" s="4" t="n"/>
      <c r="B385" s="5">
        <f>IFERROR(MID(A385,FIND("01",A385)+2,14),"")</f>
        <v/>
      </c>
      <c r="C385" s="4">
        <f>IF(A385="","",IFERROR(VLOOKUP(B385,TblArticles,2,FALSE),"GTIN inconnu"))</f>
        <v/>
      </c>
      <c r="D385" s="5">
        <f>IF(A385="","",IFERROR(VLOOKUP(B385,TblArticles,3,FALSE),""))</f>
        <v/>
      </c>
      <c r="E385" s="6">
        <f>IFERROR(DATE(2000+VALUE(MID(A385,FIND("15",A385,FIND("01",A385)+16)+2,2)),VALUE(MID(A385,FIND("15",A385,FIND("01",A385)+16)+4,2)),VALUE(MID(A385,FIND("15",A385,FIND("01",A385)+16)+6,2))),"")</f>
        <v/>
      </c>
      <c r="F385" s="5">
        <f>IFERROR(MID(A385,FIND("10",A385,FIND("15",A385,FIND("01",A385)+16)+8)+2,50),"")</f>
        <v/>
      </c>
      <c r="G385" s="5" t="n"/>
    </row>
    <row r="386">
      <c r="A386" s="7" t="n"/>
      <c r="B386" s="8">
        <f>IFERROR(MID(A386,FIND("01",A386)+2,14),"")</f>
        <v/>
      </c>
      <c r="C386" s="7">
        <f>IF(A386="","",IFERROR(VLOOKUP(B386,TblArticles,2,FALSE),"GTIN inconnu"))</f>
        <v/>
      </c>
      <c r="D386" s="8">
        <f>IF(A386="","",IFERROR(VLOOKUP(B386,TblArticles,3,FALSE),""))</f>
        <v/>
      </c>
      <c r="E386" s="9">
        <f>IFERROR(DATE(2000+VALUE(MID(A386,FIND("15",A386,FIND("01",A386)+16)+2,2)),VALUE(MID(A386,FIND("15",A386,FIND("01",A386)+16)+4,2)),VALUE(MID(A386,FIND("15",A386,FIND("01",A386)+16)+6,2))),"")</f>
        <v/>
      </c>
      <c r="F386" s="8">
        <f>IFERROR(MID(A386,FIND("10",A386,FIND("15",A386,FIND("01",A386)+16)+8)+2,50),"")</f>
        <v/>
      </c>
      <c r="G386" s="8" t="n"/>
    </row>
    <row r="387">
      <c r="A387" s="4" t="n"/>
      <c r="B387" s="5">
        <f>IFERROR(MID(A387,FIND("01",A387)+2,14),"")</f>
        <v/>
      </c>
      <c r="C387" s="4">
        <f>IF(A387="","",IFERROR(VLOOKUP(B387,TblArticles,2,FALSE),"GTIN inconnu"))</f>
        <v/>
      </c>
      <c r="D387" s="5">
        <f>IF(A387="","",IFERROR(VLOOKUP(B387,TblArticles,3,FALSE),""))</f>
        <v/>
      </c>
      <c r="E387" s="6">
        <f>IFERROR(DATE(2000+VALUE(MID(A387,FIND("15",A387,FIND("01",A387)+16)+2,2)),VALUE(MID(A387,FIND("15",A387,FIND("01",A387)+16)+4,2)),VALUE(MID(A387,FIND("15",A387,FIND("01",A387)+16)+6,2))),"")</f>
        <v/>
      </c>
      <c r="F387" s="5">
        <f>IFERROR(MID(A387,FIND("10",A387,FIND("15",A387,FIND("01",A387)+16)+8)+2,50),"")</f>
        <v/>
      </c>
      <c r="G387" s="5" t="n"/>
    </row>
    <row r="388">
      <c r="A388" s="7" t="n"/>
      <c r="B388" s="8">
        <f>IFERROR(MID(A388,FIND("01",A388)+2,14),"")</f>
        <v/>
      </c>
      <c r="C388" s="7">
        <f>IF(A388="","",IFERROR(VLOOKUP(B388,TblArticles,2,FALSE),"GTIN inconnu"))</f>
        <v/>
      </c>
      <c r="D388" s="8">
        <f>IF(A388="","",IFERROR(VLOOKUP(B388,TblArticles,3,FALSE),""))</f>
        <v/>
      </c>
      <c r="E388" s="9">
        <f>IFERROR(DATE(2000+VALUE(MID(A388,FIND("15",A388,FIND("01",A388)+16)+2,2)),VALUE(MID(A388,FIND("15",A388,FIND("01",A388)+16)+4,2)),VALUE(MID(A388,FIND("15",A388,FIND("01",A388)+16)+6,2))),"")</f>
        <v/>
      </c>
      <c r="F388" s="8">
        <f>IFERROR(MID(A388,FIND("10",A388,FIND("15",A388,FIND("01",A388)+16)+8)+2,50),"")</f>
        <v/>
      </c>
      <c r="G388" s="8" t="n"/>
    </row>
    <row r="389">
      <c r="A389" s="4" t="n"/>
      <c r="B389" s="5">
        <f>IFERROR(MID(A389,FIND("01",A389)+2,14),"")</f>
        <v/>
      </c>
      <c r="C389" s="4">
        <f>IF(A389="","",IFERROR(VLOOKUP(B389,TblArticles,2,FALSE),"GTIN inconnu"))</f>
        <v/>
      </c>
      <c r="D389" s="5">
        <f>IF(A389="","",IFERROR(VLOOKUP(B389,TblArticles,3,FALSE),""))</f>
        <v/>
      </c>
      <c r="E389" s="6">
        <f>IFERROR(DATE(2000+VALUE(MID(A389,FIND("15",A389,FIND("01",A389)+16)+2,2)),VALUE(MID(A389,FIND("15",A389,FIND("01",A389)+16)+4,2)),VALUE(MID(A389,FIND("15",A389,FIND("01",A389)+16)+6,2))),"")</f>
        <v/>
      </c>
      <c r="F389" s="5">
        <f>IFERROR(MID(A389,FIND("10",A389,FIND("15",A389,FIND("01",A389)+16)+8)+2,50),"")</f>
        <v/>
      </c>
      <c r="G389" s="5" t="n"/>
    </row>
    <row r="390">
      <c r="A390" s="7" t="n"/>
      <c r="B390" s="8">
        <f>IFERROR(MID(A390,FIND("01",A390)+2,14),"")</f>
        <v/>
      </c>
      <c r="C390" s="7">
        <f>IF(A390="","",IFERROR(VLOOKUP(B390,TblArticles,2,FALSE),"GTIN inconnu"))</f>
        <v/>
      </c>
      <c r="D390" s="8">
        <f>IF(A390="","",IFERROR(VLOOKUP(B390,TblArticles,3,FALSE),""))</f>
        <v/>
      </c>
      <c r="E390" s="9">
        <f>IFERROR(DATE(2000+VALUE(MID(A390,FIND("15",A390,FIND("01",A390)+16)+2,2)),VALUE(MID(A390,FIND("15",A390,FIND("01",A390)+16)+4,2)),VALUE(MID(A390,FIND("15",A390,FIND("01",A390)+16)+6,2))),"")</f>
        <v/>
      </c>
      <c r="F390" s="8">
        <f>IFERROR(MID(A390,FIND("10",A390,FIND("15",A390,FIND("01",A390)+16)+8)+2,50),"")</f>
        <v/>
      </c>
      <c r="G390" s="8" t="n"/>
    </row>
    <row r="391">
      <c r="A391" s="4" t="n"/>
      <c r="B391" s="5">
        <f>IFERROR(MID(A391,FIND("01",A391)+2,14),"")</f>
        <v/>
      </c>
      <c r="C391" s="4">
        <f>IF(A391="","",IFERROR(VLOOKUP(B391,TblArticles,2,FALSE),"GTIN inconnu"))</f>
        <v/>
      </c>
      <c r="D391" s="5">
        <f>IF(A391="","",IFERROR(VLOOKUP(B391,TblArticles,3,FALSE),""))</f>
        <v/>
      </c>
      <c r="E391" s="6">
        <f>IFERROR(DATE(2000+VALUE(MID(A391,FIND("15",A391,FIND("01",A391)+16)+2,2)),VALUE(MID(A391,FIND("15",A391,FIND("01",A391)+16)+4,2)),VALUE(MID(A391,FIND("15",A391,FIND("01",A391)+16)+6,2))),"")</f>
        <v/>
      </c>
      <c r="F391" s="5">
        <f>IFERROR(MID(A391,FIND("10",A391,FIND("15",A391,FIND("01",A391)+16)+8)+2,50),"")</f>
        <v/>
      </c>
      <c r="G391" s="5" t="n"/>
    </row>
    <row r="392">
      <c r="A392" s="7" t="n"/>
      <c r="B392" s="8">
        <f>IFERROR(MID(A392,FIND("01",A392)+2,14),"")</f>
        <v/>
      </c>
      <c r="C392" s="7">
        <f>IF(A392="","",IFERROR(VLOOKUP(B392,TblArticles,2,FALSE),"GTIN inconnu"))</f>
        <v/>
      </c>
      <c r="D392" s="8">
        <f>IF(A392="","",IFERROR(VLOOKUP(B392,TblArticles,3,FALSE),""))</f>
        <v/>
      </c>
      <c r="E392" s="9">
        <f>IFERROR(DATE(2000+VALUE(MID(A392,FIND("15",A392,FIND("01",A392)+16)+2,2)),VALUE(MID(A392,FIND("15",A392,FIND("01",A392)+16)+4,2)),VALUE(MID(A392,FIND("15",A392,FIND("01",A392)+16)+6,2))),"")</f>
        <v/>
      </c>
      <c r="F392" s="8">
        <f>IFERROR(MID(A392,FIND("10",A392,FIND("15",A392,FIND("01",A392)+16)+8)+2,50),"")</f>
        <v/>
      </c>
      <c r="G392" s="8" t="n"/>
    </row>
    <row r="393">
      <c r="A393" s="4" t="n"/>
      <c r="B393" s="5">
        <f>IFERROR(MID(A393,FIND("01",A393)+2,14),"")</f>
        <v/>
      </c>
      <c r="C393" s="4">
        <f>IF(A393="","",IFERROR(VLOOKUP(B393,TblArticles,2,FALSE),"GTIN inconnu"))</f>
        <v/>
      </c>
      <c r="D393" s="5">
        <f>IF(A393="","",IFERROR(VLOOKUP(B393,TblArticles,3,FALSE),""))</f>
        <v/>
      </c>
      <c r="E393" s="6">
        <f>IFERROR(DATE(2000+VALUE(MID(A393,FIND("15",A393,FIND("01",A393)+16)+2,2)),VALUE(MID(A393,FIND("15",A393,FIND("01",A393)+16)+4,2)),VALUE(MID(A393,FIND("15",A393,FIND("01",A393)+16)+6,2))),"")</f>
        <v/>
      </c>
      <c r="F393" s="5">
        <f>IFERROR(MID(A393,FIND("10",A393,FIND("15",A393,FIND("01",A393)+16)+8)+2,50),"")</f>
        <v/>
      </c>
      <c r="G393" s="5" t="n"/>
    </row>
    <row r="394">
      <c r="A394" s="7" t="n"/>
      <c r="B394" s="8">
        <f>IFERROR(MID(A394,FIND("01",A394)+2,14),"")</f>
        <v/>
      </c>
      <c r="C394" s="7">
        <f>IF(A394="","",IFERROR(VLOOKUP(B394,TblArticles,2,FALSE),"GTIN inconnu"))</f>
        <v/>
      </c>
      <c r="D394" s="8">
        <f>IF(A394="","",IFERROR(VLOOKUP(B394,TblArticles,3,FALSE),""))</f>
        <v/>
      </c>
      <c r="E394" s="9">
        <f>IFERROR(DATE(2000+VALUE(MID(A394,FIND("15",A394,FIND("01",A394)+16)+2,2)),VALUE(MID(A394,FIND("15",A394,FIND("01",A394)+16)+4,2)),VALUE(MID(A394,FIND("15",A394,FIND("01",A394)+16)+6,2))),"")</f>
        <v/>
      </c>
      <c r="F394" s="8">
        <f>IFERROR(MID(A394,FIND("10",A394,FIND("15",A394,FIND("01",A394)+16)+8)+2,50),"")</f>
        <v/>
      </c>
      <c r="G394" s="8" t="n"/>
    </row>
    <row r="395">
      <c r="A395" s="4" t="n"/>
      <c r="B395" s="5">
        <f>IFERROR(MID(A395,FIND("01",A395)+2,14),"")</f>
        <v/>
      </c>
      <c r="C395" s="4">
        <f>IF(A395="","",IFERROR(VLOOKUP(B395,TblArticles,2,FALSE),"GTIN inconnu"))</f>
        <v/>
      </c>
      <c r="D395" s="5">
        <f>IF(A395="","",IFERROR(VLOOKUP(B395,TblArticles,3,FALSE),""))</f>
        <v/>
      </c>
      <c r="E395" s="6">
        <f>IFERROR(DATE(2000+VALUE(MID(A395,FIND("15",A395,FIND("01",A395)+16)+2,2)),VALUE(MID(A395,FIND("15",A395,FIND("01",A395)+16)+4,2)),VALUE(MID(A395,FIND("15",A395,FIND("01",A395)+16)+6,2))),"")</f>
        <v/>
      </c>
      <c r="F395" s="5">
        <f>IFERROR(MID(A395,FIND("10",A395,FIND("15",A395,FIND("01",A395)+16)+8)+2,50),"")</f>
        <v/>
      </c>
      <c r="G395" s="5" t="n"/>
    </row>
    <row r="396">
      <c r="A396" s="7" t="n"/>
      <c r="B396" s="8">
        <f>IFERROR(MID(A396,FIND("01",A396)+2,14),"")</f>
        <v/>
      </c>
      <c r="C396" s="7">
        <f>IF(A396="","",IFERROR(VLOOKUP(B396,TblArticles,2,FALSE),"GTIN inconnu"))</f>
        <v/>
      </c>
      <c r="D396" s="8">
        <f>IF(A396="","",IFERROR(VLOOKUP(B396,TblArticles,3,FALSE),""))</f>
        <v/>
      </c>
      <c r="E396" s="9">
        <f>IFERROR(DATE(2000+VALUE(MID(A396,FIND("15",A396,FIND("01",A396)+16)+2,2)),VALUE(MID(A396,FIND("15",A396,FIND("01",A396)+16)+4,2)),VALUE(MID(A396,FIND("15",A396,FIND("01",A396)+16)+6,2))),"")</f>
        <v/>
      </c>
      <c r="F396" s="8">
        <f>IFERROR(MID(A396,FIND("10",A396,FIND("15",A396,FIND("01",A396)+16)+8)+2,50),"")</f>
        <v/>
      </c>
      <c r="G396" s="8" t="n"/>
    </row>
    <row r="397">
      <c r="A397" s="4" t="n"/>
      <c r="B397" s="5">
        <f>IFERROR(MID(A397,FIND("01",A397)+2,14),"")</f>
        <v/>
      </c>
      <c r="C397" s="4">
        <f>IF(A397="","",IFERROR(VLOOKUP(B397,TblArticles,2,FALSE),"GTIN inconnu"))</f>
        <v/>
      </c>
      <c r="D397" s="5">
        <f>IF(A397="","",IFERROR(VLOOKUP(B397,TblArticles,3,FALSE),""))</f>
        <v/>
      </c>
      <c r="E397" s="6">
        <f>IFERROR(DATE(2000+VALUE(MID(A397,FIND("15",A397,FIND("01",A397)+16)+2,2)),VALUE(MID(A397,FIND("15",A397,FIND("01",A397)+16)+4,2)),VALUE(MID(A397,FIND("15",A397,FIND("01",A397)+16)+6,2))),"")</f>
        <v/>
      </c>
      <c r="F397" s="5">
        <f>IFERROR(MID(A397,FIND("10",A397,FIND("15",A397,FIND("01",A397)+16)+8)+2,50),"")</f>
        <v/>
      </c>
      <c r="G397" s="5" t="n"/>
    </row>
    <row r="398">
      <c r="A398" s="7" t="n"/>
      <c r="B398" s="8">
        <f>IFERROR(MID(A398,FIND("01",A398)+2,14),"")</f>
        <v/>
      </c>
      <c r="C398" s="7">
        <f>IF(A398="","",IFERROR(VLOOKUP(B398,TblArticles,2,FALSE),"GTIN inconnu"))</f>
        <v/>
      </c>
      <c r="D398" s="8">
        <f>IF(A398="","",IFERROR(VLOOKUP(B398,TblArticles,3,FALSE),""))</f>
        <v/>
      </c>
      <c r="E398" s="9">
        <f>IFERROR(DATE(2000+VALUE(MID(A398,FIND("15",A398,FIND("01",A398)+16)+2,2)),VALUE(MID(A398,FIND("15",A398,FIND("01",A398)+16)+4,2)),VALUE(MID(A398,FIND("15",A398,FIND("01",A398)+16)+6,2))),"")</f>
        <v/>
      </c>
      <c r="F398" s="8">
        <f>IFERROR(MID(A398,FIND("10",A398,FIND("15",A398,FIND("01",A398)+16)+8)+2,50),"")</f>
        <v/>
      </c>
      <c r="G398" s="8" t="n"/>
    </row>
    <row r="399">
      <c r="A399" s="4" t="n"/>
      <c r="B399" s="5">
        <f>IFERROR(MID(A399,FIND("01",A399)+2,14),"")</f>
        <v/>
      </c>
      <c r="C399" s="4">
        <f>IF(A399="","",IFERROR(VLOOKUP(B399,TblArticles,2,FALSE),"GTIN inconnu"))</f>
        <v/>
      </c>
      <c r="D399" s="5">
        <f>IF(A399="","",IFERROR(VLOOKUP(B399,TblArticles,3,FALSE),""))</f>
        <v/>
      </c>
      <c r="E399" s="6">
        <f>IFERROR(DATE(2000+VALUE(MID(A399,FIND("15",A399,FIND("01",A399)+16)+2,2)),VALUE(MID(A399,FIND("15",A399,FIND("01",A399)+16)+4,2)),VALUE(MID(A399,FIND("15",A399,FIND("01",A399)+16)+6,2))),"")</f>
        <v/>
      </c>
      <c r="F399" s="5">
        <f>IFERROR(MID(A399,FIND("10",A399,FIND("15",A399,FIND("01",A399)+16)+8)+2,50),"")</f>
        <v/>
      </c>
      <c r="G399" s="5" t="n"/>
    </row>
    <row r="400">
      <c r="A400" s="7" t="n"/>
      <c r="B400" s="8">
        <f>IFERROR(MID(A400,FIND("01",A400)+2,14),"")</f>
        <v/>
      </c>
      <c r="C400" s="7">
        <f>IF(A400="","",IFERROR(VLOOKUP(B400,TblArticles,2,FALSE),"GTIN inconnu"))</f>
        <v/>
      </c>
      <c r="D400" s="8">
        <f>IF(A400="","",IFERROR(VLOOKUP(B400,TblArticles,3,FALSE),""))</f>
        <v/>
      </c>
      <c r="E400" s="9">
        <f>IFERROR(DATE(2000+VALUE(MID(A400,FIND("15",A400,FIND("01",A400)+16)+2,2)),VALUE(MID(A400,FIND("15",A400,FIND("01",A400)+16)+4,2)),VALUE(MID(A400,FIND("15",A400,FIND("01",A400)+16)+6,2))),"")</f>
        <v/>
      </c>
      <c r="F400" s="8">
        <f>IFERROR(MID(A400,FIND("10",A400,FIND("15",A400,FIND("01",A400)+16)+8)+2,50),"")</f>
        <v/>
      </c>
      <c r="G400" s="8" t="n"/>
    </row>
    <row r="401">
      <c r="A401" s="4" t="n"/>
      <c r="B401" s="5">
        <f>IFERROR(MID(A401,FIND("01",A401)+2,14),"")</f>
        <v/>
      </c>
      <c r="C401" s="4">
        <f>IF(A401="","",IFERROR(VLOOKUP(B401,TblArticles,2,FALSE),"GTIN inconnu"))</f>
        <v/>
      </c>
      <c r="D401" s="5">
        <f>IF(A401="","",IFERROR(VLOOKUP(B401,TblArticles,3,FALSE),""))</f>
        <v/>
      </c>
      <c r="E401" s="6">
        <f>IFERROR(DATE(2000+VALUE(MID(A401,FIND("15",A401,FIND("01",A401)+16)+2,2)),VALUE(MID(A401,FIND("15",A401,FIND("01",A401)+16)+4,2)),VALUE(MID(A401,FIND("15",A401,FIND("01",A401)+16)+6,2))),"")</f>
        <v/>
      </c>
      <c r="F401" s="5">
        <f>IFERROR(MID(A401,FIND("10",A401,FIND("15",A401,FIND("01",A401)+16)+8)+2,50),"")</f>
        <v/>
      </c>
      <c r="G401" s="5" t="n"/>
    </row>
    <row r="402">
      <c r="A402" s="7" t="n"/>
      <c r="B402" s="8">
        <f>IFERROR(MID(A402,FIND("01",A402)+2,14),"")</f>
        <v/>
      </c>
      <c r="C402" s="7">
        <f>IF(A402="","",IFERROR(VLOOKUP(B402,TblArticles,2,FALSE),"GTIN inconnu"))</f>
        <v/>
      </c>
      <c r="D402" s="8">
        <f>IF(A402="","",IFERROR(VLOOKUP(B402,TblArticles,3,FALSE),""))</f>
        <v/>
      </c>
      <c r="E402" s="9">
        <f>IFERROR(DATE(2000+VALUE(MID(A402,FIND("15",A402,FIND("01",A402)+16)+2,2)),VALUE(MID(A402,FIND("15",A402,FIND("01",A402)+16)+4,2)),VALUE(MID(A402,FIND("15",A402,FIND("01",A402)+16)+6,2))),"")</f>
        <v/>
      </c>
      <c r="F402" s="8">
        <f>IFERROR(MID(A402,FIND("10",A402,FIND("15",A402,FIND("01",A402)+16)+8)+2,50),"")</f>
        <v/>
      </c>
      <c r="G402" s="8" t="n"/>
    </row>
    <row r="403">
      <c r="A403" s="4" t="n"/>
      <c r="B403" s="5">
        <f>IFERROR(MID(A403,FIND("01",A403)+2,14),"")</f>
        <v/>
      </c>
      <c r="C403" s="4">
        <f>IF(A403="","",IFERROR(VLOOKUP(B403,TblArticles,2,FALSE),"GTIN inconnu"))</f>
        <v/>
      </c>
      <c r="D403" s="5">
        <f>IF(A403="","",IFERROR(VLOOKUP(B403,TblArticles,3,FALSE),""))</f>
        <v/>
      </c>
      <c r="E403" s="6">
        <f>IFERROR(DATE(2000+VALUE(MID(A403,FIND("15",A403,FIND("01",A403)+16)+2,2)),VALUE(MID(A403,FIND("15",A403,FIND("01",A403)+16)+4,2)),VALUE(MID(A403,FIND("15",A403,FIND("01",A403)+16)+6,2))),"")</f>
        <v/>
      </c>
      <c r="F403" s="5">
        <f>IFERROR(MID(A403,FIND("10",A403,FIND("15",A403,FIND("01",A403)+16)+8)+2,50),"")</f>
        <v/>
      </c>
      <c r="G403" s="5" t="n"/>
    </row>
    <row r="404">
      <c r="A404" s="7" t="n"/>
      <c r="B404" s="8">
        <f>IFERROR(MID(A404,FIND("01",A404)+2,14),"")</f>
        <v/>
      </c>
      <c r="C404" s="7">
        <f>IF(A404="","",IFERROR(VLOOKUP(B404,TblArticles,2,FALSE),"GTIN inconnu"))</f>
        <v/>
      </c>
      <c r="D404" s="8">
        <f>IF(A404="","",IFERROR(VLOOKUP(B404,TblArticles,3,FALSE),""))</f>
        <v/>
      </c>
      <c r="E404" s="9">
        <f>IFERROR(DATE(2000+VALUE(MID(A404,FIND("15",A404,FIND("01",A404)+16)+2,2)),VALUE(MID(A404,FIND("15",A404,FIND("01",A404)+16)+4,2)),VALUE(MID(A404,FIND("15",A404,FIND("01",A404)+16)+6,2))),"")</f>
        <v/>
      </c>
      <c r="F404" s="8">
        <f>IFERROR(MID(A404,FIND("10",A404,FIND("15",A404,FIND("01",A404)+16)+8)+2,50),"")</f>
        <v/>
      </c>
      <c r="G404" s="8" t="n"/>
    </row>
    <row r="405">
      <c r="A405" s="4" t="n"/>
      <c r="B405" s="5">
        <f>IFERROR(MID(A405,FIND("01",A405)+2,14),"")</f>
        <v/>
      </c>
      <c r="C405" s="4">
        <f>IF(A405="","",IFERROR(VLOOKUP(B405,TblArticles,2,FALSE),"GTIN inconnu"))</f>
        <v/>
      </c>
      <c r="D405" s="5">
        <f>IF(A405="","",IFERROR(VLOOKUP(B405,TblArticles,3,FALSE),""))</f>
        <v/>
      </c>
      <c r="E405" s="6">
        <f>IFERROR(DATE(2000+VALUE(MID(A405,FIND("15",A405,FIND("01",A405)+16)+2,2)),VALUE(MID(A405,FIND("15",A405,FIND("01",A405)+16)+4,2)),VALUE(MID(A405,FIND("15",A405,FIND("01",A405)+16)+6,2))),"")</f>
        <v/>
      </c>
      <c r="F405" s="5">
        <f>IFERROR(MID(A405,FIND("10",A405,FIND("15",A405,FIND("01",A405)+16)+8)+2,50),"")</f>
        <v/>
      </c>
      <c r="G405" s="5" t="n"/>
    </row>
    <row r="406">
      <c r="A406" s="7" t="n"/>
      <c r="B406" s="8">
        <f>IFERROR(MID(A406,FIND("01",A406)+2,14),"")</f>
        <v/>
      </c>
      <c r="C406" s="7">
        <f>IF(A406="","",IFERROR(VLOOKUP(B406,TblArticles,2,FALSE),"GTIN inconnu"))</f>
        <v/>
      </c>
      <c r="D406" s="8">
        <f>IF(A406="","",IFERROR(VLOOKUP(B406,TblArticles,3,FALSE),""))</f>
        <v/>
      </c>
      <c r="E406" s="9">
        <f>IFERROR(DATE(2000+VALUE(MID(A406,FIND("15",A406,FIND("01",A406)+16)+2,2)),VALUE(MID(A406,FIND("15",A406,FIND("01",A406)+16)+4,2)),VALUE(MID(A406,FIND("15",A406,FIND("01",A406)+16)+6,2))),"")</f>
        <v/>
      </c>
      <c r="F406" s="8">
        <f>IFERROR(MID(A406,FIND("10",A406,FIND("15",A406,FIND("01",A406)+16)+8)+2,50),"")</f>
        <v/>
      </c>
      <c r="G406" s="8" t="n"/>
    </row>
    <row r="407">
      <c r="A407" s="4" t="n"/>
      <c r="B407" s="5">
        <f>IFERROR(MID(A407,FIND("01",A407)+2,14),"")</f>
        <v/>
      </c>
      <c r="C407" s="4">
        <f>IF(A407="","",IFERROR(VLOOKUP(B407,TblArticles,2,FALSE),"GTIN inconnu"))</f>
        <v/>
      </c>
      <c r="D407" s="5">
        <f>IF(A407="","",IFERROR(VLOOKUP(B407,TblArticles,3,FALSE),""))</f>
        <v/>
      </c>
      <c r="E407" s="6">
        <f>IFERROR(DATE(2000+VALUE(MID(A407,FIND("15",A407,FIND("01",A407)+16)+2,2)),VALUE(MID(A407,FIND("15",A407,FIND("01",A407)+16)+4,2)),VALUE(MID(A407,FIND("15",A407,FIND("01",A407)+16)+6,2))),"")</f>
        <v/>
      </c>
      <c r="F407" s="5">
        <f>IFERROR(MID(A407,FIND("10",A407,FIND("15",A407,FIND("01",A407)+16)+8)+2,50),"")</f>
        <v/>
      </c>
      <c r="G407" s="5" t="n"/>
    </row>
    <row r="408">
      <c r="A408" s="7" t="n"/>
      <c r="B408" s="8">
        <f>IFERROR(MID(A408,FIND("01",A408)+2,14),"")</f>
        <v/>
      </c>
      <c r="C408" s="7">
        <f>IF(A408="","",IFERROR(VLOOKUP(B408,TblArticles,2,FALSE),"GTIN inconnu"))</f>
        <v/>
      </c>
      <c r="D408" s="8">
        <f>IF(A408="","",IFERROR(VLOOKUP(B408,TblArticles,3,FALSE),""))</f>
        <v/>
      </c>
      <c r="E408" s="9">
        <f>IFERROR(DATE(2000+VALUE(MID(A408,FIND("15",A408,FIND("01",A408)+16)+2,2)),VALUE(MID(A408,FIND("15",A408,FIND("01",A408)+16)+4,2)),VALUE(MID(A408,FIND("15",A408,FIND("01",A408)+16)+6,2))),"")</f>
        <v/>
      </c>
      <c r="F408" s="8">
        <f>IFERROR(MID(A408,FIND("10",A408,FIND("15",A408,FIND("01",A408)+16)+8)+2,50),"")</f>
        <v/>
      </c>
      <c r="G408" s="8" t="n"/>
    </row>
    <row r="409">
      <c r="A409" s="4" t="n"/>
      <c r="B409" s="5">
        <f>IFERROR(MID(A409,FIND("01",A409)+2,14),"")</f>
        <v/>
      </c>
      <c r="C409" s="4">
        <f>IF(A409="","",IFERROR(VLOOKUP(B409,TblArticles,2,FALSE),"GTIN inconnu"))</f>
        <v/>
      </c>
      <c r="D409" s="5">
        <f>IF(A409="","",IFERROR(VLOOKUP(B409,TblArticles,3,FALSE),""))</f>
        <v/>
      </c>
      <c r="E409" s="6">
        <f>IFERROR(DATE(2000+VALUE(MID(A409,FIND("15",A409,FIND("01",A409)+16)+2,2)),VALUE(MID(A409,FIND("15",A409,FIND("01",A409)+16)+4,2)),VALUE(MID(A409,FIND("15",A409,FIND("01",A409)+16)+6,2))),"")</f>
        <v/>
      </c>
      <c r="F409" s="5">
        <f>IFERROR(MID(A409,FIND("10",A409,FIND("15",A409,FIND("01",A409)+16)+8)+2,50),"")</f>
        <v/>
      </c>
      <c r="G409" s="5" t="n"/>
    </row>
    <row r="410">
      <c r="A410" s="7" t="n"/>
      <c r="B410" s="8">
        <f>IFERROR(MID(A410,FIND("01",A410)+2,14),"")</f>
        <v/>
      </c>
      <c r="C410" s="7">
        <f>IF(A410="","",IFERROR(VLOOKUP(B410,TblArticles,2,FALSE),"GTIN inconnu"))</f>
        <v/>
      </c>
      <c r="D410" s="8">
        <f>IF(A410="","",IFERROR(VLOOKUP(B410,TblArticles,3,FALSE),""))</f>
        <v/>
      </c>
      <c r="E410" s="9">
        <f>IFERROR(DATE(2000+VALUE(MID(A410,FIND("15",A410,FIND("01",A410)+16)+2,2)),VALUE(MID(A410,FIND("15",A410,FIND("01",A410)+16)+4,2)),VALUE(MID(A410,FIND("15",A410,FIND("01",A410)+16)+6,2))),"")</f>
        <v/>
      </c>
      <c r="F410" s="8">
        <f>IFERROR(MID(A410,FIND("10",A410,FIND("15",A410,FIND("01",A410)+16)+8)+2,50),"")</f>
        <v/>
      </c>
      <c r="G410" s="8" t="n"/>
    </row>
    <row r="411">
      <c r="A411" s="4" t="n"/>
      <c r="B411" s="5">
        <f>IFERROR(MID(A411,FIND("01",A411)+2,14),"")</f>
        <v/>
      </c>
      <c r="C411" s="4">
        <f>IF(A411="","",IFERROR(VLOOKUP(B411,TblArticles,2,FALSE),"GTIN inconnu"))</f>
        <v/>
      </c>
      <c r="D411" s="5">
        <f>IF(A411="","",IFERROR(VLOOKUP(B411,TblArticles,3,FALSE),""))</f>
        <v/>
      </c>
      <c r="E411" s="6">
        <f>IFERROR(DATE(2000+VALUE(MID(A411,FIND("15",A411,FIND("01",A411)+16)+2,2)),VALUE(MID(A411,FIND("15",A411,FIND("01",A411)+16)+4,2)),VALUE(MID(A411,FIND("15",A411,FIND("01",A411)+16)+6,2))),"")</f>
        <v/>
      </c>
      <c r="F411" s="5">
        <f>IFERROR(MID(A411,FIND("10",A411,FIND("15",A411,FIND("01",A411)+16)+8)+2,50),"")</f>
        <v/>
      </c>
      <c r="G411" s="5" t="n"/>
    </row>
    <row r="412">
      <c r="A412" s="7" t="n"/>
      <c r="B412" s="8">
        <f>IFERROR(MID(A412,FIND("01",A412)+2,14),"")</f>
        <v/>
      </c>
      <c r="C412" s="7">
        <f>IF(A412="","",IFERROR(VLOOKUP(B412,TblArticles,2,FALSE),"GTIN inconnu"))</f>
        <v/>
      </c>
      <c r="D412" s="8">
        <f>IF(A412="","",IFERROR(VLOOKUP(B412,TblArticles,3,FALSE),""))</f>
        <v/>
      </c>
      <c r="E412" s="9">
        <f>IFERROR(DATE(2000+VALUE(MID(A412,FIND("15",A412,FIND("01",A412)+16)+2,2)),VALUE(MID(A412,FIND("15",A412,FIND("01",A412)+16)+4,2)),VALUE(MID(A412,FIND("15",A412,FIND("01",A412)+16)+6,2))),"")</f>
        <v/>
      </c>
      <c r="F412" s="8">
        <f>IFERROR(MID(A412,FIND("10",A412,FIND("15",A412,FIND("01",A412)+16)+8)+2,50),"")</f>
        <v/>
      </c>
      <c r="G412" s="8" t="n"/>
    </row>
    <row r="413">
      <c r="A413" s="4" t="n"/>
      <c r="B413" s="5">
        <f>IFERROR(MID(A413,FIND("01",A413)+2,14),"")</f>
        <v/>
      </c>
      <c r="C413" s="4">
        <f>IF(A413="","",IFERROR(VLOOKUP(B413,TblArticles,2,FALSE),"GTIN inconnu"))</f>
        <v/>
      </c>
      <c r="D413" s="5">
        <f>IF(A413="","",IFERROR(VLOOKUP(B413,TblArticles,3,FALSE),""))</f>
        <v/>
      </c>
      <c r="E413" s="6">
        <f>IFERROR(DATE(2000+VALUE(MID(A413,FIND("15",A413,FIND("01",A413)+16)+2,2)),VALUE(MID(A413,FIND("15",A413,FIND("01",A413)+16)+4,2)),VALUE(MID(A413,FIND("15",A413,FIND("01",A413)+16)+6,2))),"")</f>
        <v/>
      </c>
      <c r="F413" s="5">
        <f>IFERROR(MID(A413,FIND("10",A413,FIND("15",A413,FIND("01",A413)+16)+8)+2,50),"")</f>
        <v/>
      </c>
      <c r="G413" s="5" t="n"/>
    </row>
    <row r="414">
      <c r="A414" s="7" t="n"/>
      <c r="B414" s="8">
        <f>IFERROR(MID(A414,FIND("01",A414)+2,14),"")</f>
        <v/>
      </c>
      <c r="C414" s="7">
        <f>IF(A414="","",IFERROR(VLOOKUP(B414,TblArticles,2,FALSE),"GTIN inconnu"))</f>
        <v/>
      </c>
      <c r="D414" s="8">
        <f>IF(A414="","",IFERROR(VLOOKUP(B414,TblArticles,3,FALSE),""))</f>
        <v/>
      </c>
      <c r="E414" s="9">
        <f>IFERROR(DATE(2000+VALUE(MID(A414,FIND("15",A414,FIND("01",A414)+16)+2,2)),VALUE(MID(A414,FIND("15",A414,FIND("01",A414)+16)+4,2)),VALUE(MID(A414,FIND("15",A414,FIND("01",A414)+16)+6,2))),"")</f>
        <v/>
      </c>
      <c r="F414" s="8">
        <f>IFERROR(MID(A414,FIND("10",A414,FIND("15",A414,FIND("01",A414)+16)+8)+2,50),"")</f>
        <v/>
      </c>
      <c r="G414" s="8" t="n"/>
    </row>
    <row r="415">
      <c r="A415" s="4" t="n"/>
      <c r="B415" s="5">
        <f>IFERROR(MID(A415,FIND("01",A415)+2,14),"")</f>
        <v/>
      </c>
      <c r="C415" s="4">
        <f>IF(A415="","",IFERROR(VLOOKUP(B415,TblArticles,2,FALSE),"GTIN inconnu"))</f>
        <v/>
      </c>
      <c r="D415" s="5">
        <f>IF(A415="","",IFERROR(VLOOKUP(B415,TblArticles,3,FALSE),""))</f>
        <v/>
      </c>
      <c r="E415" s="6">
        <f>IFERROR(DATE(2000+VALUE(MID(A415,FIND("15",A415,FIND("01",A415)+16)+2,2)),VALUE(MID(A415,FIND("15",A415,FIND("01",A415)+16)+4,2)),VALUE(MID(A415,FIND("15",A415,FIND("01",A415)+16)+6,2))),"")</f>
        <v/>
      </c>
      <c r="F415" s="5">
        <f>IFERROR(MID(A415,FIND("10",A415,FIND("15",A415,FIND("01",A415)+16)+8)+2,50),"")</f>
        <v/>
      </c>
      <c r="G415" s="5" t="n"/>
    </row>
    <row r="416">
      <c r="A416" s="7" t="n"/>
      <c r="B416" s="8">
        <f>IFERROR(MID(A416,FIND("01",A416)+2,14),"")</f>
        <v/>
      </c>
      <c r="C416" s="7">
        <f>IF(A416="","",IFERROR(VLOOKUP(B416,TblArticles,2,FALSE),"GTIN inconnu"))</f>
        <v/>
      </c>
      <c r="D416" s="8">
        <f>IF(A416="","",IFERROR(VLOOKUP(B416,TblArticles,3,FALSE),""))</f>
        <v/>
      </c>
      <c r="E416" s="9">
        <f>IFERROR(DATE(2000+VALUE(MID(A416,FIND("15",A416,FIND("01",A416)+16)+2,2)),VALUE(MID(A416,FIND("15",A416,FIND("01",A416)+16)+4,2)),VALUE(MID(A416,FIND("15",A416,FIND("01",A416)+16)+6,2))),"")</f>
        <v/>
      </c>
      <c r="F416" s="8">
        <f>IFERROR(MID(A416,FIND("10",A416,FIND("15",A416,FIND("01",A416)+16)+8)+2,50),"")</f>
        <v/>
      </c>
      <c r="G416" s="8" t="n"/>
    </row>
    <row r="417">
      <c r="A417" s="4" t="n"/>
      <c r="B417" s="5">
        <f>IFERROR(MID(A417,FIND("01",A417)+2,14),"")</f>
        <v/>
      </c>
      <c r="C417" s="4">
        <f>IF(A417="","",IFERROR(VLOOKUP(B417,TblArticles,2,FALSE),"GTIN inconnu"))</f>
        <v/>
      </c>
      <c r="D417" s="5">
        <f>IF(A417="","",IFERROR(VLOOKUP(B417,TblArticles,3,FALSE),""))</f>
        <v/>
      </c>
      <c r="E417" s="6">
        <f>IFERROR(DATE(2000+VALUE(MID(A417,FIND("15",A417,FIND("01",A417)+16)+2,2)),VALUE(MID(A417,FIND("15",A417,FIND("01",A417)+16)+4,2)),VALUE(MID(A417,FIND("15",A417,FIND("01",A417)+16)+6,2))),"")</f>
        <v/>
      </c>
      <c r="F417" s="5">
        <f>IFERROR(MID(A417,FIND("10",A417,FIND("15",A417,FIND("01",A417)+16)+8)+2,50),"")</f>
        <v/>
      </c>
      <c r="G417" s="5" t="n"/>
    </row>
    <row r="418">
      <c r="A418" s="7" t="n"/>
      <c r="B418" s="8">
        <f>IFERROR(MID(A418,FIND("01",A418)+2,14),"")</f>
        <v/>
      </c>
      <c r="C418" s="7">
        <f>IF(A418="","",IFERROR(VLOOKUP(B418,TblArticles,2,FALSE),"GTIN inconnu"))</f>
        <v/>
      </c>
      <c r="D418" s="8">
        <f>IF(A418="","",IFERROR(VLOOKUP(B418,TblArticles,3,FALSE),""))</f>
        <v/>
      </c>
      <c r="E418" s="9">
        <f>IFERROR(DATE(2000+VALUE(MID(A418,FIND("15",A418,FIND("01",A418)+16)+2,2)),VALUE(MID(A418,FIND("15",A418,FIND("01",A418)+16)+4,2)),VALUE(MID(A418,FIND("15",A418,FIND("01",A418)+16)+6,2))),"")</f>
        <v/>
      </c>
      <c r="F418" s="8">
        <f>IFERROR(MID(A418,FIND("10",A418,FIND("15",A418,FIND("01",A418)+16)+8)+2,50),"")</f>
        <v/>
      </c>
      <c r="G418" s="8" t="n"/>
    </row>
    <row r="419">
      <c r="A419" s="4" t="n"/>
      <c r="B419" s="5">
        <f>IFERROR(MID(A419,FIND("01",A419)+2,14),"")</f>
        <v/>
      </c>
      <c r="C419" s="4">
        <f>IF(A419="","",IFERROR(VLOOKUP(B419,TblArticles,2,FALSE),"GTIN inconnu"))</f>
        <v/>
      </c>
      <c r="D419" s="5">
        <f>IF(A419="","",IFERROR(VLOOKUP(B419,TblArticles,3,FALSE),""))</f>
        <v/>
      </c>
      <c r="E419" s="6">
        <f>IFERROR(DATE(2000+VALUE(MID(A419,FIND("15",A419,FIND("01",A419)+16)+2,2)),VALUE(MID(A419,FIND("15",A419,FIND("01",A419)+16)+4,2)),VALUE(MID(A419,FIND("15",A419,FIND("01",A419)+16)+6,2))),"")</f>
        <v/>
      </c>
      <c r="F419" s="5">
        <f>IFERROR(MID(A419,FIND("10",A419,FIND("15",A419,FIND("01",A419)+16)+8)+2,50),"")</f>
        <v/>
      </c>
      <c r="G419" s="5" t="n"/>
    </row>
    <row r="420">
      <c r="A420" s="7" t="n"/>
      <c r="B420" s="8">
        <f>IFERROR(MID(A420,FIND("01",A420)+2,14),"")</f>
        <v/>
      </c>
      <c r="C420" s="7">
        <f>IF(A420="","",IFERROR(VLOOKUP(B420,TblArticles,2,FALSE),"GTIN inconnu"))</f>
        <v/>
      </c>
      <c r="D420" s="8">
        <f>IF(A420="","",IFERROR(VLOOKUP(B420,TblArticles,3,FALSE),""))</f>
        <v/>
      </c>
      <c r="E420" s="9">
        <f>IFERROR(DATE(2000+VALUE(MID(A420,FIND("15",A420,FIND("01",A420)+16)+2,2)),VALUE(MID(A420,FIND("15",A420,FIND("01",A420)+16)+4,2)),VALUE(MID(A420,FIND("15",A420,FIND("01",A420)+16)+6,2))),"")</f>
        <v/>
      </c>
      <c r="F420" s="8">
        <f>IFERROR(MID(A420,FIND("10",A420,FIND("15",A420,FIND("01",A420)+16)+8)+2,50),"")</f>
        <v/>
      </c>
      <c r="G420" s="8" t="n"/>
    </row>
    <row r="421">
      <c r="A421" s="4" t="n"/>
      <c r="B421" s="5">
        <f>IFERROR(MID(A421,FIND("01",A421)+2,14),"")</f>
        <v/>
      </c>
      <c r="C421" s="4">
        <f>IF(A421="","",IFERROR(VLOOKUP(B421,TblArticles,2,FALSE),"GTIN inconnu"))</f>
        <v/>
      </c>
      <c r="D421" s="5">
        <f>IF(A421="","",IFERROR(VLOOKUP(B421,TblArticles,3,FALSE),""))</f>
        <v/>
      </c>
      <c r="E421" s="6">
        <f>IFERROR(DATE(2000+VALUE(MID(A421,FIND("15",A421,FIND("01",A421)+16)+2,2)),VALUE(MID(A421,FIND("15",A421,FIND("01",A421)+16)+4,2)),VALUE(MID(A421,FIND("15",A421,FIND("01",A421)+16)+6,2))),"")</f>
        <v/>
      </c>
      <c r="F421" s="5">
        <f>IFERROR(MID(A421,FIND("10",A421,FIND("15",A421,FIND("01",A421)+16)+8)+2,50),"")</f>
        <v/>
      </c>
      <c r="G421" s="5" t="n"/>
    </row>
    <row r="422">
      <c r="A422" s="7" t="n"/>
      <c r="B422" s="8">
        <f>IFERROR(MID(A422,FIND("01",A422)+2,14),"")</f>
        <v/>
      </c>
      <c r="C422" s="7">
        <f>IF(A422="","",IFERROR(VLOOKUP(B422,TblArticles,2,FALSE),"GTIN inconnu"))</f>
        <v/>
      </c>
      <c r="D422" s="8">
        <f>IF(A422="","",IFERROR(VLOOKUP(B422,TblArticles,3,FALSE),""))</f>
        <v/>
      </c>
      <c r="E422" s="9">
        <f>IFERROR(DATE(2000+VALUE(MID(A422,FIND("15",A422,FIND("01",A422)+16)+2,2)),VALUE(MID(A422,FIND("15",A422,FIND("01",A422)+16)+4,2)),VALUE(MID(A422,FIND("15",A422,FIND("01",A422)+16)+6,2))),"")</f>
        <v/>
      </c>
      <c r="F422" s="8">
        <f>IFERROR(MID(A422,FIND("10",A422,FIND("15",A422,FIND("01",A422)+16)+8)+2,50),"")</f>
        <v/>
      </c>
      <c r="G422" s="8" t="n"/>
    </row>
    <row r="423">
      <c r="A423" s="4" t="n"/>
      <c r="B423" s="5">
        <f>IFERROR(MID(A423,FIND("01",A423)+2,14),"")</f>
        <v/>
      </c>
      <c r="C423" s="4">
        <f>IF(A423="","",IFERROR(VLOOKUP(B423,TblArticles,2,FALSE),"GTIN inconnu"))</f>
        <v/>
      </c>
      <c r="D423" s="5">
        <f>IF(A423="","",IFERROR(VLOOKUP(B423,TblArticles,3,FALSE),""))</f>
        <v/>
      </c>
      <c r="E423" s="6">
        <f>IFERROR(DATE(2000+VALUE(MID(A423,FIND("15",A423,FIND("01",A423)+16)+2,2)),VALUE(MID(A423,FIND("15",A423,FIND("01",A423)+16)+4,2)),VALUE(MID(A423,FIND("15",A423,FIND("01",A423)+16)+6,2))),"")</f>
        <v/>
      </c>
      <c r="F423" s="5">
        <f>IFERROR(MID(A423,FIND("10",A423,FIND("15",A423,FIND("01",A423)+16)+8)+2,50),"")</f>
        <v/>
      </c>
      <c r="G423" s="5" t="n"/>
    </row>
    <row r="424">
      <c r="A424" s="7" t="n"/>
      <c r="B424" s="8">
        <f>IFERROR(MID(A424,FIND("01",A424)+2,14),"")</f>
        <v/>
      </c>
      <c r="C424" s="7">
        <f>IF(A424="","",IFERROR(VLOOKUP(B424,TblArticles,2,FALSE),"GTIN inconnu"))</f>
        <v/>
      </c>
      <c r="D424" s="8">
        <f>IF(A424="","",IFERROR(VLOOKUP(B424,TblArticles,3,FALSE),""))</f>
        <v/>
      </c>
      <c r="E424" s="9">
        <f>IFERROR(DATE(2000+VALUE(MID(A424,FIND("15",A424,FIND("01",A424)+16)+2,2)),VALUE(MID(A424,FIND("15",A424,FIND("01",A424)+16)+4,2)),VALUE(MID(A424,FIND("15",A424,FIND("01",A424)+16)+6,2))),"")</f>
        <v/>
      </c>
      <c r="F424" s="8">
        <f>IFERROR(MID(A424,FIND("10",A424,FIND("15",A424,FIND("01",A424)+16)+8)+2,50),"")</f>
        <v/>
      </c>
      <c r="G424" s="8" t="n"/>
    </row>
    <row r="425">
      <c r="A425" s="4" t="n"/>
      <c r="B425" s="5">
        <f>IFERROR(MID(A425,FIND("01",A425)+2,14),"")</f>
        <v/>
      </c>
      <c r="C425" s="4">
        <f>IF(A425="","",IFERROR(VLOOKUP(B425,TblArticles,2,FALSE),"GTIN inconnu"))</f>
        <v/>
      </c>
      <c r="D425" s="5">
        <f>IF(A425="","",IFERROR(VLOOKUP(B425,TblArticles,3,FALSE),""))</f>
        <v/>
      </c>
      <c r="E425" s="6">
        <f>IFERROR(DATE(2000+VALUE(MID(A425,FIND("15",A425,FIND("01",A425)+16)+2,2)),VALUE(MID(A425,FIND("15",A425,FIND("01",A425)+16)+4,2)),VALUE(MID(A425,FIND("15",A425,FIND("01",A425)+16)+6,2))),"")</f>
        <v/>
      </c>
      <c r="F425" s="5">
        <f>IFERROR(MID(A425,FIND("10",A425,FIND("15",A425,FIND("01",A425)+16)+8)+2,50),"")</f>
        <v/>
      </c>
      <c r="G425" s="5" t="n"/>
    </row>
    <row r="426">
      <c r="A426" s="7" t="n"/>
      <c r="B426" s="8">
        <f>IFERROR(MID(A426,FIND("01",A426)+2,14),"")</f>
        <v/>
      </c>
      <c r="C426" s="7">
        <f>IF(A426="","",IFERROR(VLOOKUP(B426,TblArticles,2,FALSE),"GTIN inconnu"))</f>
        <v/>
      </c>
      <c r="D426" s="8">
        <f>IF(A426="","",IFERROR(VLOOKUP(B426,TblArticles,3,FALSE),""))</f>
        <v/>
      </c>
      <c r="E426" s="9">
        <f>IFERROR(DATE(2000+VALUE(MID(A426,FIND("15",A426,FIND("01",A426)+16)+2,2)),VALUE(MID(A426,FIND("15",A426,FIND("01",A426)+16)+4,2)),VALUE(MID(A426,FIND("15",A426,FIND("01",A426)+16)+6,2))),"")</f>
        <v/>
      </c>
      <c r="F426" s="8">
        <f>IFERROR(MID(A426,FIND("10",A426,FIND("15",A426,FIND("01",A426)+16)+8)+2,50),"")</f>
        <v/>
      </c>
      <c r="G426" s="8" t="n"/>
    </row>
    <row r="427">
      <c r="A427" s="4" t="n"/>
      <c r="B427" s="5">
        <f>IFERROR(MID(A427,FIND("01",A427)+2,14),"")</f>
        <v/>
      </c>
      <c r="C427" s="4">
        <f>IF(A427="","",IFERROR(VLOOKUP(B427,TblArticles,2,FALSE),"GTIN inconnu"))</f>
        <v/>
      </c>
      <c r="D427" s="5">
        <f>IF(A427="","",IFERROR(VLOOKUP(B427,TblArticles,3,FALSE),""))</f>
        <v/>
      </c>
      <c r="E427" s="6">
        <f>IFERROR(DATE(2000+VALUE(MID(A427,FIND("15",A427,FIND("01",A427)+16)+2,2)),VALUE(MID(A427,FIND("15",A427,FIND("01",A427)+16)+4,2)),VALUE(MID(A427,FIND("15",A427,FIND("01",A427)+16)+6,2))),"")</f>
        <v/>
      </c>
      <c r="F427" s="5">
        <f>IFERROR(MID(A427,FIND("10",A427,FIND("15",A427,FIND("01",A427)+16)+8)+2,50),"")</f>
        <v/>
      </c>
      <c r="G427" s="5" t="n"/>
    </row>
    <row r="428">
      <c r="A428" s="7" t="n"/>
      <c r="B428" s="8">
        <f>IFERROR(MID(A428,FIND("01",A428)+2,14),"")</f>
        <v/>
      </c>
      <c r="C428" s="7">
        <f>IF(A428="","",IFERROR(VLOOKUP(B428,TblArticles,2,FALSE),"GTIN inconnu"))</f>
        <v/>
      </c>
      <c r="D428" s="8">
        <f>IF(A428="","",IFERROR(VLOOKUP(B428,TblArticles,3,FALSE),""))</f>
        <v/>
      </c>
      <c r="E428" s="9">
        <f>IFERROR(DATE(2000+VALUE(MID(A428,FIND("15",A428,FIND("01",A428)+16)+2,2)),VALUE(MID(A428,FIND("15",A428,FIND("01",A428)+16)+4,2)),VALUE(MID(A428,FIND("15",A428,FIND("01",A428)+16)+6,2))),"")</f>
        <v/>
      </c>
      <c r="F428" s="8">
        <f>IFERROR(MID(A428,FIND("10",A428,FIND("15",A428,FIND("01",A428)+16)+8)+2,50),"")</f>
        <v/>
      </c>
      <c r="G428" s="8" t="n"/>
    </row>
    <row r="429">
      <c r="A429" s="4" t="n"/>
      <c r="B429" s="5">
        <f>IFERROR(MID(A429,FIND("01",A429)+2,14),"")</f>
        <v/>
      </c>
      <c r="C429" s="4">
        <f>IF(A429="","",IFERROR(VLOOKUP(B429,TblArticles,2,FALSE),"GTIN inconnu"))</f>
        <v/>
      </c>
      <c r="D429" s="5">
        <f>IF(A429="","",IFERROR(VLOOKUP(B429,TblArticles,3,FALSE),""))</f>
        <v/>
      </c>
      <c r="E429" s="6">
        <f>IFERROR(DATE(2000+VALUE(MID(A429,FIND("15",A429,FIND("01",A429)+16)+2,2)),VALUE(MID(A429,FIND("15",A429,FIND("01",A429)+16)+4,2)),VALUE(MID(A429,FIND("15",A429,FIND("01",A429)+16)+6,2))),"")</f>
        <v/>
      </c>
      <c r="F429" s="5">
        <f>IFERROR(MID(A429,FIND("10",A429,FIND("15",A429,FIND("01",A429)+16)+8)+2,50),"")</f>
        <v/>
      </c>
      <c r="G429" s="5" t="n"/>
    </row>
    <row r="430">
      <c r="A430" s="7" t="n"/>
      <c r="B430" s="8">
        <f>IFERROR(MID(A430,FIND("01",A430)+2,14),"")</f>
        <v/>
      </c>
      <c r="C430" s="7">
        <f>IF(A430="","",IFERROR(VLOOKUP(B430,TblArticles,2,FALSE),"GTIN inconnu"))</f>
        <v/>
      </c>
      <c r="D430" s="8">
        <f>IF(A430="","",IFERROR(VLOOKUP(B430,TblArticles,3,FALSE),""))</f>
        <v/>
      </c>
      <c r="E430" s="9">
        <f>IFERROR(DATE(2000+VALUE(MID(A430,FIND("15",A430,FIND("01",A430)+16)+2,2)),VALUE(MID(A430,FIND("15",A430,FIND("01",A430)+16)+4,2)),VALUE(MID(A430,FIND("15",A430,FIND("01",A430)+16)+6,2))),"")</f>
        <v/>
      </c>
      <c r="F430" s="8">
        <f>IFERROR(MID(A430,FIND("10",A430,FIND("15",A430,FIND("01",A430)+16)+8)+2,50),"")</f>
        <v/>
      </c>
      <c r="G430" s="8" t="n"/>
    </row>
    <row r="431">
      <c r="A431" s="4" t="n"/>
      <c r="B431" s="5">
        <f>IFERROR(MID(A431,FIND("01",A431)+2,14),"")</f>
        <v/>
      </c>
      <c r="C431" s="4">
        <f>IF(A431="","",IFERROR(VLOOKUP(B431,TblArticles,2,FALSE),"GTIN inconnu"))</f>
        <v/>
      </c>
      <c r="D431" s="5">
        <f>IF(A431="","",IFERROR(VLOOKUP(B431,TblArticles,3,FALSE),""))</f>
        <v/>
      </c>
      <c r="E431" s="6">
        <f>IFERROR(DATE(2000+VALUE(MID(A431,FIND("15",A431,FIND("01",A431)+16)+2,2)),VALUE(MID(A431,FIND("15",A431,FIND("01",A431)+16)+4,2)),VALUE(MID(A431,FIND("15",A431,FIND("01",A431)+16)+6,2))),"")</f>
        <v/>
      </c>
      <c r="F431" s="5">
        <f>IFERROR(MID(A431,FIND("10",A431,FIND("15",A431,FIND("01",A431)+16)+8)+2,50),"")</f>
        <v/>
      </c>
      <c r="G431" s="5" t="n"/>
    </row>
    <row r="432">
      <c r="A432" s="7" t="n"/>
      <c r="B432" s="8">
        <f>IFERROR(MID(A432,FIND("01",A432)+2,14),"")</f>
        <v/>
      </c>
      <c r="C432" s="7">
        <f>IF(A432="","",IFERROR(VLOOKUP(B432,TblArticles,2,FALSE),"GTIN inconnu"))</f>
        <v/>
      </c>
      <c r="D432" s="8">
        <f>IF(A432="","",IFERROR(VLOOKUP(B432,TblArticles,3,FALSE),""))</f>
        <v/>
      </c>
      <c r="E432" s="9">
        <f>IFERROR(DATE(2000+VALUE(MID(A432,FIND("15",A432,FIND("01",A432)+16)+2,2)),VALUE(MID(A432,FIND("15",A432,FIND("01",A432)+16)+4,2)),VALUE(MID(A432,FIND("15",A432,FIND("01",A432)+16)+6,2))),"")</f>
        <v/>
      </c>
      <c r="F432" s="8">
        <f>IFERROR(MID(A432,FIND("10",A432,FIND("15",A432,FIND("01",A432)+16)+8)+2,50),"")</f>
        <v/>
      </c>
      <c r="G432" s="8" t="n"/>
    </row>
    <row r="433">
      <c r="A433" s="4" t="n"/>
      <c r="B433" s="5">
        <f>IFERROR(MID(A433,FIND("01",A433)+2,14),"")</f>
        <v/>
      </c>
      <c r="C433" s="4">
        <f>IF(A433="","",IFERROR(VLOOKUP(B433,TblArticles,2,FALSE),"GTIN inconnu"))</f>
        <v/>
      </c>
      <c r="D433" s="5">
        <f>IF(A433="","",IFERROR(VLOOKUP(B433,TblArticles,3,FALSE),""))</f>
        <v/>
      </c>
      <c r="E433" s="6">
        <f>IFERROR(DATE(2000+VALUE(MID(A433,FIND("15",A433,FIND("01",A433)+16)+2,2)),VALUE(MID(A433,FIND("15",A433,FIND("01",A433)+16)+4,2)),VALUE(MID(A433,FIND("15",A433,FIND("01",A433)+16)+6,2))),"")</f>
        <v/>
      </c>
      <c r="F433" s="5">
        <f>IFERROR(MID(A433,FIND("10",A433,FIND("15",A433,FIND("01",A433)+16)+8)+2,50),"")</f>
        <v/>
      </c>
      <c r="G433" s="5" t="n"/>
    </row>
    <row r="434">
      <c r="A434" s="7" t="n"/>
      <c r="B434" s="8">
        <f>IFERROR(MID(A434,FIND("01",A434)+2,14),"")</f>
        <v/>
      </c>
      <c r="C434" s="7">
        <f>IF(A434="","",IFERROR(VLOOKUP(B434,TblArticles,2,FALSE),"GTIN inconnu"))</f>
        <v/>
      </c>
      <c r="D434" s="8">
        <f>IF(A434="","",IFERROR(VLOOKUP(B434,TblArticles,3,FALSE),""))</f>
        <v/>
      </c>
      <c r="E434" s="9">
        <f>IFERROR(DATE(2000+VALUE(MID(A434,FIND("15",A434,FIND("01",A434)+16)+2,2)),VALUE(MID(A434,FIND("15",A434,FIND("01",A434)+16)+4,2)),VALUE(MID(A434,FIND("15",A434,FIND("01",A434)+16)+6,2))),"")</f>
        <v/>
      </c>
      <c r="F434" s="8">
        <f>IFERROR(MID(A434,FIND("10",A434,FIND("15",A434,FIND("01",A434)+16)+8)+2,50),"")</f>
        <v/>
      </c>
      <c r="G434" s="8" t="n"/>
    </row>
    <row r="435">
      <c r="A435" s="4" t="n"/>
      <c r="B435" s="5">
        <f>IFERROR(MID(A435,FIND("01",A435)+2,14),"")</f>
        <v/>
      </c>
      <c r="C435" s="4">
        <f>IF(A435="","",IFERROR(VLOOKUP(B435,TblArticles,2,FALSE),"GTIN inconnu"))</f>
        <v/>
      </c>
      <c r="D435" s="5">
        <f>IF(A435="","",IFERROR(VLOOKUP(B435,TblArticles,3,FALSE),""))</f>
        <v/>
      </c>
      <c r="E435" s="6">
        <f>IFERROR(DATE(2000+VALUE(MID(A435,FIND("15",A435,FIND("01",A435)+16)+2,2)),VALUE(MID(A435,FIND("15",A435,FIND("01",A435)+16)+4,2)),VALUE(MID(A435,FIND("15",A435,FIND("01",A435)+16)+6,2))),"")</f>
        <v/>
      </c>
      <c r="F435" s="5">
        <f>IFERROR(MID(A435,FIND("10",A435,FIND("15",A435,FIND("01",A435)+16)+8)+2,50),"")</f>
        <v/>
      </c>
      <c r="G435" s="5" t="n"/>
    </row>
    <row r="436">
      <c r="A436" s="7" t="n"/>
      <c r="B436" s="8">
        <f>IFERROR(MID(A436,FIND("01",A436)+2,14),"")</f>
        <v/>
      </c>
      <c r="C436" s="7">
        <f>IF(A436="","",IFERROR(VLOOKUP(B436,TblArticles,2,FALSE),"GTIN inconnu"))</f>
        <v/>
      </c>
      <c r="D436" s="8">
        <f>IF(A436="","",IFERROR(VLOOKUP(B436,TblArticles,3,FALSE),""))</f>
        <v/>
      </c>
      <c r="E436" s="9">
        <f>IFERROR(DATE(2000+VALUE(MID(A436,FIND("15",A436,FIND("01",A436)+16)+2,2)),VALUE(MID(A436,FIND("15",A436,FIND("01",A436)+16)+4,2)),VALUE(MID(A436,FIND("15",A436,FIND("01",A436)+16)+6,2))),"")</f>
        <v/>
      </c>
      <c r="F436" s="8">
        <f>IFERROR(MID(A436,FIND("10",A436,FIND("15",A436,FIND("01",A436)+16)+8)+2,50),"")</f>
        <v/>
      </c>
      <c r="G436" s="8" t="n"/>
    </row>
    <row r="437">
      <c r="A437" s="4" t="n"/>
      <c r="B437" s="5">
        <f>IFERROR(MID(A437,FIND("01",A437)+2,14),"")</f>
        <v/>
      </c>
      <c r="C437" s="4">
        <f>IF(A437="","",IFERROR(VLOOKUP(B437,TblArticles,2,FALSE),"GTIN inconnu"))</f>
        <v/>
      </c>
      <c r="D437" s="5">
        <f>IF(A437="","",IFERROR(VLOOKUP(B437,TblArticles,3,FALSE),""))</f>
        <v/>
      </c>
      <c r="E437" s="6">
        <f>IFERROR(DATE(2000+VALUE(MID(A437,FIND("15",A437,FIND("01",A437)+16)+2,2)),VALUE(MID(A437,FIND("15",A437,FIND("01",A437)+16)+4,2)),VALUE(MID(A437,FIND("15",A437,FIND("01",A437)+16)+6,2))),"")</f>
        <v/>
      </c>
      <c r="F437" s="5">
        <f>IFERROR(MID(A437,FIND("10",A437,FIND("15",A437,FIND("01",A437)+16)+8)+2,50),"")</f>
        <v/>
      </c>
      <c r="G437" s="5" t="n"/>
    </row>
    <row r="438">
      <c r="A438" s="7" t="n"/>
      <c r="B438" s="8">
        <f>IFERROR(MID(A438,FIND("01",A438)+2,14),"")</f>
        <v/>
      </c>
      <c r="C438" s="7">
        <f>IF(A438="","",IFERROR(VLOOKUP(B438,TblArticles,2,FALSE),"GTIN inconnu"))</f>
        <v/>
      </c>
      <c r="D438" s="8">
        <f>IF(A438="","",IFERROR(VLOOKUP(B438,TblArticles,3,FALSE),""))</f>
        <v/>
      </c>
      <c r="E438" s="9">
        <f>IFERROR(DATE(2000+VALUE(MID(A438,FIND("15",A438,FIND("01",A438)+16)+2,2)),VALUE(MID(A438,FIND("15",A438,FIND("01",A438)+16)+4,2)),VALUE(MID(A438,FIND("15",A438,FIND("01",A438)+16)+6,2))),"")</f>
        <v/>
      </c>
      <c r="F438" s="8">
        <f>IFERROR(MID(A438,FIND("10",A438,FIND("15",A438,FIND("01",A438)+16)+8)+2,50),"")</f>
        <v/>
      </c>
      <c r="G438" s="8" t="n"/>
    </row>
    <row r="439">
      <c r="A439" s="4" t="n"/>
      <c r="B439" s="5">
        <f>IFERROR(MID(A439,FIND("01",A439)+2,14),"")</f>
        <v/>
      </c>
      <c r="C439" s="4">
        <f>IF(A439="","",IFERROR(VLOOKUP(B439,TblArticles,2,FALSE),"GTIN inconnu"))</f>
        <v/>
      </c>
      <c r="D439" s="5">
        <f>IF(A439="","",IFERROR(VLOOKUP(B439,TblArticles,3,FALSE),""))</f>
        <v/>
      </c>
      <c r="E439" s="6">
        <f>IFERROR(DATE(2000+VALUE(MID(A439,FIND("15",A439,FIND("01",A439)+16)+2,2)),VALUE(MID(A439,FIND("15",A439,FIND("01",A439)+16)+4,2)),VALUE(MID(A439,FIND("15",A439,FIND("01",A439)+16)+6,2))),"")</f>
        <v/>
      </c>
      <c r="F439" s="5">
        <f>IFERROR(MID(A439,FIND("10",A439,FIND("15",A439,FIND("01",A439)+16)+8)+2,50),"")</f>
        <v/>
      </c>
      <c r="G439" s="5" t="n"/>
    </row>
    <row r="440">
      <c r="A440" s="7" t="n"/>
      <c r="B440" s="8">
        <f>IFERROR(MID(A440,FIND("01",A440)+2,14),"")</f>
        <v/>
      </c>
      <c r="C440" s="7">
        <f>IF(A440="","",IFERROR(VLOOKUP(B440,TblArticles,2,FALSE),"GTIN inconnu"))</f>
        <v/>
      </c>
      <c r="D440" s="8">
        <f>IF(A440="","",IFERROR(VLOOKUP(B440,TblArticles,3,FALSE),""))</f>
        <v/>
      </c>
      <c r="E440" s="9">
        <f>IFERROR(DATE(2000+VALUE(MID(A440,FIND("15",A440,FIND("01",A440)+16)+2,2)),VALUE(MID(A440,FIND("15",A440,FIND("01",A440)+16)+4,2)),VALUE(MID(A440,FIND("15",A440,FIND("01",A440)+16)+6,2))),"")</f>
        <v/>
      </c>
      <c r="F440" s="8">
        <f>IFERROR(MID(A440,FIND("10",A440,FIND("15",A440,FIND("01",A440)+16)+8)+2,50),"")</f>
        <v/>
      </c>
      <c r="G440" s="8" t="n"/>
    </row>
    <row r="441">
      <c r="A441" s="4" t="n"/>
      <c r="B441" s="5">
        <f>IFERROR(MID(A441,FIND("01",A441)+2,14),"")</f>
        <v/>
      </c>
      <c r="C441" s="4">
        <f>IF(A441="","",IFERROR(VLOOKUP(B441,TblArticles,2,FALSE),"GTIN inconnu"))</f>
        <v/>
      </c>
      <c r="D441" s="5">
        <f>IF(A441="","",IFERROR(VLOOKUP(B441,TblArticles,3,FALSE),""))</f>
        <v/>
      </c>
      <c r="E441" s="6">
        <f>IFERROR(DATE(2000+VALUE(MID(A441,FIND("15",A441,FIND("01",A441)+16)+2,2)),VALUE(MID(A441,FIND("15",A441,FIND("01",A441)+16)+4,2)),VALUE(MID(A441,FIND("15",A441,FIND("01",A441)+16)+6,2))),"")</f>
        <v/>
      </c>
      <c r="F441" s="5">
        <f>IFERROR(MID(A441,FIND("10",A441,FIND("15",A441,FIND("01",A441)+16)+8)+2,50),"")</f>
        <v/>
      </c>
      <c r="G441" s="5" t="n"/>
    </row>
    <row r="442">
      <c r="A442" s="7" t="n"/>
      <c r="B442" s="8">
        <f>IFERROR(MID(A442,FIND("01",A442)+2,14),"")</f>
        <v/>
      </c>
      <c r="C442" s="7">
        <f>IF(A442="","",IFERROR(VLOOKUP(B442,TblArticles,2,FALSE),"GTIN inconnu"))</f>
        <v/>
      </c>
      <c r="D442" s="8">
        <f>IF(A442="","",IFERROR(VLOOKUP(B442,TblArticles,3,FALSE),""))</f>
        <v/>
      </c>
      <c r="E442" s="9">
        <f>IFERROR(DATE(2000+VALUE(MID(A442,FIND("15",A442,FIND("01",A442)+16)+2,2)),VALUE(MID(A442,FIND("15",A442,FIND("01",A442)+16)+4,2)),VALUE(MID(A442,FIND("15",A442,FIND("01",A442)+16)+6,2))),"")</f>
        <v/>
      </c>
      <c r="F442" s="8">
        <f>IFERROR(MID(A442,FIND("10",A442,FIND("15",A442,FIND("01",A442)+16)+8)+2,50),"")</f>
        <v/>
      </c>
      <c r="G442" s="8" t="n"/>
    </row>
    <row r="443">
      <c r="A443" s="4" t="n"/>
      <c r="B443" s="5">
        <f>IFERROR(MID(A443,FIND("01",A443)+2,14),"")</f>
        <v/>
      </c>
      <c r="C443" s="4">
        <f>IF(A443="","",IFERROR(VLOOKUP(B443,TblArticles,2,FALSE),"GTIN inconnu"))</f>
        <v/>
      </c>
      <c r="D443" s="5">
        <f>IF(A443="","",IFERROR(VLOOKUP(B443,TblArticles,3,FALSE),""))</f>
        <v/>
      </c>
      <c r="E443" s="6">
        <f>IFERROR(DATE(2000+VALUE(MID(A443,FIND("15",A443,FIND("01",A443)+16)+2,2)),VALUE(MID(A443,FIND("15",A443,FIND("01",A443)+16)+4,2)),VALUE(MID(A443,FIND("15",A443,FIND("01",A443)+16)+6,2))),"")</f>
        <v/>
      </c>
      <c r="F443" s="5">
        <f>IFERROR(MID(A443,FIND("10",A443,FIND("15",A443,FIND("01",A443)+16)+8)+2,50),"")</f>
        <v/>
      </c>
      <c r="G443" s="5" t="n"/>
    </row>
    <row r="444">
      <c r="A444" s="7" t="n"/>
      <c r="B444" s="8">
        <f>IFERROR(MID(A444,FIND("01",A444)+2,14),"")</f>
        <v/>
      </c>
      <c r="C444" s="7">
        <f>IF(A444="","",IFERROR(VLOOKUP(B444,TblArticles,2,FALSE),"GTIN inconnu"))</f>
        <v/>
      </c>
      <c r="D444" s="8">
        <f>IF(A444="","",IFERROR(VLOOKUP(B444,TblArticles,3,FALSE),""))</f>
        <v/>
      </c>
      <c r="E444" s="9">
        <f>IFERROR(DATE(2000+VALUE(MID(A444,FIND("15",A444,FIND("01",A444)+16)+2,2)),VALUE(MID(A444,FIND("15",A444,FIND("01",A444)+16)+4,2)),VALUE(MID(A444,FIND("15",A444,FIND("01",A444)+16)+6,2))),"")</f>
        <v/>
      </c>
      <c r="F444" s="8">
        <f>IFERROR(MID(A444,FIND("10",A444,FIND("15",A444,FIND("01",A444)+16)+8)+2,50),"")</f>
        <v/>
      </c>
      <c r="G444" s="8" t="n"/>
    </row>
    <row r="445">
      <c r="A445" s="4" t="n"/>
      <c r="B445" s="5">
        <f>IFERROR(MID(A445,FIND("01",A445)+2,14),"")</f>
        <v/>
      </c>
      <c r="C445" s="4">
        <f>IF(A445="","",IFERROR(VLOOKUP(B445,TblArticles,2,FALSE),"GTIN inconnu"))</f>
        <v/>
      </c>
      <c r="D445" s="5">
        <f>IF(A445="","",IFERROR(VLOOKUP(B445,TblArticles,3,FALSE),""))</f>
        <v/>
      </c>
      <c r="E445" s="6">
        <f>IFERROR(DATE(2000+VALUE(MID(A445,FIND("15",A445,FIND("01",A445)+16)+2,2)),VALUE(MID(A445,FIND("15",A445,FIND("01",A445)+16)+4,2)),VALUE(MID(A445,FIND("15",A445,FIND("01",A445)+16)+6,2))),"")</f>
        <v/>
      </c>
      <c r="F445" s="5">
        <f>IFERROR(MID(A445,FIND("10",A445,FIND("15",A445,FIND("01",A445)+16)+8)+2,50),"")</f>
        <v/>
      </c>
      <c r="G445" s="5" t="n"/>
    </row>
    <row r="446">
      <c r="A446" s="7" t="n"/>
      <c r="B446" s="8">
        <f>IFERROR(MID(A446,FIND("01",A446)+2,14),"")</f>
        <v/>
      </c>
      <c r="C446" s="7">
        <f>IF(A446="","",IFERROR(VLOOKUP(B446,TblArticles,2,FALSE),"GTIN inconnu"))</f>
        <v/>
      </c>
      <c r="D446" s="8">
        <f>IF(A446="","",IFERROR(VLOOKUP(B446,TblArticles,3,FALSE),""))</f>
        <v/>
      </c>
      <c r="E446" s="9">
        <f>IFERROR(DATE(2000+VALUE(MID(A446,FIND("15",A446,FIND("01",A446)+16)+2,2)),VALUE(MID(A446,FIND("15",A446,FIND("01",A446)+16)+4,2)),VALUE(MID(A446,FIND("15",A446,FIND("01",A446)+16)+6,2))),"")</f>
        <v/>
      </c>
      <c r="F446" s="8">
        <f>IFERROR(MID(A446,FIND("10",A446,FIND("15",A446,FIND("01",A446)+16)+8)+2,50),"")</f>
        <v/>
      </c>
      <c r="G446" s="8" t="n"/>
    </row>
    <row r="447">
      <c r="A447" s="4" t="n"/>
      <c r="B447" s="5">
        <f>IFERROR(MID(A447,FIND("01",A447)+2,14),"")</f>
        <v/>
      </c>
      <c r="C447" s="4">
        <f>IF(A447="","",IFERROR(VLOOKUP(B447,TblArticles,2,FALSE),"GTIN inconnu"))</f>
        <v/>
      </c>
      <c r="D447" s="5">
        <f>IF(A447="","",IFERROR(VLOOKUP(B447,TblArticles,3,FALSE),""))</f>
        <v/>
      </c>
      <c r="E447" s="6">
        <f>IFERROR(DATE(2000+VALUE(MID(A447,FIND("15",A447,FIND("01",A447)+16)+2,2)),VALUE(MID(A447,FIND("15",A447,FIND("01",A447)+16)+4,2)),VALUE(MID(A447,FIND("15",A447,FIND("01",A447)+16)+6,2))),"")</f>
        <v/>
      </c>
      <c r="F447" s="5">
        <f>IFERROR(MID(A447,FIND("10",A447,FIND("15",A447,FIND("01",A447)+16)+8)+2,50),"")</f>
        <v/>
      </c>
      <c r="G447" s="5" t="n"/>
    </row>
    <row r="448">
      <c r="A448" s="7" t="n"/>
      <c r="B448" s="8">
        <f>IFERROR(MID(A448,FIND("01",A448)+2,14),"")</f>
        <v/>
      </c>
      <c r="C448" s="7">
        <f>IF(A448="","",IFERROR(VLOOKUP(B448,TblArticles,2,FALSE),"GTIN inconnu"))</f>
        <v/>
      </c>
      <c r="D448" s="8">
        <f>IF(A448="","",IFERROR(VLOOKUP(B448,TblArticles,3,FALSE),""))</f>
        <v/>
      </c>
      <c r="E448" s="9">
        <f>IFERROR(DATE(2000+VALUE(MID(A448,FIND("15",A448,FIND("01",A448)+16)+2,2)),VALUE(MID(A448,FIND("15",A448,FIND("01",A448)+16)+4,2)),VALUE(MID(A448,FIND("15",A448,FIND("01",A448)+16)+6,2))),"")</f>
        <v/>
      </c>
      <c r="F448" s="8">
        <f>IFERROR(MID(A448,FIND("10",A448,FIND("15",A448,FIND("01",A448)+16)+8)+2,50),"")</f>
        <v/>
      </c>
      <c r="G448" s="8" t="n"/>
    </row>
    <row r="449">
      <c r="A449" s="4" t="n"/>
      <c r="B449" s="5">
        <f>IFERROR(MID(A449,FIND("01",A449)+2,14),"")</f>
        <v/>
      </c>
      <c r="C449" s="4">
        <f>IF(A449="","",IFERROR(VLOOKUP(B449,TblArticles,2,FALSE),"GTIN inconnu"))</f>
        <v/>
      </c>
      <c r="D449" s="5">
        <f>IF(A449="","",IFERROR(VLOOKUP(B449,TblArticles,3,FALSE),""))</f>
        <v/>
      </c>
      <c r="E449" s="6">
        <f>IFERROR(DATE(2000+VALUE(MID(A449,FIND("15",A449,FIND("01",A449)+16)+2,2)),VALUE(MID(A449,FIND("15",A449,FIND("01",A449)+16)+4,2)),VALUE(MID(A449,FIND("15",A449,FIND("01",A449)+16)+6,2))),"")</f>
        <v/>
      </c>
      <c r="F449" s="5">
        <f>IFERROR(MID(A449,FIND("10",A449,FIND("15",A449,FIND("01",A449)+16)+8)+2,50),"")</f>
        <v/>
      </c>
      <c r="G449" s="5" t="n"/>
    </row>
    <row r="450">
      <c r="A450" s="7" t="n"/>
      <c r="B450" s="8">
        <f>IFERROR(MID(A450,FIND("01",A450)+2,14),"")</f>
        <v/>
      </c>
      <c r="C450" s="7">
        <f>IF(A450="","",IFERROR(VLOOKUP(B450,TblArticles,2,FALSE),"GTIN inconnu"))</f>
        <v/>
      </c>
      <c r="D450" s="8">
        <f>IF(A450="","",IFERROR(VLOOKUP(B450,TblArticles,3,FALSE),""))</f>
        <v/>
      </c>
      <c r="E450" s="9">
        <f>IFERROR(DATE(2000+VALUE(MID(A450,FIND("15",A450,FIND("01",A450)+16)+2,2)),VALUE(MID(A450,FIND("15",A450,FIND("01",A450)+16)+4,2)),VALUE(MID(A450,FIND("15",A450,FIND("01",A450)+16)+6,2))),"")</f>
        <v/>
      </c>
      <c r="F450" s="8">
        <f>IFERROR(MID(A450,FIND("10",A450,FIND("15",A450,FIND("01",A450)+16)+8)+2,50),"")</f>
        <v/>
      </c>
      <c r="G450" s="8" t="n"/>
    </row>
    <row r="451">
      <c r="A451" s="4" t="n"/>
      <c r="B451" s="5">
        <f>IFERROR(MID(A451,FIND("01",A451)+2,14),"")</f>
        <v/>
      </c>
      <c r="C451" s="4">
        <f>IF(A451="","",IFERROR(VLOOKUP(B451,TblArticles,2,FALSE),"GTIN inconnu"))</f>
        <v/>
      </c>
      <c r="D451" s="5">
        <f>IF(A451="","",IFERROR(VLOOKUP(B451,TblArticles,3,FALSE),""))</f>
        <v/>
      </c>
      <c r="E451" s="6">
        <f>IFERROR(DATE(2000+VALUE(MID(A451,FIND("15",A451,FIND("01",A451)+16)+2,2)),VALUE(MID(A451,FIND("15",A451,FIND("01",A451)+16)+4,2)),VALUE(MID(A451,FIND("15",A451,FIND("01",A451)+16)+6,2))),"")</f>
        <v/>
      </c>
      <c r="F451" s="5">
        <f>IFERROR(MID(A451,FIND("10",A451,FIND("15",A451,FIND("01",A451)+16)+8)+2,50),"")</f>
        <v/>
      </c>
      <c r="G451" s="5" t="n"/>
    </row>
    <row r="452">
      <c r="A452" s="7" t="n"/>
      <c r="B452" s="8">
        <f>IFERROR(MID(A452,FIND("01",A452)+2,14),"")</f>
        <v/>
      </c>
      <c r="C452" s="7">
        <f>IF(A452="","",IFERROR(VLOOKUP(B452,TblArticles,2,FALSE),"GTIN inconnu"))</f>
        <v/>
      </c>
      <c r="D452" s="8">
        <f>IF(A452="","",IFERROR(VLOOKUP(B452,TblArticles,3,FALSE),""))</f>
        <v/>
      </c>
      <c r="E452" s="9">
        <f>IFERROR(DATE(2000+VALUE(MID(A452,FIND("15",A452,FIND("01",A452)+16)+2,2)),VALUE(MID(A452,FIND("15",A452,FIND("01",A452)+16)+4,2)),VALUE(MID(A452,FIND("15",A452,FIND("01",A452)+16)+6,2))),"")</f>
        <v/>
      </c>
      <c r="F452" s="8">
        <f>IFERROR(MID(A452,FIND("10",A452,FIND("15",A452,FIND("01",A452)+16)+8)+2,50),"")</f>
        <v/>
      </c>
      <c r="G452" s="8" t="n"/>
    </row>
    <row r="453">
      <c r="A453" s="4" t="n"/>
      <c r="B453" s="5">
        <f>IFERROR(MID(A453,FIND("01",A453)+2,14),"")</f>
        <v/>
      </c>
      <c r="C453" s="4">
        <f>IF(A453="","",IFERROR(VLOOKUP(B453,TblArticles,2,FALSE),"GTIN inconnu"))</f>
        <v/>
      </c>
      <c r="D453" s="5">
        <f>IF(A453="","",IFERROR(VLOOKUP(B453,TblArticles,3,FALSE),""))</f>
        <v/>
      </c>
      <c r="E453" s="6">
        <f>IFERROR(DATE(2000+VALUE(MID(A453,FIND("15",A453,FIND("01",A453)+16)+2,2)),VALUE(MID(A453,FIND("15",A453,FIND("01",A453)+16)+4,2)),VALUE(MID(A453,FIND("15",A453,FIND("01",A453)+16)+6,2))),"")</f>
        <v/>
      </c>
      <c r="F453" s="5">
        <f>IFERROR(MID(A453,FIND("10",A453,FIND("15",A453,FIND("01",A453)+16)+8)+2,50),"")</f>
        <v/>
      </c>
      <c r="G453" s="5" t="n"/>
    </row>
    <row r="454">
      <c r="A454" s="7" t="n"/>
      <c r="B454" s="8">
        <f>IFERROR(MID(A454,FIND("01",A454)+2,14),"")</f>
        <v/>
      </c>
      <c r="C454" s="7">
        <f>IF(A454="","",IFERROR(VLOOKUP(B454,TblArticles,2,FALSE),"GTIN inconnu"))</f>
        <v/>
      </c>
      <c r="D454" s="8">
        <f>IF(A454="","",IFERROR(VLOOKUP(B454,TblArticles,3,FALSE),""))</f>
        <v/>
      </c>
      <c r="E454" s="9">
        <f>IFERROR(DATE(2000+VALUE(MID(A454,FIND("15",A454,FIND("01",A454)+16)+2,2)),VALUE(MID(A454,FIND("15",A454,FIND("01",A454)+16)+4,2)),VALUE(MID(A454,FIND("15",A454,FIND("01",A454)+16)+6,2))),"")</f>
        <v/>
      </c>
      <c r="F454" s="8">
        <f>IFERROR(MID(A454,FIND("10",A454,FIND("15",A454,FIND("01",A454)+16)+8)+2,50),"")</f>
        <v/>
      </c>
      <c r="G454" s="8" t="n"/>
    </row>
    <row r="455">
      <c r="A455" s="4" t="n"/>
      <c r="B455" s="5">
        <f>IFERROR(MID(A455,FIND("01",A455)+2,14),"")</f>
        <v/>
      </c>
      <c r="C455" s="4">
        <f>IF(A455="","",IFERROR(VLOOKUP(B455,TblArticles,2,FALSE),"GTIN inconnu"))</f>
        <v/>
      </c>
      <c r="D455" s="5">
        <f>IF(A455="","",IFERROR(VLOOKUP(B455,TblArticles,3,FALSE),""))</f>
        <v/>
      </c>
      <c r="E455" s="6">
        <f>IFERROR(DATE(2000+VALUE(MID(A455,FIND("15",A455,FIND("01",A455)+16)+2,2)),VALUE(MID(A455,FIND("15",A455,FIND("01",A455)+16)+4,2)),VALUE(MID(A455,FIND("15",A455,FIND("01",A455)+16)+6,2))),"")</f>
        <v/>
      </c>
      <c r="F455" s="5">
        <f>IFERROR(MID(A455,FIND("10",A455,FIND("15",A455,FIND("01",A455)+16)+8)+2,50),"")</f>
        <v/>
      </c>
      <c r="G455" s="5" t="n"/>
    </row>
    <row r="456">
      <c r="A456" s="7" t="n"/>
      <c r="B456" s="8">
        <f>IFERROR(MID(A456,FIND("01",A456)+2,14),"")</f>
        <v/>
      </c>
      <c r="C456" s="7">
        <f>IF(A456="","",IFERROR(VLOOKUP(B456,TblArticles,2,FALSE),"GTIN inconnu"))</f>
        <v/>
      </c>
      <c r="D456" s="8">
        <f>IF(A456="","",IFERROR(VLOOKUP(B456,TblArticles,3,FALSE),""))</f>
        <v/>
      </c>
      <c r="E456" s="9">
        <f>IFERROR(DATE(2000+VALUE(MID(A456,FIND("15",A456,FIND("01",A456)+16)+2,2)),VALUE(MID(A456,FIND("15",A456,FIND("01",A456)+16)+4,2)),VALUE(MID(A456,FIND("15",A456,FIND("01",A456)+16)+6,2))),"")</f>
        <v/>
      </c>
      <c r="F456" s="8">
        <f>IFERROR(MID(A456,FIND("10",A456,FIND("15",A456,FIND("01",A456)+16)+8)+2,50),"")</f>
        <v/>
      </c>
      <c r="G456" s="8" t="n"/>
    </row>
    <row r="457">
      <c r="A457" s="4" t="n"/>
      <c r="B457" s="5">
        <f>IFERROR(MID(A457,FIND("01",A457)+2,14),"")</f>
        <v/>
      </c>
      <c r="C457" s="4">
        <f>IF(A457="","",IFERROR(VLOOKUP(B457,TblArticles,2,FALSE),"GTIN inconnu"))</f>
        <v/>
      </c>
      <c r="D457" s="5">
        <f>IF(A457="","",IFERROR(VLOOKUP(B457,TblArticles,3,FALSE),""))</f>
        <v/>
      </c>
      <c r="E457" s="6">
        <f>IFERROR(DATE(2000+VALUE(MID(A457,FIND("15",A457,FIND("01",A457)+16)+2,2)),VALUE(MID(A457,FIND("15",A457,FIND("01",A457)+16)+4,2)),VALUE(MID(A457,FIND("15",A457,FIND("01",A457)+16)+6,2))),"")</f>
        <v/>
      </c>
      <c r="F457" s="5">
        <f>IFERROR(MID(A457,FIND("10",A457,FIND("15",A457,FIND("01",A457)+16)+8)+2,50),"")</f>
        <v/>
      </c>
      <c r="G457" s="5" t="n"/>
    </row>
    <row r="458">
      <c r="A458" s="7" t="n"/>
      <c r="B458" s="8">
        <f>IFERROR(MID(A458,FIND("01",A458)+2,14),"")</f>
        <v/>
      </c>
      <c r="C458" s="7">
        <f>IF(A458="","",IFERROR(VLOOKUP(B458,TblArticles,2,FALSE),"GTIN inconnu"))</f>
        <v/>
      </c>
      <c r="D458" s="8">
        <f>IF(A458="","",IFERROR(VLOOKUP(B458,TblArticles,3,FALSE),""))</f>
        <v/>
      </c>
      <c r="E458" s="9">
        <f>IFERROR(DATE(2000+VALUE(MID(A458,FIND("15",A458,FIND("01",A458)+16)+2,2)),VALUE(MID(A458,FIND("15",A458,FIND("01",A458)+16)+4,2)),VALUE(MID(A458,FIND("15",A458,FIND("01",A458)+16)+6,2))),"")</f>
        <v/>
      </c>
      <c r="F458" s="8">
        <f>IFERROR(MID(A458,FIND("10",A458,FIND("15",A458,FIND("01",A458)+16)+8)+2,50),"")</f>
        <v/>
      </c>
      <c r="G458" s="8" t="n"/>
    </row>
    <row r="459">
      <c r="A459" s="4" t="n"/>
      <c r="B459" s="5">
        <f>IFERROR(MID(A459,FIND("01",A459)+2,14),"")</f>
        <v/>
      </c>
      <c r="C459" s="4">
        <f>IF(A459="","",IFERROR(VLOOKUP(B459,TblArticles,2,FALSE),"GTIN inconnu"))</f>
        <v/>
      </c>
      <c r="D459" s="5">
        <f>IF(A459="","",IFERROR(VLOOKUP(B459,TblArticles,3,FALSE),""))</f>
        <v/>
      </c>
      <c r="E459" s="6">
        <f>IFERROR(DATE(2000+VALUE(MID(A459,FIND("15",A459,FIND("01",A459)+16)+2,2)),VALUE(MID(A459,FIND("15",A459,FIND("01",A459)+16)+4,2)),VALUE(MID(A459,FIND("15",A459,FIND("01",A459)+16)+6,2))),"")</f>
        <v/>
      </c>
      <c r="F459" s="5">
        <f>IFERROR(MID(A459,FIND("10",A459,FIND("15",A459,FIND("01",A459)+16)+8)+2,50),"")</f>
        <v/>
      </c>
      <c r="G459" s="5" t="n"/>
    </row>
    <row r="460">
      <c r="A460" s="7" t="n"/>
      <c r="B460" s="8">
        <f>IFERROR(MID(A460,FIND("01",A460)+2,14),"")</f>
        <v/>
      </c>
      <c r="C460" s="7">
        <f>IF(A460="","",IFERROR(VLOOKUP(B460,TblArticles,2,FALSE),"GTIN inconnu"))</f>
        <v/>
      </c>
      <c r="D460" s="8">
        <f>IF(A460="","",IFERROR(VLOOKUP(B460,TblArticles,3,FALSE),""))</f>
        <v/>
      </c>
      <c r="E460" s="9">
        <f>IFERROR(DATE(2000+VALUE(MID(A460,FIND("15",A460,FIND("01",A460)+16)+2,2)),VALUE(MID(A460,FIND("15",A460,FIND("01",A460)+16)+4,2)),VALUE(MID(A460,FIND("15",A460,FIND("01",A460)+16)+6,2))),"")</f>
        <v/>
      </c>
      <c r="F460" s="8">
        <f>IFERROR(MID(A460,FIND("10",A460,FIND("15",A460,FIND("01",A460)+16)+8)+2,50),"")</f>
        <v/>
      </c>
      <c r="G460" s="8" t="n"/>
    </row>
    <row r="461">
      <c r="A461" s="4" t="n"/>
      <c r="B461" s="5">
        <f>IFERROR(MID(A461,FIND("01",A461)+2,14),"")</f>
        <v/>
      </c>
      <c r="C461" s="4">
        <f>IF(A461="","",IFERROR(VLOOKUP(B461,TblArticles,2,FALSE),"GTIN inconnu"))</f>
        <v/>
      </c>
      <c r="D461" s="5">
        <f>IF(A461="","",IFERROR(VLOOKUP(B461,TblArticles,3,FALSE),""))</f>
        <v/>
      </c>
      <c r="E461" s="6">
        <f>IFERROR(DATE(2000+VALUE(MID(A461,FIND("15",A461,FIND("01",A461)+16)+2,2)),VALUE(MID(A461,FIND("15",A461,FIND("01",A461)+16)+4,2)),VALUE(MID(A461,FIND("15",A461,FIND("01",A461)+16)+6,2))),"")</f>
        <v/>
      </c>
      <c r="F461" s="5">
        <f>IFERROR(MID(A461,FIND("10",A461,FIND("15",A461,FIND("01",A461)+16)+8)+2,50),"")</f>
        <v/>
      </c>
      <c r="G461" s="5" t="n"/>
    </row>
    <row r="462">
      <c r="A462" s="7" t="n"/>
      <c r="B462" s="8">
        <f>IFERROR(MID(A462,FIND("01",A462)+2,14),"")</f>
        <v/>
      </c>
      <c r="C462" s="7">
        <f>IF(A462="","",IFERROR(VLOOKUP(B462,TblArticles,2,FALSE),"GTIN inconnu"))</f>
        <v/>
      </c>
      <c r="D462" s="8">
        <f>IF(A462="","",IFERROR(VLOOKUP(B462,TblArticles,3,FALSE),""))</f>
        <v/>
      </c>
      <c r="E462" s="9">
        <f>IFERROR(DATE(2000+VALUE(MID(A462,FIND("15",A462,FIND("01",A462)+16)+2,2)),VALUE(MID(A462,FIND("15",A462,FIND("01",A462)+16)+4,2)),VALUE(MID(A462,FIND("15",A462,FIND("01",A462)+16)+6,2))),"")</f>
        <v/>
      </c>
      <c r="F462" s="8">
        <f>IFERROR(MID(A462,FIND("10",A462,FIND("15",A462,FIND("01",A462)+16)+8)+2,50),"")</f>
        <v/>
      </c>
      <c r="G462" s="8" t="n"/>
    </row>
    <row r="463">
      <c r="A463" s="4" t="n"/>
      <c r="B463" s="5">
        <f>IFERROR(MID(A463,FIND("01",A463)+2,14),"")</f>
        <v/>
      </c>
      <c r="C463" s="4">
        <f>IF(A463="","",IFERROR(VLOOKUP(B463,TblArticles,2,FALSE),"GTIN inconnu"))</f>
        <v/>
      </c>
      <c r="D463" s="5">
        <f>IF(A463="","",IFERROR(VLOOKUP(B463,TblArticles,3,FALSE),""))</f>
        <v/>
      </c>
      <c r="E463" s="6">
        <f>IFERROR(DATE(2000+VALUE(MID(A463,FIND("15",A463,FIND("01",A463)+16)+2,2)),VALUE(MID(A463,FIND("15",A463,FIND("01",A463)+16)+4,2)),VALUE(MID(A463,FIND("15",A463,FIND("01",A463)+16)+6,2))),"")</f>
        <v/>
      </c>
      <c r="F463" s="5">
        <f>IFERROR(MID(A463,FIND("10",A463,FIND("15",A463,FIND("01",A463)+16)+8)+2,50),"")</f>
        <v/>
      </c>
      <c r="G463" s="5" t="n"/>
    </row>
    <row r="464">
      <c r="A464" s="7" t="n"/>
      <c r="B464" s="8">
        <f>IFERROR(MID(A464,FIND("01",A464)+2,14),"")</f>
        <v/>
      </c>
      <c r="C464" s="7">
        <f>IF(A464="","",IFERROR(VLOOKUP(B464,TblArticles,2,FALSE),"GTIN inconnu"))</f>
        <v/>
      </c>
      <c r="D464" s="8">
        <f>IF(A464="","",IFERROR(VLOOKUP(B464,TblArticles,3,FALSE),""))</f>
        <v/>
      </c>
      <c r="E464" s="9">
        <f>IFERROR(DATE(2000+VALUE(MID(A464,FIND("15",A464,FIND("01",A464)+16)+2,2)),VALUE(MID(A464,FIND("15",A464,FIND("01",A464)+16)+4,2)),VALUE(MID(A464,FIND("15",A464,FIND("01",A464)+16)+6,2))),"")</f>
        <v/>
      </c>
      <c r="F464" s="8">
        <f>IFERROR(MID(A464,FIND("10",A464,FIND("15",A464,FIND("01",A464)+16)+8)+2,50),"")</f>
        <v/>
      </c>
      <c r="G464" s="8" t="n"/>
    </row>
    <row r="465">
      <c r="A465" s="4" t="n"/>
      <c r="B465" s="5">
        <f>IFERROR(MID(A465,FIND("01",A465)+2,14),"")</f>
        <v/>
      </c>
      <c r="C465" s="4">
        <f>IF(A465="","",IFERROR(VLOOKUP(B465,TblArticles,2,FALSE),"GTIN inconnu"))</f>
        <v/>
      </c>
      <c r="D465" s="5">
        <f>IF(A465="","",IFERROR(VLOOKUP(B465,TblArticles,3,FALSE),""))</f>
        <v/>
      </c>
      <c r="E465" s="6">
        <f>IFERROR(DATE(2000+VALUE(MID(A465,FIND("15",A465,FIND("01",A465)+16)+2,2)),VALUE(MID(A465,FIND("15",A465,FIND("01",A465)+16)+4,2)),VALUE(MID(A465,FIND("15",A465,FIND("01",A465)+16)+6,2))),"")</f>
        <v/>
      </c>
      <c r="F465" s="5">
        <f>IFERROR(MID(A465,FIND("10",A465,FIND("15",A465,FIND("01",A465)+16)+8)+2,50),"")</f>
        <v/>
      </c>
      <c r="G465" s="5" t="n"/>
    </row>
    <row r="466">
      <c r="A466" s="7" t="n"/>
      <c r="B466" s="8">
        <f>IFERROR(MID(A466,FIND("01",A466)+2,14),"")</f>
        <v/>
      </c>
      <c r="C466" s="7">
        <f>IF(A466="","",IFERROR(VLOOKUP(B466,TblArticles,2,FALSE),"GTIN inconnu"))</f>
        <v/>
      </c>
      <c r="D466" s="8">
        <f>IF(A466="","",IFERROR(VLOOKUP(B466,TblArticles,3,FALSE),""))</f>
        <v/>
      </c>
      <c r="E466" s="9">
        <f>IFERROR(DATE(2000+VALUE(MID(A466,FIND("15",A466,FIND("01",A466)+16)+2,2)),VALUE(MID(A466,FIND("15",A466,FIND("01",A466)+16)+4,2)),VALUE(MID(A466,FIND("15",A466,FIND("01",A466)+16)+6,2))),"")</f>
        <v/>
      </c>
      <c r="F466" s="8">
        <f>IFERROR(MID(A466,FIND("10",A466,FIND("15",A466,FIND("01",A466)+16)+8)+2,50),"")</f>
        <v/>
      </c>
      <c r="G466" s="8" t="n"/>
    </row>
    <row r="467">
      <c r="A467" s="4" t="n"/>
      <c r="B467" s="5">
        <f>IFERROR(MID(A467,FIND("01",A467)+2,14),"")</f>
        <v/>
      </c>
      <c r="C467" s="4">
        <f>IF(A467="","",IFERROR(VLOOKUP(B467,TblArticles,2,FALSE),"GTIN inconnu"))</f>
        <v/>
      </c>
      <c r="D467" s="5">
        <f>IF(A467="","",IFERROR(VLOOKUP(B467,TblArticles,3,FALSE),""))</f>
        <v/>
      </c>
      <c r="E467" s="6">
        <f>IFERROR(DATE(2000+VALUE(MID(A467,FIND("15",A467,FIND("01",A467)+16)+2,2)),VALUE(MID(A467,FIND("15",A467,FIND("01",A467)+16)+4,2)),VALUE(MID(A467,FIND("15",A467,FIND("01",A467)+16)+6,2))),"")</f>
        <v/>
      </c>
      <c r="F467" s="5">
        <f>IFERROR(MID(A467,FIND("10",A467,FIND("15",A467,FIND("01",A467)+16)+8)+2,50),"")</f>
        <v/>
      </c>
      <c r="G467" s="5" t="n"/>
    </row>
    <row r="468">
      <c r="A468" s="7" t="n"/>
      <c r="B468" s="8">
        <f>IFERROR(MID(A468,FIND("01",A468)+2,14),"")</f>
        <v/>
      </c>
      <c r="C468" s="7">
        <f>IF(A468="","",IFERROR(VLOOKUP(B468,TblArticles,2,FALSE),"GTIN inconnu"))</f>
        <v/>
      </c>
      <c r="D468" s="8">
        <f>IF(A468="","",IFERROR(VLOOKUP(B468,TblArticles,3,FALSE),""))</f>
        <v/>
      </c>
      <c r="E468" s="9">
        <f>IFERROR(DATE(2000+VALUE(MID(A468,FIND("15",A468,FIND("01",A468)+16)+2,2)),VALUE(MID(A468,FIND("15",A468,FIND("01",A468)+16)+4,2)),VALUE(MID(A468,FIND("15",A468,FIND("01",A468)+16)+6,2))),"")</f>
        <v/>
      </c>
      <c r="F468" s="8">
        <f>IFERROR(MID(A468,FIND("10",A468,FIND("15",A468,FIND("01",A468)+16)+8)+2,50),"")</f>
        <v/>
      </c>
      <c r="G468" s="8" t="n"/>
    </row>
    <row r="469">
      <c r="A469" s="4" t="n"/>
      <c r="B469" s="5">
        <f>IFERROR(MID(A469,FIND("01",A469)+2,14),"")</f>
        <v/>
      </c>
      <c r="C469" s="4">
        <f>IF(A469="","",IFERROR(VLOOKUP(B469,TblArticles,2,FALSE),"GTIN inconnu"))</f>
        <v/>
      </c>
      <c r="D469" s="5">
        <f>IF(A469="","",IFERROR(VLOOKUP(B469,TblArticles,3,FALSE),""))</f>
        <v/>
      </c>
      <c r="E469" s="6">
        <f>IFERROR(DATE(2000+VALUE(MID(A469,FIND("15",A469,FIND("01",A469)+16)+2,2)),VALUE(MID(A469,FIND("15",A469,FIND("01",A469)+16)+4,2)),VALUE(MID(A469,FIND("15",A469,FIND("01",A469)+16)+6,2))),"")</f>
        <v/>
      </c>
      <c r="F469" s="5">
        <f>IFERROR(MID(A469,FIND("10",A469,FIND("15",A469,FIND("01",A469)+16)+8)+2,50),"")</f>
        <v/>
      </c>
      <c r="G469" s="5" t="n"/>
    </row>
    <row r="470">
      <c r="A470" s="7" t="n"/>
      <c r="B470" s="8">
        <f>IFERROR(MID(A470,FIND("01",A470)+2,14),"")</f>
        <v/>
      </c>
      <c r="C470" s="7">
        <f>IF(A470="","",IFERROR(VLOOKUP(B470,TblArticles,2,FALSE),"GTIN inconnu"))</f>
        <v/>
      </c>
      <c r="D470" s="8">
        <f>IF(A470="","",IFERROR(VLOOKUP(B470,TblArticles,3,FALSE),""))</f>
        <v/>
      </c>
      <c r="E470" s="9">
        <f>IFERROR(DATE(2000+VALUE(MID(A470,FIND("15",A470,FIND("01",A470)+16)+2,2)),VALUE(MID(A470,FIND("15",A470,FIND("01",A470)+16)+4,2)),VALUE(MID(A470,FIND("15",A470,FIND("01",A470)+16)+6,2))),"")</f>
        <v/>
      </c>
      <c r="F470" s="8">
        <f>IFERROR(MID(A470,FIND("10",A470,FIND("15",A470,FIND("01",A470)+16)+8)+2,50),"")</f>
        <v/>
      </c>
      <c r="G470" s="8" t="n"/>
    </row>
    <row r="471">
      <c r="A471" s="4" t="n"/>
      <c r="B471" s="5">
        <f>IFERROR(MID(A471,FIND("01",A471)+2,14),"")</f>
        <v/>
      </c>
      <c r="C471" s="4">
        <f>IF(A471="","",IFERROR(VLOOKUP(B471,TblArticles,2,FALSE),"GTIN inconnu"))</f>
        <v/>
      </c>
      <c r="D471" s="5">
        <f>IF(A471="","",IFERROR(VLOOKUP(B471,TblArticles,3,FALSE),""))</f>
        <v/>
      </c>
      <c r="E471" s="6">
        <f>IFERROR(DATE(2000+VALUE(MID(A471,FIND("15",A471,FIND("01",A471)+16)+2,2)),VALUE(MID(A471,FIND("15",A471,FIND("01",A471)+16)+4,2)),VALUE(MID(A471,FIND("15",A471,FIND("01",A471)+16)+6,2))),"")</f>
        <v/>
      </c>
      <c r="F471" s="5">
        <f>IFERROR(MID(A471,FIND("10",A471,FIND("15",A471,FIND("01",A471)+16)+8)+2,50),"")</f>
        <v/>
      </c>
      <c r="G471" s="5" t="n"/>
    </row>
    <row r="472">
      <c r="A472" s="7" t="n"/>
      <c r="B472" s="8">
        <f>IFERROR(MID(A472,FIND("01",A472)+2,14),"")</f>
        <v/>
      </c>
      <c r="C472" s="7">
        <f>IF(A472="","",IFERROR(VLOOKUP(B472,TblArticles,2,FALSE),"GTIN inconnu"))</f>
        <v/>
      </c>
      <c r="D472" s="8">
        <f>IF(A472="","",IFERROR(VLOOKUP(B472,TblArticles,3,FALSE),""))</f>
        <v/>
      </c>
      <c r="E472" s="9">
        <f>IFERROR(DATE(2000+VALUE(MID(A472,FIND("15",A472,FIND("01",A472)+16)+2,2)),VALUE(MID(A472,FIND("15",A472,FIND("01",A472)+16)+4,2)),VALUE(MID(A472,FIND("15",A472,FIND("01",A472)+16)+6,2))),"")</f>
        <v/>
      </c>
      <c r="F472" s="8">
        <f>IFERROR(MID(A472,FIND("10",A472,FIND("15",A472,FIND("01",A472)+16)+8)+2,50),"")</f>
        <v/>
      </c>
      <c r="G472" s="8" t="n"/>
    </row>
    <row r="473">
      <c r="A473" s="4" t="n"/>
      <c r="B473" s="5">
        <f>IFERROR(MID(A473,FIND("01",A473)+2,14),"")</f>
        <v/>
      </c>
      <c r="C473" s="4">
        <f>IF(A473="","",IFERROR(VLOOKUP(B473,TblArticles,2,FALSE),"GTIN inconnu"))</f>
        <v/>
      </c>
      <c r="D473" s="5">
        <f>IF(A473="","",IFERROR(VLOOKUP(B473,TblArticles,3,FALSE),""))</f>
        <v/>
      </c>
      <c r="E473" s="6">
        <f>IFERROR(DATE(2000+VALUE(MID(A473,FIND("15",A473,FIND("01",A473)+16)+2,2)),VALUE(MID(A473,FIND("15",A473,FIND("01",A473)+16)+4,2)),VALUE(MID(A473,FIND("15",A473,FIND("01",A473)+16)+6,2))),"")</f>
        <v/>
      </c>
      <c r="F473" s="5">
        <f>IFERROR(MID(A473,FIND("10",A473,FIND("15",A473,FIND("01",A473)+16)+8)+2,50),"")</f>
        <v/>
      </c>
      <c r="G473" s="5" t="n"/>
    </row>
    <row r="474">
      <c r="A474" s="7" t="n"/>
      <c r="B474" s="8">
        <f>IFERROR(MID(A474,FIND("01",A474)+2,14),"")</f>
        <v/>
      </c>
      <c r="C474" s="7">
        <f>IF(A474="","",IFERROR(VLOOKUP(B474,TblArticles,2,FALSE),"GTIN inconnu"))</f>
        <v/>
      </c>
      <c r="D474" s="8">
        <f>IF(A474="","",IFERROR(VLOOKUP(B474,TblArticles,3,FALSE),""))</f>
        <v/>
      </c>
      <c r="E474" s="9">
        <f>IFERROR(DATE(2000+VALUE(MID(A474,FIND("15",A474,FIND("01",A474)+16)+2,2)),VALUE(MID(A474,FIND("15",A474,FIND("01",A474)+16)+4,2)),VALUE(MID(A474,FIND("15",A474,FIND("01",A474)+16)+6,2))),"")</f>
        <v/>
      </c>
      <c r="F474" s="8">
        <f>IFERROR(MID(A474,FIND("10",A474,FIND("15",A474,FIND("01",A474)+16)+8)+2,50),"")</f>
        <v/>
      </c>
      <c r="G474" s="8" t="n"/>
    </row>
    <row r="475">
      <c r="A475" s="4" t="n"/>
      <c r="B475" s="5">
        <f>IFERROR(MID(A475,FIND("01",A475)+2,14),"")</f>
        <v/>
      </c>
      <c r="C475" s="4">
        <f>IF(A475="","",IFERROR(VLOOKUP(B475,TblArticles,2,FALSE),"GTIN inconnu"))</f>
        <v/>
      </c>
      <c r="D475" s="5">
        <f>IF(A475="","",IFERROR(VLOOKUP(B475,TblArticles,3,FALSE),""))</f>
        <v/>
      </c>
      <c r="E475" s="6">
        <f>IFERROR(DATE(2000+VALUE(MID(A475,FIND("15",A475,FIND("01",A475)+16)+2,2)),VALUE(MID(A475,FIND("15",A475,FIND("01",A475)+16)+4,2)),VALUE(MID(A475,FIND("15",A475,FIND("01",A475)+16)+6,2))),"")</f>
        <v/>
      </c>
      <c r="F475" s="5">
        <f>IFERROR(MID(A475,FIND("10",A475,FIND("15",A475,FIND("01",A475)+16)+8)+2,50),"")</f>
        <v/>
      </c>
      <c r="G475" s="5" t="n"/>
    </row>
    <row r="476">
      <c r="A476" s="7" t="n"/>
      <c r="B476" s="8">
        <f>IFERROR(MID(A476,FIND("01",A476)+2,14),"")</f>
        <v/>
      </c>
      <c r="C476" s="7">
        <f>IF(A476="","",IFERROR(VLOOKUP(B476,TblArticles,2,FALSE),"GTIN inconnu"))</f>
        <v/>
      </c>
      <c r="D476" s="8">
        <f>IF(A476="","",IFERROR(VLOOKUP(B476,TblArticles,3,FALSE),""))</f>
        <v/>
      </c>
      <c r="E476" s="9">
        <f>IFERROR(DATE(2000+VALUE(MID(A476,FIND("15",A476,FIND("01",A476)+16)+2,2)),VALUE(MID(A476,FIND("15",A476,FIND("01",A476)+16)+4,2)),VALUE(MID(A476,FIND("15",A476,FIND("01",A476)+16)+6,2))),"")</f>
        <v/>
      </c>
      <c r="F476" s="8">
        <f>IFERROR(MID(A476,FIND("10",A476,FIND("15",A476,FIND("01",A476)+16)+8)+2,50),"")</f>
        <v/>
      </c>
      <c r="G476" s="8" t="n"/>
    </row>
    <row r="477">
      <c r="A477" s="4" t="n"/>
      <c r="B477" s="5">
        <f>IFERROR(MID(A477,FIND("01",A477)+2,14),"")</f>
        <v/>
      </c>
      <c r="C477" s="4">
        <f>IF(A477="","",IFERROR(VLOOKUP(B477,TblArticles,2,FALSE),"GTIN inconnu"))</f>
        <v/>
      </c>
      <c r="D477" s="5">
        <f>IF(A477="","",IFERROR(VLOOKUP(B477,TblArticles,3,FALSE),""))</f>
        <v/>
      </c>
      <c r="E477" s="6">
        <f>IFERROR(DATE(2000+VALUE(MID(A477,FIND("15",A477,FIND("01",A477)+16)+2,2)),VALUE(MID(A477,FIND("15",A477,FIND("01",A477)+16)+4,2)),VALUE(MID(A477,FIND("15",A477,FIND("01",A477)+16)+6,2))),"")</f>
        <v/>
      </c>
      <c r="F477" s="5">
        <f>IFERROR(MID(A477,FIND("10",A477,FIND("15",A477,FIND("01",A477)+16)+8)+2,50),"")</f>
        <v/>
      </c>
      <c r="G477" s="5" t="n"/>
    </row>
    <row r="478">
      <c r="A478" s="7" t="n"/>
      <c r="B478" s="8">
        <f>IFERROR(MID(A478,FIND("01",A478)+2,14),"")</f>
        <v/>
      </c>
      <c r="C478" s="7">
        <f>IF(A478="","",IFERROR(VLOOKUP(B478,TblArticles,2,FALSE),"GTIN inconnu"))</f>
        <v/>
      </c>
      <c r="D478" s="8">
        <f>IF(A478="","",IFERROR(VLOOKUP(B478,TblArticles,3,FALSE),""))</f>
        <v/>
      </c>
      <c r="E478" s="9">
        <f>IFERROR(DATE(2000+VALUE(MID(A478,FIND("15",A478,FIND("01",A478)+16)+2,2)),VALUE(MID(A478,FIND("15",A478,FIND("01",A478)+16)+4,2)),VALUE(MID(A478,FIND("15",A478,FIND("01",A478)+16)+6,2))),"")</f>
        <v/>
      </c>
      <c r="F478" s="8">
        <f>IFERROR(MID(A478,FIND("10",A478,FIND("15",A478,FIND("01",A478)+16)+8)+2,50),"")</f>
        <v/>
      </c>
      <c r="G478" s="8" t="n"/>
    </row>
    <row r="479">
      <c r="A479" s="4" t="n"/>
      <c r="B479" s="5">
        <f>IFERROR(MID(A479,FIND("01",A479)+2,14),"")</f>
        <v/>
      </c>
      <c r="C479" s="4">
        <f>IF(A479="","",IFERROR(VLOOKUP(B479,TblArticles,2,FALSE),"GTIN inconnu"))</f>
        <v/>
      </c>
      <c r="D479" s="5">
        <f>IF(A479="","",IFERROR(VLOOKUP(B479,TblArticles,3,FALSE),""))</f>
        <v/>
      </c>
      <c r="E479" s="6">
        <f>IFERROR(DATE(2000+VALUE(MID(A479,FIND("15",A479,FIND("01",A479)+16)+2,2)),VALUE(MID(A479,FIND("15",A479,FIND("01",A479)+16)+4,2)),VALUE(MID(A479,FIND("15",A479,FIND("01",A479)+16)+6,2))),"")</f>
        <v/>
      </c>
      <c r="F479" s="5">
        <f>IFERROR(MID(A479,FIND("10",A479,FIND("15",A479,FIND("01",A479)+16)+8)+2,50),"")</f>
        <v/>
      </c>
      <c r="G479" s="5" t="n"/>
    </row>
    <row r="480">
      <c r="A480" s="7" t="n"/>
      <c r="B480" s="8">
        <f>IFERROR(MID(A480,FIND("01",A480)+2,14),"")</f>
        <v/>
      </c>
      <c r="C480" s="7">
        <f>IF(A480="","",IFERROR(VLOOKUP(B480,TblArticles,2,FALSE),"GTIN inconnu"))</f>
        <v/>
      </c>
      <c r="D480" s="8">
        <f>IF(A480="","",IFERROR(VLOOKUP(B480,TblArticles,3,FALSE),""))</f>
        <v/>
      </c>
      <c r="E480" s="9">
        <f>IFERROR(DATE(2000+VALUE(MID(A480,FIND("15",A480,FIND("01",A480)+16)+2,2)),VALUE(MID(A480,FIND("15",A480,FIND("01",A480)+16)+4,2)),VALUE(MID(A480,FIND("15",A480,FIND("01",A480)+16)+6,2))),"")</f>
        <v/>
      </c>
      <c r="F480" s="8">
        <f>IFERROR(MID(A480,FIND("10",A480,FIND("15",A480,FIND("01",A480)+16)+8)+2,50),"")</f>
        <v/>
      </c>
      <c r="G480" s="8" t="n"/>
    </row>
    <row r="481">
      <c r="A481" s="4" t="n"/>
      <c r="B481" s="5">
        <f>IFERROR(MID(A481,FIND("01",A481)+2,14),"")</f>
        <v/>
      </c>
      <c r="C481" s="4">
        <f>IF(A481="","",IFERROR(VLOOKUP(B481,TblArticles,2,FALSE),"GTIN inconnu"))</f>
        <v/>
      </c>
      <c r="D481" s="5">
        <f>IF(A481="","",IFERROR(VLOOKUP(B481,TblArticles,3,FALSE),""))</f>
        <v/>
      </c>
      <c r="E481" s="6">
        <f>IFERROR(DATE(2000+VALUE(MID(A481,FIND("15",A481,FIND("01",A481)+16)+2,2)),VALUE(MID(A481,FIND("15",A481,FIND("01",A481)+16)+4,2)),VALUE(MID(A481,FIND("15",A481,FIND("01",A481)+16)+6,2))),"")</f>
        <v/>
      </c>
      <c r="F481" s="5">
        <f>IFERROR(MID(A481,FIND("10",A481,FIND("15",A481,FIND("01",A481)+16)+8)+2,50),"")</f>
        <v/>
      </c>
      <c r="G481" s="5" t="n"/>
    </row>
    <row r="482">
      <c r="A482" s="7" t="n"/>
      <c r="B482" s="8">
        <f>IFERROR(MID(A482,FIND("01",A482)+2,14),"")</f>
        <v/>
      </c>
      <c r="C482" s="7">
        <f>IF(A482="","",IFERROR(VLOOKUP(B482,TblArticles,2,FALSE),"GTIN inconnu"))</f>
        <v/>
      </c>
      <c r="D482" s="8">
        <f>IF(A482="","",IFERROR(VLOOKUP(B482,TblArticles,3,FALSE),""))</f>
        <v/>
      </c>
      <c r="E482" s="9">
        <f>IFERROR(DATE(2000+VALUE(MID(A482,FIND("15",A482,FIND("01",A482)+16)+2,2)),VALUE(MID(A482,FIND("15",A482,FIND("01",A482)+16)+4,2)),VALUE(MID(A482,FIND("15",A482,FIND("01",A482)+16)+6,2))),"")</f>
        <v/>
      </c>
      <c r="F482" s="8">
        <f>IFERROR(MID(A482,FIND("10",A482,FIND("15",A482,FIND("01",A482)+16)+8)+2,50),"")</f>
        <v/>
      </c>
      <c r="G482" s="8" t="n"/>
    </row>
    <row r="483">
      <c r="A483" s="4" t="n"/>
      <c r="B483" s="5">
        <f>IFERROR(MID(A483,FIND("01",A483)+2,14),"")</f>
        <v/>
      </c>
      <c r="C483" s="4">
        <f>IF(A483="","",IFERROR(VLOOKUP(B483,TblArticles,2,FALSE),"GTIN inconnu"))</f>
        <v/>
      </c>
      <c r="D483" s="5">
        <f>IF(A483="","",IFERROR(VLOOKUP(B483,TblArticles,3,FALSE),""))</f>
        <v/>
      </c>
      <c r="E483" s="6">
        <f>IFERROR(DATE(2000+VALUE(MID(A483,FIND("15",A483,FIND("01",A483)+16)+2,2)),VALUE(MID(A483,FIND("15",A483,FIND("01",A483)+16)+4,2)),VALUE(MID(A483,FIND("15",A483,FIND("01",A483)+16)+6,2))),"")</f>
        <v/>
      </c>
      <c r="F483" s="5">
        <f>IFERROR(MID(A483,FIND("10",A483,FIND("15",A483,FIND("01",A483)+16)+8)+2,50),"")</f>
        <v/>
      </c>
      <c r="G483" s="5" t="n"/>
    </row>
    <row r="484">
      <c r="A484" s="7" t="n"/>
      <c r="B484" s="8">
        <f>IFERROR(MID(A484,FIND("01",A484)+2,14),"")</f>
        <v/>
      </c>
      <c r="C484" s="7">
        <f>IF(A484="","",IFERROR(VLOOKUP(B484,TblArticles,2,FALSE),"GTIN inconnu"))</f>
        <v/>
      </c>
      <c r="D484" s="8">
        <f>IF(A484="","",IFERROR(VLOOKUP(B484,TblArticles,3,FALSE),""))</f>
        <v/>
      </c>
      <c r="E484" s="9">
        <f>IFERROR(DATE(2000+VALUE(MID(A484,FIND("15",A484,FIND("01",A484)+16)+2,2)),VALUE(MID(A484,FIND("15",A484,FIND("01",A484)+16)+4,2)),VALUE(MID(A484,FIND("15",A484,FIND("01",A484)+16)+6,2))),"")</f>
        <v/>
      </c>
      <c r="F484" s="8">
        <f>IFERROR(MID(A484,FIND("10",A484,FIND("15",A484,FIND("01",A484)+16)+8)+2,50),"")</f>
        <v/>
      </c>
      <c r="G484" s="8" t="n"/>
    </row>
    <row r="485">
      <c r="A485" s="4" t="n"/>
      <c r="B485" s="5">
        <f>IFERROR(MID(A485,FIND("01",A485)+2,14),"")</f>
        <v/>
      </c>
      <c r="C485" s="4">
        <f>IF(A485="","",IFERROR(VLOOKUP(B485,TblArticles,2,FALSE),"GTIN inconnu"))</f>
        <v/>
      </c>
      <c r="D485" s="5">
        <f>IF(A485="","",IFERROR(VLOOKUP(B485,TblArticles,3,FALSE),""))</f>
        <v/>
      </c>
      <c r="E485" s="6">
        <f>IFERROR(DATE(2000+VALUE(MID(A485,FIND("15",A485,FIND("01",A485)+16)+2,2)),VALUE(MID(A485,FIND("15",A485,FIND("01",A485)+16)+4,2)),VALUE(MID(A485,FIND("15",A485,FIND("01",A485)+16)+6,2))),"")</f>
        <v/>
      </c>
      <c r="F485" s="5">
        <f>IFERROR(MID(A485,FIND("10",A485,FIND("15",A485,FIND("01",A485)+16)+8)+2,50),"")</f>
        <v/>
      </c>
      <c r="G485" s="5" t="n"/>
    </row>
    <row r="486">
      <c r="A486" s="7" t="n"/>
      <c r="B486" s="8">
        <f>IFERROR(MID(A486,FIND("01",A486)+2,14),"")</f>
        <v/>
      </c>
      <c r="C486" s="7">
        <f>IF(A486="","",IFERROR(VLOOKUP(B486,TblArticles,2,FALSE),"GTIN inconnu"))</f>
        <v/>
      </c>
      <c r="D486" s="8">
        <f>IF(A486="","",IFERROR(VLOOKUP(B486,TblArticles,3,FALSE),""))</f>
        <v/>
      </c>
      <c r="E486" s="9">
        <f>IFERROR(DATE(2000+VALUE(MID(A486,FIND("15",A486,FIND("01",A486)+16)+2,2)),VALUE(MID(A486,FIND("15",A486,FIND("01",A486)+16)+4,2)),VALUE(MID(A486,FIND("15",A486,FIND("01",A486)+16)+6,2))),"")</f>
        <v/>
      </c>
      <c r="F486" s="8">
        <f>IFERROR(MID(A486,FIND("10",A486,FIND("15",A486,FIND("01",A486)+16)+8)+2,50),"")</f>
        <v/>
      </c>
      <c r="G486" s="8" t="n"/>
    </row>
    <row r="487">
      <c r="A487" s="4" t="n"/>
      <c r="B487" s="5">
        <f>IFERROR(MID(A487,FIND("01",A487)+2,14),"")</f>
        <v/>
      </c>
      <c r="C487" s="4">
        <f>IF(A487="","",IFERROR(VLOOKUP(B487,TblArticles,2,FALSE),"GTIN inconnu"))</f>
        <v/>
      </c>
      <c r="D487" s="5">
        <f>IF(A487="","",IFERROR(VLOOKUP(B487,TblArticles,3,FALSE),""))</f>
        <v/>
      </c>
      <c r="E487" s="6">
        <f>IFERROR(DATE(2000+VALUE(MID(A487,FIND("15",A487,FIND("01",A487)+16)+2,2)),VALUE(MID(A487,FIND("15",A487,FIND("01",A487)+16)+4,2)),VALUE(MID(A487,FIND("15",A487,FIND("01",A487)+16)+6,2))),"")</f>
        <v/>
      </c>
      <c r="F487" s="5">
        <f>IFERROR(MID(A487,FIND("10",A487,FIND("15",A487,FIND("01",A487)+16)+8)+2,50),"")</f>
        <v/>
      </c>
      <c r="G487" s="5" t="n"/>
    </row>
    <row r="488">
      <c r="A488" s="7" t="n"/>
      <c r="B488" s="8">
        <f>IFERROR(MID(A488,FIND("01",A488)+2,14),"")</f>
        <v/>
      </c>
      <c r="C488" s="7">
        <f>IF(A488="","",IFERROR(VLOOKUP(B488,TblArticles,2,FALSE),"GTIN inconnu"))</f>
        <v/>
      </c>
      <c r="D488" s="8">
        <f>IF(A488="","",IFERROR(VLOOKUP(B488,TblArticles,3,FALSE),""))</f>
        <v/>
      </c>
      <c r="E488" s="9">
        <f>IFERROR(DATE(2000+VALUE(MID(A488,FIND("15",A488,FIND("01",A488)+16)+2,2)),VALUE(MID(A488,FIND("15",A488,FIND("01",A488)+16)+4,2)),VALUE(MID(A488,FIND("15",A488,FIND("01",A488)+16)+6,2))),"")</f>
        <v/>
      </c>
      <c r="F488" s="8">
        <f>IFERROR(MID(A488,FIND("10",A488,FIND("15",A488,FIND("01",A488)+16)+8)+2,50),"")</f>
        <v/>
      </c>
      <c r="G488" s="8" t="n"/>
    </row>
    <row r="489">
      <c r="A489" s="4" t="n"/>
      <c r="B489" s="5">
        <f>IFERROR(MID(A489,FIND("01",A489)+2,14),"")</f>
        <v/>
      </c>
      <c r="C489" s="4">
        <f>IF(A489="","",IFERROR(VLOOKUP(B489,TblArticles,2,FALSE),"GTIN inconnu"))</f>
        <v/>
      </c>
      <c r="D489" s="5">
        <f>IF(A489="","",IFERROR(VLOOKUP(B489,TblArticles,3,FALSE),""))</f>
        <v/>
      </c>
      <c r="E489" s="6">
        <f>IFERROR(DATE(2000+VALUE(MID(A489,FIND("15",A489,FIND("01",A489)+16)+2,2)),VALUE(MID(A489,FIND("15",A489,FIND("01",A489)+16)+4,2)),VALUE(MID(A489,FIND("15",A489,FIND("01",A489)+16)+6,2))),"")</f>
        <v/>
      </c>
      <c r="F489" s="5">
        <f>IFERROR(MID(A489,FIND("10",A489,FIND("15",A489,FIND("01",A489)+16)+8)+2,50),"")</f>
        <v/>
      </c>
      <c r="G489" s="5" t="n"/>
    </row>
    <row r="490">
      <c r="A490" s="7" t="n"/>
      <c r="B490" s="8">
        <f>IFERROR(MID(A490,FIND("01",A490)+2,14),"")</f>
        <v/>
      </c>
      <c r="C490" s="7">
        <f>IF(A490="","",IFERROR(VLOOKUP(B490,TblArticles,2,FALSE),"GTIN inconnu"))</f>
        <v/>
      </c>
      <c r="D490" s="8">
        <f>IF(A490="","",IFERROR(VLOOKUP(B490,TblArticles,3,FALSE),""))</f>
        <v/>
      </c>
      <c r="E490" s="9">
        <f>IFERROR(DATE(2000+VALUE(MID(A490,FIND("15",A490,FIND("01",A490)+16)+2,2)),VALUE(MID(A490,FIND("15",A490,FIND("01",A490)+16)+4,2)),VALUE(MID(A490,FIND("15",A490,FIND("01",A490)+16)+6,2))),"")</f>
        <v/>
      </c>
      <c r="F490" s="8">
        <f>IFERROR(MID(A490,FIND("10",A490,FIND("15",A490,FIND("01",A490)+16)+8)+2,50),"")</f>
        <v/>
      </c>
      <c r="G490" s="8" t="n"/>
    </row>
    <row r="491">
      <c r="A491" s="4" t="n"/>
      <c r="B491" s="5">
        <f>IFERROR(MID(A491,FIND("01",A491)+2,14),"")</f>
        <v/>
      </c>
      <c r="C491" s="4">
        <f>IF(A491="","",IFERROR(VLOOKUP(B491,TblArticles,2,FALSE),"GTIN inconnu"))</f>
        <v/>
      </c>
      <c r="D491" s="5">
        <f>IF(A491="","",IFERROR(VLOOKUP(B491,TblArticles,3,FALSE),""))</f>
        <v/>
      </c>
      <c r="E491" s="6">
        <f>IFERROR(DATE(2000+VALUE(MID(A491,FIND("15",A491,FIND("01",A491)+16)+2,2)),VALUE(MID(A491,FIND("15",A491,FIND("01",A491)+16)+4,2)),VALUE(MID(A491,FIND("15",A491,FIND("01",A491)+16)+6,2))),"")</f>
        <v/>
      </c>
      <c r="F491" s="5">
        <f>IFERROR(MID(A491,FIND("10",A491,FIND("15",A491,FIND("01",A491)+16)+8)+2,50),"")</f>
        <v/>
      </c>
      <c r="G491" s="5" t="n"/>
    </row>
    <row r="492">
      <c r="A492" s="7" t="n"/>
      <c r="B492" s="8">
        <f>IFERROR(MID(A492,FIND("01",A492)+2,14),"")</f>
        <v/>
      </c>
      <c r="C492" s="7">
        <f>IF(A492="","",IFERROR(VLOOKUP(B492,TblArticles,2,FALSE),"GTIN inconnu"))</f>
        <v/>
      </c>
      <c r="D492" s="8">
        <f>IF(A492="","",IFERROR(VLOOKUP(B492,TblArticles,3,FALSE),""))</f>
        <v/>
      </c>
      <c r="E492" s="9">
        <f>IFERROR(DATE(2000+VALUE(MID(A492,FIND("15",A492,FIND("01",A492)+16)+2,2)),VALUE(MID(A492,FIND("15",A492,FIND("01",A492)+16)+4,2)),VALUE(MID(A492,FIND("15",A492,FIND("01",A492)+16)+6,2))),"")</f>
        <v/>
      </c>
      <c r="F492" s="8">
        <f>IFERROR(MID(A492,FIND("10",A492,FIND("15",A492,FIND("01",A492)+16)+8)+2,50),"")</f>
        <v/>
      </c>
      <c r="G492" s="8" t="n"/>
    </row>
    <row r="493">
      <c r="A493" s="4" t="n"/>
      <c r="B493" s="5">
        <f>IFERROR(MID(A493,FIND("01",A493)+2,14),"")</f>
        <v/>
      </c>
      <c r="C493" s="4">
        <f>IF(A493="","",IFERROR(VLOOKUP(B493,TblArticles,2,FALSE),"GTIN inconnu"))</f>
        <v/>
      </c>
      <c r="D493" s="5">
        <f>IF(A493="","",IFERROR(VLOOKUP(B493,TblArticles,3,FALSE),""))</f>
        <v/>
      </c>
      <c r="E493" s="6">
        <f>IFERROR(DATE(2000+VALUE(MID(A493,FIND("15",A493,FIND("01",A493)+16)+2,2)),VALUE(MID(A493,FIND("15",A493,FIND("01",A493)+16)+4,2)),VALUE(MID(A493,FIND("15",A493,FIND("01",A493)+16)+6,2))),"")</f>
        <v/>
      </c>
      <c r="F493" s="5">
        <f>IFERROR(MID(A493,FIND("10",A493,FIND("15",A493,FIND("01",A493)+16)+8)+2,50),"")</f>
        <v/>
      </c>
      <c r="G493" s="5" t="n"/>
    </row>
    <row r="494">
      <c r="A494" s="7" t="n"/>
      <c r="B494" s="8">
        <f>IFERROR(MID(A494,FIND("01",A494)+2,14),"")</f>
        <v/>
      </c>
      <c r="C494" s="7">
        <f>IF(A494="","",IFERROR(VLOOKUP(B494,TblArticles,2,FALSE),"GTIN inconnu"))</f>
        <v/>
      </c>
      <c r="D494" s="8">
        <f>IF(A494="","",IFERROR(VLOOKUP(B494,TblArticles,3,FALSE),""))</f>
        <v/>
      </c>
      <c r="E494" s="9">
        <f>IFERROR(DATE(2000+VALUE(MID(A494,FIND("15",A494,FIND("01",A494)+16)+2,2)),VALUE(MID(A494,FIND("15",A494,FIND("01",A494)+16)+4,2)),VALUE(MID(A494,FIND("15",A494,FIND("01",A494)+16)+6,2))),"")</f>
        <v/>
      </c>
      <c r="F494" s="8">
        <f>IFERROR(MID(A494,FIND("10",A494,FIND("15",A494,FIND("01",A494)+16)+8)+2,50),"")</f>
        <v/>
      </c>
      <c r="G494" s="8" t="n"/>
    </row>
    <row r="495">
      <c r="A495" s="4" t="n"/>
      <c r="B495" s="5">
        <f>IFERROR(MID(A495,FIND("01",A495)+2,14),"")</f>
        <v/>
      </c>
      <c r="C495" s="4">
        <f>IF(A495="","",IFERROR(VLOOKUP(B495,TblArticles,2,FALSE),"GTIN inconnu"))</f>
        <v/>
      </c>
      <c r="D495" s="5">
        <f>IF(A495="","",IFERROR(VLOOKUP(B495,TblArticles,3,FALSE),""))</f>
        <v/>
      </c>
      <c r="E495" s="6">
        <f>IFERROR(DATE(2000+VALUE(MID(A495,FIND("15",A495,FIND("01",A495)+16)+2,2)),VALUE(MID(A495,FIND("15",A495,FIND("01",A495)+16)+4,2)),VALUE(MID(A495,FIND("15",A495,FIND("01",A495)+16)+6,2))),"")</f>
        <v/>
      </c>
      <c r="F495" s="5">
        <f>IFERROR(MID(A495,FIND("10",A495,FIND("15",A495,FIND("01",A495)+16)+8)+2,50),"")</f>
        <v/>
      </c>
      <c r="G495" s="5" t="n"/>
    </row>
    <row r="496">
      <c r="A496" s="7" t="n"/>
      <c r="B496" s="8">
        <f>IFERROR(MID(A496,FIND("01",A496)+2,14),"")</f>
        <v/>
      </c>
      <c r="C496" s="7">
        <f>IF(A496="","",IFERROR(VLOOKUP(B496,TblArticles,2,FALSE),"GTIN inconnu"))</f>
        <v/>
      </c>
      <c r="D496" s="8">
        <f>IF(A496="","",IFERROR(VLOOKUP(B496,TblArticles,3,FALSE),""))</f>
        <v/>
      </c>
      <c r="E496" s="9">
        <f>IFERROR(DATE(2000+VALUE(MID(A496,FIND("15",A496,FIND("01",A496)+16)+2,2)),VALUE(MID(A496,FIND("15",A496,FIND("01",A496)+16)+4,2)),VALUE(MID(A496,FIND("15",A496,FIND("01",A496)+16)+6,2))),"")</f>
        <v/>
      </c>
      <c r="F496" s="8">
        <f>IFERROR(MID(A496,FIND("10",A496,FIND("15",A496,FIND("01",A496)+16)+8)+2,50),"")</f>
        <v/>
      </c>
      <c r="G496" s="8" t="n"/>
    </row>
    <row r="497">
      <c r="A497" s="4" t="n"/>
      <c r="B497" s="5">
        <f>IFERROR(MID(A497,FIND("01",A497)+2,14),"")</f>
        <v/>
      </c>
      <c r="C497" s="4">
        <f>IF(A497="","",IFERROR(VLOOKUP(B497,TblArticles,2,FALSE),"GTIN inconnu"))</f>
        <v/>
      </c>
      <c r="D497" s="5">
        <f>IF(A497="","",IFERROR(VLOOKUP(B497,TblArticles,3,FALSE),""))</f>
        <v/>
      </c>
      <c r="E497" s="6">
        <f>IFERROR(DATE(2000+VALUE(MID(A497,FIND("15",A497,FIND("01",A497)+16)+2,2)),VALUE(MID(A497,FIND("15",A497,FIND("01",A497)+16)+4,2)),VALUE(MID(A497,FIND("15",A497,FIND("01",A497)+16)+6,2))),"")</f>
        <v/>
      </c>
      <c r="F497" s="5">
        <f>IFERROR(MID(A497,FIND("10",A497,FIND("15",A497,FIND("01",A497)+16)+8)+2,50),"")</f>
        <v/>
      </c>
      <c r="G497" s="5" t="n"/>
    </row>
    <row r="498">
      <c r="A498" s="7" t="n"/>
      <c r="B498" s="8">
        <f>IFERROR(MID(A498,FIND("01",A498)+2,14),"")</f>
        <v/>
      </c>
      <c r="C498" s="7">
        <f>IF(A498="","",IFERROR(VLOOKUP(B498,TblArticles,2,FALSE),"GTIN inconnu"))</f>
        <v/>
      </c>
      <c r="D498" s="8">
        <f>IF(A498="","",IFERROR(VLOOKUP(B498,TblArticles,3,FALSE),""))</f>
        <v/>
      </c>
      <c r="E498" s="9">
        <f>IFERROR(DATE(2000+VALUE(MID(A498,FIND("15",A498,FIND("01",A498)+16)+2,2)),VALUE(MID(A498,FIND("15",A498,FIND("01",A498)+16)+4,2)),VALUE(MID(A498,FIND("15",A498,FIND("01",A498)+16)+6,2))),"")</f>
        <v/>
      </c>
      <c r="F498" s="8">
        <f>IFERROR(MID(A498,FIND("10",A498,FIND("15",A498,FIND("01",A498)+16)+8)+2,50),"")</f>
        <v/>
      </c>
      <c r="G498" s="8" t="n"/>
    </row>
    <row r="499">
      <c r="A499" s="4" t="n"/>
      <c r="B499" s="5">
        <f>IFERROR(MID(A499,FIND("01",A499)+2,14),"")</f>
        <v/>
      </c>
      <c r="C499" s="4">
        <f>IF(A499="","",IFERROR(VLOOKUP(B499,TblArticles,2,FALSE),"GTIN inconnu"))</f>
        <v/>
      </c>
      <c r="D499" s="5">
        <f>IF(A499="","",IFERROR(VLOOKUP(B499,TblArticles,3,FALSE),""))</f>
        <v/>
      </c>
      <c r="E499" s="6">
        <f>IFERROR(DATE(2000+VALUE(MID(A499,FIND("15",A499,FIND("01",A499)+16)+2,2)),VALUE(MID(A499,FIND("15",A499,FIND("01",A499)+16)+4,2)),VALUE(MID(A499,FIND("15",A499,FIND("01",A499)+16)+6,2))),"")</f>
        <v/>
      </c>
      <c r="F499" s="5">
        <f>IFERROR(MID(A499,FIND("10",A499,FIND("15",A499,FIND("01",A499)+16)+8)+2,50),"")</f>
        <v/>
      </c>
      <c r="G499" s="5" t="n"/>
    </row>
    <row r="500">
      <c r="A500" s="7" t="n"/>
      <c r="B500" s="8">
        <f>IFERROR(MID(A500,FIND("01",A500)+2,14),"")</f>
        <v/>
      </c>
      <c r="C500" s="7">
        <f>IF(A500="","",IFERROR(VLOOKUP(B500,TblArticles,2,FALSE),"GTIN inconnu"))</f>
        <v/>
      </c>
      <c r="D500" s="8">
        <f>IF(A500="","",IFERROR(VLOOKUP(B500,TblArticles,3,FALSE),""))</f>
        <v/>
      </c>
      <c r="E500" s="9">
        <f>IFERROR(DATE(2000+VALUE(MID(A500,FIND("15",A500,FIND("01",A500)+16)+2,2)),VALUE(MID(A500,FIND("15",A500,FIND("01",A500)+16)+4,2)),VALUE(MID(A500,FIND("15",A500,FIND("01",A500)+16)+6,2))),"")</f>
        <v/>
      </c>
      <c r="F500" s="8">
        <f>IFERROR(MID(A500,FIND("10",A500,FIND("15",A500,FIND("01",A500)+16)+8)+2,50),"")</f>
        <v/>
      </c>
      <c r="G500" s="8" t="n"/>
    </row>
    <row r="501">
      <c r="A501" s="4" t="n"/>
      <c r="B501" s="5">
        <f>IFERROR(MID(A501,FIND("01",A501)+2,14),"")</f>
        <v/>
      </c>
      <c r="C501" s="4">
        <f>IF(A501="","",IFERROR(VLOOKUP(B501,TblArticles,2,FALSE),"GTIN inconnu"))</f>
        <v/>
      </c>
      <c r="D501" s="5">
        <f>IF(A501="","",IFERROR(VLOOKUP(B501,TblArticles,3,FALSE),""))</f>
        <v/>
      </c>
      <c r="E501" s="6">
        <f>IFERROR(DATE(2000+VALUE(MID(A501,FIND("15",A501,FIND("01",A501)+16)+2,2)),VALUE(MID(A501,FIND("15",A501,FIND("01",A501)+16)+4,2)),VALUE(MID(A501,FIND("15",A501,FIND("01",A501)+16)+6,2))),"")</f>
        <v/>
      </c>
      <c r="F501" s="5">
        <f>IFERROR(MID(A501,FIND("10",A501,FIND("15",A501,FIND("01",A501)+16)+8)+2,50),"")</f>
        <v/>
      </c>
      <c r="G501" s="5" t="n"/>
    </row>
    <row r="502">
      <c r="A502" s="7" t="n"/>
      <c r="B502" s="8">
        <f>IFERROR(MID(A502,FIND("01",A502)+2,14),"")</f>
        <v/>
      </c>
      <c r="C502" s="7">
        <f>IF(A502="","",IFERROR(VLOOKUP(B502,TblArticles,2,FALSE),"GTIN inconnu"))</f>
        <v/>
      </c>
      <c r="D502" s="8">
        <f>IF(A502="","",IFERROR(VLOOKUP(B502,TblArticles,3,FALSE),""))</f>
        <v/>
      </c>
      <c r="E502" s="9">
        <f>IFERROR(DATE(2000+VALUE(MID(A502,FIND("15",A502,FIND("01",A502)+16)+2,2)),VALUE(MID(A502,FIND("15",A502,FIND("01",A502)+16)+4,2)),VALUE(MID(A502,FIND("15",A502,FIND("01",A502)+16)+6,2))),"")</f>
        <v/>
      </c>
      <c r="F502" s="8">
        <f>IFERROR(MID(A502,FIND("10",A502,FIND("15",A502,FIND("01",A502)+16)+8)+2,50),"")</f>
        <v/>
      </c>
      <c r="G502" s="8" t="n"/>
    </row>
    <row r="503">
      <c r="A503" s="4" t="n"/>
      <c r="B503" s="5">
        <f>IFERROR(MID(A503,FIND("01",A503)+2,14),"")</f>
        <v/>
      </c>
      <c r="C503" s="4">
        <f>IF(A503="","",IFERROR(VLOOKUP(B503,TblArticles,2,FALSE),"GTIN inconnu"))</f>
        <v/>
      </c>
      <c r="D503" s="5">
        <f>IF(A503="","",IFERROR(VLOOKUP(B503,TblArticles,3,FALSE),""))</f>
        <v/>
      </c>
      <c r="E503" s="6">
        <f>IFERROR(DATE(2000+VALUE(MID(A503,FIND("15",A503,FIND("01",A503)+16)+2,2)),VALUE(MID(A503,FIND("15",A503,FIND("01",A503)+16)+4,2)),VALUE(MID(A503,FIND("15",A503,FIND("01",A503)+16)+6,2))),"")</f>
        <v/>
      </c>
      <c r="F503" s="5">
        <f>IFERROR(MID(A503,FIND("10",A503,FIND("15",A503,FIND("01",A503)+16)+8)+2,50),"")</f>
        <v/>
      </c>
      <c r="G503" s="5" t="n"/>
    </row>
    <row r="504">
      <c r="A504" s="7" t="n"/>
      <c r="B504" s="8">
        <f>IFERROR(MID(A504,FIND("01",A504)+2,14),"")</f>
        <v/>
      </c>
      <c r="C504" s="7">
        <f>IF(A504="","",IFERROR(VLOOKUP(B504,TblArticles,2,FALSE),"GTIN inconnu"))</f>
        <v/>
      </c>
      <c r="D504" s="8">
        <f>IF(A504="","",IFERROR(VLOOKUP(B504,TblArticles,3,FALSE),""))</f>
        <v/>
      </c>
      <c r="E504" s="9">
        <f>IFERROR(DATE(2000+VALUE(MID(A504,FIND("15",A504,FIND("01",A504)+16)+2,2)),VALUE(MID(A504,FIND("15",A504,FIND("01",A504)+16)+4,2)),VALUE(MID(A504,FIND("15",A504,FIND("01",A504)+16)+6,2))),"")</f>
        <v/>
      </c>
      <c r="F504" s="8">
        <f>IFERROR(MID(A504,FIND("10",A504,FIND("15",A504,FIND("01",A504)+16)+8)+2,50),"")</f>
        <v/>
      </c>
      <c r="G504" s="8" t="n"/>
    </row>
    <row r="505">
      <c r="A505" s="4" t="n"/>
      <c r="B505" s="5">
        <f>IFERROR(MID(A505,FIND("01",A505)+2,14),"")</f>
        <v/>
      </c>
      <c r="C505" s="4">
        <f>IF(A505="","",IFERROR(VLOOKUP(B505,TblArticles,2,FALSE),"GTIN inconnu"))</f>
        <v/>
      </c>
      <c r="D505" s="5">
        <f>IF(A505="","",IFERROR(VLOOKUP(B505,TblArticles,3,FALSE),""))</f>
        <v/>
      </c>
      <c r="E505" s="6">
        <f>IFERROR(DATE(2000+VALUE(MID(A505,FIND("15",A505,FIND("01",A505)+16)+2,2)),VALUE(MID(A505,FIND("15",A505,FIND("01",A505)+16)+4,2)),VALUE(MID(A505,FIND("15",A505,FIND("01",A505)+16)+6,2))),"")</f>
        <v/>
      </c>
      <c r="F505" s="5">
        <f>IFERROR(MID(A505,FIND("10",A505,FIND("15",A505,FIND("01",A505)+16)+8)+2,50),"")</f>
        <v/>
      </c>
      <c r="G505" s="5" t="n"/>
    </row>
    <row r="506">
      <c r="A506" s="7" t="n"/>
      <c r="B506" s="8">
        <f>IFERROR(MID(A506,FIND("01",A506)+2,14),"")</f>
        <v/>
      </c>
      <c r="C506" s="7">
        <f>IF(A506="","",IFERROR(VLOOKUP(B506,TblArticles,2,FALSE),"GTIN inconnu"))</f>
        <v/>
      </c>
      <c r="D506" s="8">
        <f>IF(A506="","",IFERROR(VLOOKUP(B506,TblArticles,3,FALSE),""))</f>
        <v/>
      </c>
      <c r="E506" s="9">
        <f>IFERROR(DATE(2000+VALUE(MID(A506,FIND("15",A506,FIND("01",A506)+16)+2,2)),VALUE(MID(A506,FIND("15",A506,FIND("01",A506)+16)+4,2)),VALUE(MID(A506,FIND("15",A506,FIND("01",A506)+16)+6,2))),"")</f>
        <v/>
      </c>
      <c r="F506" s="8">
        <f>IFERROR(MID(A506,FIND("10",A506,FIND("15",A506,FIND("01",A506)+16)+8)+2,50),"")</f>
        <v/>
      </c>
      <c r="G506" s="8" t="n"/>
    </row>
    <row r="507">
      <c r="A507" s="4" t="n"/>
      <c r="B507" s="5">
        <f>IFERROR(MID(A507,FIND("01",A507)+2,14),"")</f>
        <v/>
      </c>
      <c r="C507" s="4">
        <f>IF(A507="","",IFERROR(VLOOKUP(B507,TblArticles,2,FALSE),"GTIN inconnu"))</f>
        <v/>
      </c>
      <c r="D507" s="5">
        <f>IF(A507="","",IFERROR(VLOOKUP(B507,TblArticles,3,FALSE),""))</f>
        <v/>
      </c>
      <c r="E507" s="6">
        <f>IFERROR(DATE(2000+VALUE(MID(A507,FIND("15",A507,FIND("01",A507)+16)+2,2)),VALUE(MID(A507,FIND("15",A507,FIND("01",A507)+16)+4,2)),VALUE(MID(A507,FIND("15",A507,FIND("01",A507)+16)+6,2))),"")</f>
        <v/>
      </c>
      <c r="F507" s="5">
        <f>IFERROR(MID(A507,FIND("10",A507,FIND("15",A507,FIND("01",A507)+16)+8)+2,50),"")</f>
        <v/>
      </c>
      <c r="G507" s="5" t="n"/>
    </row>
    <row r="508">
      <c r="A508" s="7" t="n"/>
      <c r="B508" s="8">
        <f>IFERROR(MID(A508,FIND("01",A508)+2,14),"")</f>
        <v/>
      </c>
      <c r="C508" s="7">
        <f>IF(A508="","",IFERROR(VLOOKUP(B508,TblArticles,2,FALSE),"GTIN inconnu"))</f>
        <v/>
      </c>
      <c r="D508" s="8">
        <f>IF(A508="","",IFERROR(VLOOKUP(B508,TblArticles,3,FALSE),""))</f>
        <v/>
      </c>
      <c r="E508" s="9">
        <f>IFERROR(DATE(2000+VALUE(MID(A508,FIND("15",A508,FIND("01",A508)+16)+2,2)),VALUE(MID(A508,FIND("15",A508,FIND("01",A508)+16)+4,2)),VALUE(MID(A508,FIND("15",A508,FIND("01",A508)+16)+6,2))),"")</f>
        <v/>
      </c>
      <c r="F508" s="8">
        <f>IFERROR(MID(A508,FIND("10",A508,FIND("15",A508,FIND("01",A508)+16)+8)+2,50),"")</f>
        <v/>
      </c>
      <c r="G508" s="8" t="n"/>
    </row>
    <row r="509">
      <c r="A509" s="4" t="n"/>
      <c r="B509" s="5">
        <f>IFERROR(MID(A509,FIND("01",A509)+2,14),"")</f>
        <v/>
      </c>
      <c r="C509" s="4">
        <f>IF(A509="","",IFERROR(VLOOKUP(B509,TblArticles,2,FALSE),"GTIN inconnu"))</f>
        <v/>
      </c>
      <c r="D509" s="5">
        <f>IF(A509="","",IFERROR(VLOOKUP(B509,TblArticles,3,FALSE),""))</f>
        <v/>
      </c>
      <c r="E509" s="6">
        <f>IFERROR(DATE(2000+VALUE(MID(A509,FIND("15",A509,FIND("01",A509)+16)+2,2)),VALUE(MID(A509,FIND("15",A509,FIND("01",A509)+16)+4,2)),VALUE(MID(A509,FIND("15",A509,FIND("01",A509)+16)+6,2))),"")</f>
        <v/>
      </c>
      <c r="F509" s="5">
        <f>IFERROR(MID(A509,FIND("10",A509,FIND("15",A509,FIND("01",A509)+16)+8)+2,50),"")</f>
        <v/>
      </c>
      <c r="G509" s="5" t="n"/>
    </row>
    <row r="510">
      <c r="A510" s="7" t="n"/>
      <c r="B510" s="8">
        <f>IFERROR(MID(A510,FIND("01",A510)+2,14),"")</f>
        <v/>
      </c>
      <c r="C510" s="7">
        <f>IF(A510="","",IFERROR(VLOOKUP(B510,TblArticles,2,FALSE),"GTIN inconnu"))</f>
        <v/>
      </c>
      <c r="D510" s="8">
        <f>IF(A510="","",IFERROR(VLOOKUP(B510,TblArticles,3,FALSE),""))</f>
        <v/>
      </c>
      <c r="E510" s="9">
        <f>IFERROR(DATE(2000+VALUE(MID(A510,FIND("15",A510,FIND("01",A510)+16)+2,2)),VALUE(MID(A510,FIND("15",A510,FIND("01",A510)+16)+4,2)),VALUE(MID(A510,FIND("15",A510,FIND("01",A510)+16)+6,2))),"")</f>
        <v/>
      </c>
      <c r="F510" s="8">
        <f>IFERROR(MID(A510,FIND("10",A510,FIND("15",A510,FIND("01",A510)+16)+8)+2,50),"")</f>
        <v/>
      </c>
      <c r="G510" s="8" t="n"/>
    </row>
    <row r="511">
      <c r="A511" s="4" t="n"/>
      <c r="B511" s="5">
        <f>IFERROR(MID(A511,FIND("01",A511)+2,14),"")</f>
        <v/>
      </c>
      <c r="C511" s="4">
        <f>IF(A511="","",IFERROR(VLOOKUP(B511,TblArticles,2,FALSE),"GTIN inconnu"))</f>
        <v/>
      </c>
      <c r="D511" s="5">
        <f>IF(A511="","",IFERROR(VLOOKUP(B511,TblArticles,3,FALSE),""))</f>
        <v/>
      </c>
      <c r="E511" s="6">
        <f>IFERROR(DATE(2000+VALUE(MID(A511,FIND("15",A511,FIND("01",A511)+16)+2,2)),VALUE(MID(A511,FIND("15",A511,FIND("01",A511)+16)+4,2)),VALUE(MID(A511,FIND("15",A511,FIND("01",A511)+16)+6,2))),"")</f>
        <v/>
      </c>
      <c r="F511" s="5">
        <f>IFERROR(MID(A511,FIND("10",A511,FIND("15",A511,FIND("01",A511)+16)+8)+2,50),"")</f>
        <v/>
      </c>
      <c r="G511" s="5" t="n"/>
    </row>
    <row r="512">
      <c r="A512" s="7" t="n"/>
      <c r="B512" s="8">
        <f>IFERROR(MID(A512,FIND("01",A512)+2,14),"")</f>
        <v/>
      </c>
      <c r="C512" s="7">
        <f>IF(A512="","",IFERROR(VLOOKUP(B512,TblArticles,2,FALSE),"GTIN inconnu"))</f>
        <v/>
      </c>
      <c r="D512" s="8">
        <f>IF(A512="","",IFERROR(VLOOKUP(B512,TblArticles,3,FALSE),""))</f>
        <v/>
      </c>
      <c r="E512" s="9">
        <f>IFERROR(DATE(2000+VALUE(MID(A512,FIND("15",A512,FIND("01",A512)+16)+2,2)),VALUE(MID(A512,FIND("15",A512,FIND("01",A512)+16)+4,2)),VALUE(MID(A512,FIND("15",A512,FIND("01",A512)+16)+6,2))),"")</f>
        <v/>
      </c>
      <c r="F512" s="8">
        <f>IFERROR(MID(A512,FIND("10",A512,FIND("15",A512,FIND("01",A512)+16)+8)+2,50),"")</f>
        <v/>
      </c>
      <c r="G512" s="8" t="n"/>
    </row>
    <row r="513">
      <c r="A513" s="4" t="n"/>
      <c r="B513" s="5">
        <f>IFERROR(MID(A513,FIND("01",A513)+2,14),"")</f>
        <v/>
      </c>
      <c r="C513" s="4">
        <f>IF(A513="","",IFERROR(VLOOKUP(B513,TblArticles,2,FALSE),"GTIN inconnu"))</f>
        <v/>
      </c>
      <c r="D513" s="5">
        <f>IF(A513="","",IFERROR(VLOOKUP(B513,TblArticles,3,FALSE),""))</f>
        <v/>
      </c>
      <c r="E513" s="6">
        <f>IFERROR(DATE(2000+VALUE(MID(A513,FIND("15",A513,FIND("01",A513)+16)+2,2)),VALUE(MID(A513,FIND("15",A513,FIND("01",A513)+16)+4,2)),VALUE(MID(A513,FIND("15",A513,FIND("01",A513)+16)+6,2))),"")</f>
        <v/>
      </c>
      <c r="F513" s="5">
        <f>IFERROR(MID(A513,FIND("10",A513,FIND("15",A513,FIND("01",A513)+16)+8)+2,50),"")</f>
        <v/>
      </c>
      <c r="G513" s="5" t="n"/>
    </row>
    <row r="514">
      <c r="A514" s="7" t="n"/>
      <c r="B514" s="8">
        <f>IFERROR(MID(A514,FIND("01",A514)+2,14),"")</f>
        <v/>
      </c>
      <c r="C514" s="7">
        <f>IF(A514="","",IFERROR(VLOOKUP(B514,TblArticles,2,FALSE),"GTIN inconnu"))</f>
        <v/>
      </c>
      <c r="D514" s="8">
        <f>IF(A514="","",IFERROR(VLOOKUP(B514,TblArticles,3,FALSE),""))</f>
        <v/>
      </c>
      <c r="E514" s="9">
        <f>IFERROR(DATE(2000+VALUE(MID(A514,FIND("15",A514,FIND("01",A514)+16)+2,2)),VALUE(MID(A514,FIND("15",A514,FIND("01",A514)+16)+4,2)),VALUE(MID(A514,FIND("15",A514,FIND("01",A514)+16)+6,2))),"")</f>
        <v/>
      </c>
      <c r="F514" s="8">
        <f>IFERROR(MID(A514,FIND("10",A514,FIND("15",A514,FIND("01",A514)+16)+8)+2,50),"")</f>
        <v/>
      </c>
      <c r="G514" s="8" t="n"/>
    </row>
    <row r="515">
      <c r="A515" s="4" t="n"/>
      <c r="B515" s="5">
        <f>IFERROR(MID(A515,FIND("01",A515)+2,14),"")</f>
        <v/>
      </c>
      <c r="C515" s="4">
        <f>IF(A515="","",IFERROR(VLOOKUP(B515,TblArticles,2,FALSE),"GTIN inconnu"))</f>
        <v/>
      </c>
      <c r="D515" s="5">
        <f>IF(A515="","",IFERROR(VLOOKUP(B515,TblArticles,3,FALSE),""))</f>
        <v/>
      </c>
      <c r="E515" s="6">
        <f>IFERROR(DATE(2000+VALUE(MID(A515,FIND("15",A515,FIND("01",A515)+16)+2,2)),VALUE(MID(A515,FIND("15",A515,FIND("01",A515)+16)+4,2)),VALUE(MID(A515,FIND("15",A515,FIND("01",A515)+16)+6,2))),"")</f>
        <v/>
      </c>
      <c r="F515" s="5">
        <f>IFERROR(MID(A515,FIND("10",A515,FIND("15",A515,FIND("01",A515)+16)+8)+2,50),"")</f>
        <v/>
      </c>
      <c r="G515" s="5" t="n"/>
    </row>
    <row r="516">
      <c r="A516" s="7" t="n"/>
      <c r="B516" s="8">
        <f>IFERROR(MID(A516,FIND("01",A516)+2,14),"")</f>
        <v/>
      </c>
      <c r="C516" s="7">
        <f>IF(A516="","",IFERROR(VLOOKUP(B516,TblArticles,2,FALSE),"GTIN inconnu"))</f>
        <v/>
      </c>
      <c r="D516" s="8">
        <f>IF(A516="","",IFERROR(VLOOKUP(B516,TblArticles,3,FALSE),""))</f>
        <v/>
      </c>
      <c r="E516" s="9">
        <f>IFERROR(DATE(2000+VALUE(MID(A516,FIND("15",A516,FIND("01",A516)+16)+2,2)),VALUE(MID(A516,FIND("15",A516,FIND("01",A516)+16)+4,2)),VALUE(MID(A516,FIND("15",A516,FIND("01",A516)+16)+6,2))),"")</f>
        <v/>
      </c>
      <c r="F516" s="8">
        <f>IFERROR(MID(A516,FIND("10",A516,FIND("15",A516,FIND("01",A516)+16)+8)+2,50),"")</f>
        <v/>
      </c>
      <c r="G516" s="8" t="n"/>
    </row>
    <row r="517">
      <c r="A517" s="4" t="n"/>
      <c r="B517" s="5">
        <f>IFERROR(MID(A517,FIND("01",A517)+2,14),"")</f>
        <v/>
      </c>
      <c r="C517" s="4">
        <f>IF(A517="","",IFERROR(VLOOKUP(B517,TblArticles,2,FALSE),"GTIN inconnu"))</f>
        <v/>
      </c>
      <c r="D517" s="5">
        <f>IF(A517="","",IFERROR(VLOOKUP(B517,TblArticles,3,FALSE),""))</f>
        <v/>
      </c>
      <c r="E517" s="6">
        <f>IFERROR(DATE(2000+VALUE(MID(A517,FIND("15",A517,FIND("01",A517)+16)+2,2)),VALUE(MID(A517,FIND("15",A517,FIND("01",A517)+16)+4,2)),VALUE(MID(A517,FIND("15",A517,FIND("01",A517)+16)+6,2))),"")</f>
        <v/>
      </c>
      <c r="F517" s="5">
        <f>IFERROR(MID(A517,FIND("10",A517,FIND("15",A517,FIND("01",A517)+16)+8)+2,50),"")</f>
        <v/>
      </c>
      <c r="G517" s="5" t="n"/>
    </row>
    <row r="518">
      <c r="A518" s="7" t="n"/>
      <c r="B518" s="8">
        <f>IFERROR(MID(A518,FIND("01",A518)+2,14),"")</f>
        <v/>
      </c>
      <c r="C518" s="7">
        <f>IF(A518="","",IFERROR(VLOOKUP(B518,TblArticles,2,FALSE),"GTIN inconnu"))</f>
        <v/>
      </c>
      <c r="D518" s="8">
        <f>IF(A518="","",IFERROR(VLOOKUP(B518,TblArticles,3,FALSE),""))</f>
        <v/>
      </c>
      <c r="E518" s="9">
        <f>IFERROR(DATE(2000+VALUE(MID(A518,FIND("15",A518,FIND("01",A518)+16)+2,2)),VALUE(MID(A518,FIND("15",A518,FIND("01",A518)+16)+4,2)),VALUE(MID(A518,FIND("15",A518,FIND("01",A518)+16)+6,2))),"")</f>
        <v/>
      </c>
      <c r="F518" s="8">
        <f>IFERROR(MID(A518,FIND("10",A518,FIND("15",A518,FIND("01",A518)+16)+8)+2,50),"")</f>
        <v/>
      </c>
      <c r="G518" s="8" t="n"/>
    </row>
    <row r="519">
      <c r="A519" s="4" t="n"/>
      <c r="B519" s="5">
        <f>IFERROR(MID(A519,FIND("01",A519)+2,14),"")</f>
        <v/>
      </c>
      <c r="C519" s="4">
        <f>IF(A519="","",IFERROR(VLOOKUP(B519,TblArticles,2,FALSE),"GTIN inconnu"))</f>
        <v/>
      </c>
      <c r="D519" s="5">
        <f>IF(A519="","",IFERROR(VLOOKUP(B519,TblArticles,3,FALSE),""))</f>
        <v/>
      </c>
      <c r="E519" s="6">
        <f>IFERROR(DATE(2000+VALUE(MID(A519,FIND("15",A519,FIND("01",A519)+16)+2,2)),VALUE(MID(A519,FIND("15",A519,FIND("01",A519)+16)+4,2)),VALUE(MID(A519,FIND("15",A519,FIND("01",A519)+16)+6,2))),"")</f>
        <v/>
      </c>
      <c r="F519" s="5">
        <f>IFERROR(MID(A519,FIND("10",A519,FIND("15",A519,FIND("01",A519)+16)+8)+2,50),"")</f>
        <v/>
      </c>
      <c r="G519" s="5" t="n"/>
    </row>
    <row r="520">
      <c r="A520" s="7" t="n"/>
      <c r="B520" s="8">
        <f>IFERROR(MID(A520,FIND("01",A520)+2,14),"")</f>
        <v/>
      </c>
      <c r="C520" s="7">
        <f>IF(A520="","",IFERROR(VLOOKUP(B520,TblArticles,2,FALSE),"GTIN inconnu"))</f>
        <v/>
      </c>
      <c r="D520" s="8">
        <f>IF(A520="","",IFERROR(VLOOKUP(B520,TblArticles,3,FALSE),""))</f>
        <v/>
      </c>
      <c r="E520" s="9">
        <f>IFERROR(DATE(2000+VALUE(MID(A520,FIND("15",A520,FIND("01",A520)+16)+2,2)),VALUE(MID(A520,FIND("15",A520,FIND("01",A520)+16)+4,2)),VALUE(MID(A520,FIND("15",A520,FIND("01",A520)+16)+6,2))),"")</f>
        <v/>
      </c>
      <c r="F520" s="8">
        <f>IFERROR(MID(A520,FIND("10",A520,FIND("15",A520,FIND("01",A520)+16)+8)+2,50),"")</f>
        <v/>
      </c>
      <c r="G520" s="8" t="n"/>
    </row>
    <row r="521">
      <c r="A521" s="4" t="n"/>
      <c r="B521" s="5">
        <f>IFERROR(MID(A521,FIND("01",A521)+2,14),"")</f>
        <v/>
      </c>
      <c r="C521" s="4">
        <f>IF(A521="","",IFERROR(VLOOKUP(B521,TblArticles,2,FALSE),"GTIN inconnu"))</f>
        <v/>
      </c>
      <c r="D521" s="5">
        <f>IF(A521="","",IFERROR(VLOOKUP(B521,TblArticles,3,FALSE),""))</f>
        <v/>
      </c>
      <c r="E521" s="6">
        <f>IFERROR(DATE(2000+VALUE(MID(A521,FIND("15",A521,FIND("01",A521)+16)+2,2)),VALUE(MID(A521,FIND("15",A521,FIND("01",A521)+16)+4,2)),VALUE(MID(A521,FIND("15",A521,FIND("01",A521)+16)+6,2))),"")</f>
        <v/>
      </c>
      <c r="F521" s="5">
        <f>IFERROR(MID(A521,FIND("10",A521,FIND("15",A521,FIND("01",A521)+16)+8)+2,50),"")</f>
        <v/>
      </c>
      <c r="G521" s="5" t="n"/>
    </row>
    <row r="522">
      <c r="A522" s="7" t="n"/>
      <c r="B522" s="8">
        <f>IFERROR(MID(A522,FIND("01",A522)+2,14),"")</f>
        <v/>
      </c>
      <c r="C522" s="7">
        <f>IF(A522="","",IFERROR(VLOOKUP(B522,TblArticles,2,FALSE),"GTIN inconnu"))</f>
        <v/>
      </c>
      <c r="D522" s="8">
        <f>IF(A522="","",IFERROR(VLOOKUP(B522,TblArticles,3,FALSE),""))</f>
        <v/>
      </c>
      <c r="E522" s="9">
        <f>IFERROR(DATE(2000+VALUE(MID(A522,FIND("15",A522,FIND("01",A522)+16)+2,2)),VALUE(MID(A522,FIND("15",A522,FIND("01",A522)+16)+4,2)),VALUE(MID(A522,FIND("15",A522,FIND("01",A522)+16)+6,2))),"")</f>
        <v/>
      </c>
      <c r="F522" s="8">
        <f>IFERROR(MID(A522,FIND("10",A522,FIND("15",A522,FIND("01",A522)+16)+8)+2,50),"")</f>
        <v/>
      </c>
      <c r="G522" s="8" t="n"/>
    </row>
    <row r="523">
      <c r="A523" s="4" t="n"/>
      <c r="B523" s="5">
        <f>IFERROR(MID(A523,FIND("01",A523)+2,14),"")</f>
        <v/>
      </c>
      <c r="C523" s="4">
        <f>IF(A523="","",IFERROR(VLOOKUP(B523,TblArticles,2,FALSE),"GTIN inconnu"))</f>
        <v/>
      </c>
      <c r="D523" s="5">
        <f>IF(A523="","",IFERROR(VLOOKUP(B523,TblArticles,3,FALSE),""))</f>
        <v/>
      </c>
      <c r="E523" s="6">
        <f>IFERROR(DATE(2000+VALUE(MID(A523,FIND("15",A523,FIND("01",A523)+16)+2,2)),VALUE(MID(A523,FIND("15",A523,FIND("01",A523)+16)+4,2)),VALUE(MID(A523,FIND("15",A523,FIND("01",A523)+16)+6,2))),"")</f>
        <v/>
      </c>
      <c r="F523" s="5">
        <f>IFERROR(MID(A523,FIND("10",A523,FIND("15",A523,FIND("01",A523)+16)+8)+2,50),"")</f>
        <v/>
      </c>
      <c r="G523" s="5" t="n"/>
    </row>
    <row r="524">
      <c r="A524" s="7" t="n"/>
      <c r="B524" s="8">
        <f>IFERROR(MID(A524,FIND("01",A524)+2,14),"")</f>
        <v/>
      </c>
      <c r="C524" s="7">
        <f>IF(A524="","",IFERROR(VLOOKUP(B524,TblArticles,2,FALSE),"GTIN inconnu"))</f>
        <v/>
      </c>
      <c r="D524" s="8">
        <f>IF(A524="","",IFERROR(VLOOKUP(B524,TblArticles,3,FALSE),""))</f>
        <v/>
      </c>
      <c r="E524" s="9">
        <f>IFERROR(DATE(2000+VALUE(MID(A524,FIND("15",A524,FIND("01",A524)+16)+2,2)),VALUE(MID(A524,FIND("15",A524,FIND("01",A524)+16)+4,2)),VALUE(MID(A524,FIND("15",A524,FIND("01",A524)+16)+6,2))),"")</f>
        <v/>
      </c>
      <c r="F524" s="8">
        <f>IFERROR(MID(A524,FIND("10",A524,FIND("15",A524,FIND("01",A524)+16)+8)+2,50),"")</f>
        <v/>
      </c>
      <c r="G524" s="8" t="n"/>
    </row>
    <row r="525">
      <c r="A525" s="4" t="n"/>
      <c r="B525" s="5">
        <f>IFERROR(MID(A525,FIND("01",A525)+2,14),"")</f>
        <v/>
      </c>
      <c r="C525" s="4">
        <f>IF(A525="","",IFERROR(VLOOKUP(B525,TblArticles,2,FALSE),"GTIN inconnu"))</f>
        <v/>
      </c>
      <c r="D525" s="5">
        <f>IF(A525="","",IFERROR(VLOOKUP(B525,TblArticles,3,FALSE),""))</f>
        <v/>
      </c>
      <c r="E525" s="6">
        <f>IFERROR(DATE(2000+VALUE(MID(A525,FIND("15",A525,FIND("01",A525)+16)+2,2)),VALUE(MID(A525,FIND("15",A525,FIND("01",A525)+16)+4,2)),VALUE(MID(A525,FIND("15",A525,FIND("01",A525)+16)+6,2))),"")</f>
        <v/>
      </c>
      <c r="F525" s="5">
        <f>IFERROR(MID(A525,FIND("10",A525,FIND("15",A525,FIND("01",A525)+16)+8)+2,50),"")</f>
        <v/>
      </c>
      <c r="G525" s="5" t="n"/>
    </row>
    <row r="526">
      <c r="A526" s="7" t="n"/>
      <c r="B526" s="8">
        <f>IFERROR(MID(A526,FIND("01",A526)+2,14),"")</f>
        <v/>
      </c>
      <c r="C526" s="7">
        <f>IF(A526="","",IFERROR(VLOOKUP(B526,TblArticles,2,FALSE),"GTIN inconnu"))</f>
        <v/>
      </c>
      <c r="D526" s="8">
        <f>IF(A526="","",IFERROR(VLOOKUP(B526,TblArticles,3,FALSE),""))</f>
        <v/>
      </c>
      <c r="E526" s="9">
        <f>IFERROR(DATE(2000+VALUE(MID(A526,FIND("15",A526,FIND("01",A526)+16)+2,2)),VALUE(MID(A526,FIND("15",A526,FIND("01",A526)+16)+4,2)),VALUE(MID(A526,FIND("15",A526,FIND("01",A526)+16)+6,2))),"")</f>
        <v/>
      </c>
      <c r="F526" s="8">
        <f>IFERROR(MID(A526,FIND("10",A526,FIND("15",A526,FIND("01",A526)+16)+8)+2,50),"")</f>
        <v/>
      </c>
      <c r="G526" s="8" t="n"/>
    </row>
    <row r="527">
      <c r="A527" s="4" t="n"/>
      <c r="B527" s="5">
        <f>IFERROR(MID(A527,FIND("01",A527)+2,14),"")</f>
        <v/>
      </c>
      <c r="C527" s="4">
        <f>IF(A527="","",IFERROR(VLOOKUP(B527,TblArticles,2,FALSE),"GTIN inconnu"))</f>
        <v/>
      </c>
      <c r="D527" s="5">
        <f>IF(A527="","",IFERROR(VLOOKUP(B527,TblArticles,3,FALSE),""))</f>
        <v/>
      </c>
      <c r="E527" s="6">
        <f>IFERROR(DATE(2000+VALUE(MID(A527,FIND("15",A527,FIND("01",A527)+16)+2,2)),VALUE(MID(A527,FIND("15",A527,FIND("01",A527)+16)+4,2)),VALUE(MID(A527,FIND("15",A527,FIND("01",A527)+16)+6,2))),"")</f>
        <v/>
      </c>
      <c r="F527" s="5">
        <f>IFERROR(MID(A527,FIND("10",A527,FIND("15",A527,FIND("01",A527)+16)+8)+2,50),"")</f>
        <v/>
      </c>
      <c r="G527" s="5" t="n"/>
    </row>
    <row r="528">
      <c r="A528" s="7" t="n"/>
      <c r="B528" s="8">
        <f>IFERROR(MID(A528,FIND("01",A528)+2,14),"")</f>
        <v/>
      </c>
      <c r="C528" s="7">
        <f>IF(A528="","",IFERROR(VLOOKUP(B528,TblArticles,2,FALSE),"GTIN inconnu"))</f>
        <v/>
      </c>
      <c r="D528" s="8">
        <f>IF(A528="","",IFERROR(VLOOKUP(B528,TblArticles,3,FALSE),""))</f>
        <v/>
      </c>
      <c r="E528" s="9">
        <f>IFERROR(DATE(2000+VALUE(MID(A528,FIND("15",A528,FIND("01",A528)+16)+2,2)),VALUE(MID(A528,FIND("15",A528,FIND("01",A528)+16)+4,2)),VALUE(MID(A528,FIND("15",A528,FIND("01",A528)+16)+6,2))),"")</f>
        <v/>
      </c>
      <c r="F528" s="8">
        <f>IFERROR(MID(A528,FIND("10",A528,FIND("15",A528,FIND("01",A528)+16)+8)+2,50),"")</f>
        <v/>
      </c>
      <c r="G528" s="8" t="n"/>
    </row>
    <row r="529">
      <c r="A529" s="4" t="n"/>
      <c r="B529" s="5">
        <f>IFERROR(MID(A529,FIND("01",A529)+2,14),"")</f>
        <v/>
      </c>
      <c r="C529" s="4">
        <f>IF(A529="","",IFERROR(VLOOKUP(B529,TblArticles,2,FALSE),"GTIN inconnu"))</f>
        <v/>
      </c>
      <c r="D529" s="5">
        <f>IF(A529="","",IFERROR(VLOOKUP(B529,TblArticles,3,FALSE),""))</f>
        <v/>
      </c>
      <c r="E529" s="6">
        <f>IFERROR(DATE(2000+VALUE(MID(A529,FIND("15",A529,FIND("01",A529)+16)+2,2)),VALUE(MID(A529,FIND("15",A529,FIND("01",A529)+16)+4,2)),VALUE(MID(A529,FIND("15",A529,FIND("01",A529)+16)+6,2))),"")</f>
        <v/>
      </c>
      <c r="F529" s="5">
        <f>IFERROR(MID(A529,FIND("10",A529,FIND("15",A529,FIND("01",A529)+16)+8)+2,50),"")</f>
        <v/>
      </c>
      <c r="G529" s="5" t="n"/>
    </row>
    <row r="530">
      <c r="A530" s="7" t="n"/>
      <c r="B530" s="8">
        <f>IFERROR(MID(A530,FIND("01",A530)+2,14),"")</f>
        <v/>
      </c>
      <c r="C530" s="7">
        <f>IF(A530="","",IFERROR(VLOOKUP(B530,TblArticles,2,FALSE),"GTIN inconnu"))</f>
        <v/>
      </c>
      <c r="D530" s="8">
        <f>IF(A530="","",IFERROR(VLOOKUP(B530,TblArticles,3,FALSE),""))</f>
        <v/>
      </c>
      <c r="E530" s="9">
        <f>IFERROR(DATE(2000+VALUE(MID(A530,FIND("15",A530,FIND("01",A530)+16)+2,2)),VALUE(MID(A530,FIND("15",A530,FIND("01",A530)+16)+4,2)),VALUE(MID(A530,FIND("15",A530,FIND("01",A530)+16)+6,2))),"")</f>
        <v/>
      </c>
      <c r="F530" s="8">
        <f>IFERROR(MID(A530,FIND("10",A530,FIND("15",A530,FIND("01",A530)+16)+8)+2,50),"")</f>
        <v/>
      </c>
      <c r="G530" s="8" t="n"/>
    </row>
    <row r="531">
      <c r="A531" s="4" t="n"/>
      <c r="B531" s="5">
        <f>IFERROR(MID(A531,FIND("01",A531)+2,14),"")</f>
        <v/>
      </c>
      <c r="C531" s="4">
        <f>IF(A531="","",IFERROR(VLOOKUP(B531,TblArticles,2,FALSE),"GTIN inconnu"))</f>
        <v/>
      </c>
      <c r="D531" s="5">
        <f>IF(A531="","",IFERROR(VLOOKUP(B531,TblArticles,3,FALSE),""))</f>
        <v/>
      </c>
      <c r="E531" s="6">
        <f>IFERROR(DATE(2000+VALUE(MID(A531,FIND("15",A531,FIND("01",A531)+16)+2,2)),VALUE(MID(A531,FIND("15",A531,FIND("01",A531)+16)+4,2)),VALUE(MID(A531,FIND("15",A531,FIND("01",A531)+16)+6,2))),"")</f>
        <v/>
      </c>
      <c r="F531" s="5">
        <f>IFERROR(MID(A531,FIND("10",A531,FIND("15",A531,FIND("01",A531)+16)+8)+2,50),"")</f>
        <v/>
      </c>
      <c r="G531" s="5" t="n"/>
    </row>
    <row r="532">
      <c r="A532" s="7" t="n"/>
      <c r="B532" s="8">
        <f>IFERROR(MID(A532,FIND("01",A532)+2,14),"")</f>
        <v/>
      </c>
      <c r="C532" s="7">
        <f>IF(A532="","",IFERROR(VLOOKUP(B532,TblArticles,2,FALSE),"GTIN inconnu"))</f>
        <v/>
      </c>
      <c r="D532" s="8">
        <f>IF(A532="","",IFERROR(VLOOKUP(B532,TblArticles,3,FALSE),""))</f>
        <v/>
      </c>
      <c r="E532" s="9">
        <f>IFERROR(DATE(2000+VALUE(MID(A532,FIND("15",A532,FIND("01",A532)+16)+2,2)),VALUE(MID(A532,FIND("15",A532,FIND("01",A532)+16)+4,2)),VALUE(MID(A532,FIND("15",A532,FIND("01",A532)+16)+6,2))),"")</f>
        <v/>
      </c>
      <c r="F532" s="8">
        <f>IFERROR(MID(A532,FIND("10",A532,FIND("15",A532,FIND("01",A532)+16)+8)+2,50),"")</f>
        <v/>
      </c>
      <c r="G532" s="8" t="n"/>
    </row>
    <row r="533">
      <c r="A533" s="4" t="n"/>
      <c r="B533" s="5">
        <f>IFERROR(MID(A533,FIND("01",A533)+2,14),"")</f>
        <v/>
      </c>
      <c r="C533" s="4">
        <f>IF(A533="","",IFERROR(VLOOKUP(B533,TblArticles,2,FALSE),"GTIN inconnu"))</f>
        <v/>
      </c>
      <c r="D533" s="5">
        <f>IF(A533="","",IFERROR(VLOOKUP(B533,TblArticles,3,FALSE),""))</f>
        <v/>
      </c>
      <c r="E533" s="6">
        <f>IFERROR(DATE(2000+VALUE(MID(A533,FIND("15",A533,FIND("01",A533)+16)+2,2)),VALUE(MID(A533,FIND("15",A533,FIND("01",A533)+16)+4,2)),VALUE(MID(A533,FIND("15",A533,FIND("01",A533)+16)+6,2))),"")</f>
        <v/>
      </c>
      <c r="F533" s="5">
        <f>IFERROR(MID(A533,FIND("10",A533,FIND("15",A533,FIND("01",A533)+16)+8)+2,50),"")</f>
        <v/>
      </c>
      <c r="G533" s="5" t="n"/>
    </row>
    <row r="534">
      <c r="A534" s="7" t="n"/>
      <c r="B534" s="8">
        <f>IFERROR(MID(A534,FIND("01",A534)+2,14),"")</f>
        <v/>
      </c>
      <c r="C534" s="7">
        <f>IF(A534="","",IFERROR(VLOOKUP(B534,TblArticles,2,FALSE),"GTIN inconnu"))</f>
        <v/>
      </c>
      <c r="D534" s="8">
        <f>IF(A534="","",IFERROR(VLOOKUP(B534,TblArticles,3,FALSE),""))</f>
        <v/>
      </c>
      <c r="E534" s="9">
        <f>IFERROR(DATE(2000+VALUE(MID(A534,FIND("15",A534,FIND("01",A534)+16)+2,2)),VALUE(MID(A534,FIND("15",A534,FIND("01",A534)+16)+4,2)),VALUE(MID(A534,FIND("15",A534,FIND("01",A534)+16)+6,2))),"")</f>
        <v/>
      </c>
      <c r="F534" s="8">
        <f>IFERROR(MID(A534,FIND("10",A534,FIND("15",A534,FIND("01",A534)+16)+8)+2,50),"")</f>
        <v/>
      </c>
      <c r="G534" s="8" t="n"/>
    </row>
    <row r="535">
      <c r="A535" s="4" t="n"/>
      <c r="B535" s="5">
        <f>IFERROR(MID(A535,FIND("01",A535)+2,14),"")</f>
        <v/>
      </c>
      <c r="C535" s="4">
        <f>IF(A535="","",IFERROR(VLOOKUP(B535,TblArticles,2,FALSE),"GTIN inconnu"))</f>
        <v/>
      </c>
      <c r="D535" s="5">
        <f>IF(A535="","",IFERROR(VLOOKUP(B535,TblArticles,3,FALSE),""))</f>
        <v/>
      </c>
      <c r="E535" s="6">
        <f>IFERROR(DATE(2000+VALUE(MID(A535,FIND("15",A535,FIND("01",A535)+16)+2,2)),VALUE(MID(A535,FIND("15",A535,FIND("01",A535)+16)+4,2)),VALUE(MID(A535,FIND("15",A535,FIND("01",A535)+16)+6,2))),"")</f>
        <v/>
      </c>
      <c r="F535" s="5">
        <f>IFERROR(MID(A535,FIND("10",A535,FIND("15",A535,FIND("01",A535)+16)+8)+2,50),"")</f>
        <v/>
      </c>
      <c r="G535" s="5" t="n"/>
    </row>
    <row r="536">
      <c r="A536" s="7" t="n"/>
      <c r="B536" s="8">
        <f>IFERROR(MID(A536,FIND("01",A536)+2,14),"")</f>
        <v/>
      </c>
      <c r="C536" s="7">
        <f>IF(A536="","",IFERROR(VLOOKUP(B536,TblArticles,2,FALSE),"GTIN inconnu"))</f>
        <v/>
      </c>
      <c r="D536" s="8">
        <f>IF(A536="","",IFERROR(VLOOKUP(B536,TblArticles,3,FALSE),""))</f>
        <v/>
      </c>
      <c r="E536" s="9">
        <f>IFERROR(DATE(2000+VALUE(MID(A536,FIND("15",A536,FIND("01",A536)+16)+2,2)),VALUE(MID(A536,FIND("15",A536,FIND("01",A536)+16)+4,2)),VALUE(MID(A536,FIND("15",A536,FIND("01",A536)+16)+6,2))),"")</f>
        <v/>
      </c>
      <c r="F536" s="8">
        <f>IFERROR(MID(A536,FIND("10",A536,FIND("15",A536,FIND("01",A536)+16)+8)+2,50),"")</f>
        <v/>
      </c>
      <c r="G536" s="8" t="n"/>
    </row>
    <row r="537">
      <c r="A537" s="4" t="n"/>
      <c r="B537" s="5">
        <f>IFERROR(MID(A537,FIND("01",A537)+2,14),"")</f>
        <v/>
      </c>
      <c r="C537" s="4">
        <f>IF(A537="","",IFERROR(VLOOKUP(B537,TblArticles,2,FALSE),"GTIN inconnu"))</f>
        <v/>
      </c>
      <c r="D537" s="5">
        <f>IF(A537="","",IFERROR(VLOOKUP(B537,TblArticles,3,FALSE),""))</f>
        <v/>
      </c>
      <c r="E537" s="6">
        <f>IFERROR(DATE(2000+VALUE(MID(A537,FIND("15",A537,FIND("01",A537)+16)+2,2)),VALUE(MID(A537,FIND("15",A537,FIND("01",A537)+16)+4,2)),VALUE(MID(A537,FIND("15",A537,FIND("01",A537)+16)+6,2))),"")</f>
        <v/>
      </c>
      <c r="F537" s="5">
        <f>IFERROR(MID(A537,FIND("10",A537,FIND("15",A537,FIND("01",A537)+16)+8)+2,50),"")</f>
        <v/>
      </c>
      <c r="G537" s="5" t="n"/>
    </row>
    <row r="538">
      <c r="A538" s="7" t="n"/>
      <c r="B538" s="8">
        <f>IFERROR(MID(A538,FIND("01",A538)+2,14),"")</f>
        <v/>
      </c>
      <c r="C538" s="7">
        <f>IF(A538="","",IFERROR(VLOOKUP(B538,TblArticles,2,FALSE),"GTIN inconnu"))</f>
        <v/>
      </c>
      <c r="D538" s="8">
        <f>IF(A538="","",IFERROR(VLOOKUP(B538,TblArticles,3,FALSE),""))</f>
        <v/>
      </c>
      <c r="E538" s="9">
        <f>IFERROR(DATE(2000+VALUE(MID(A538,FIND("15",A538,FIND("01",A538)+16)+2,2)),VALUE(MID(A538,FIND("15",A538,FIND("01",A538)+16)+4,2)),VALUE(MID(A538,FIND("15",A538,FIND("01",A538)+16)+6,2))),"")</f>
        <v/>
      </c>
      <c r="F538" s="8">
        <f>IFERROR(MID(A538,FIND("10",A538,FIND("15",A538,FIND("01",A538)+16)+8)+2,50),"")</f>
        <v/>
      </c>
      <c r="G538" s="8" t="n"/>
    </row>
    <row r="539">
      <c r="A539" s="4" t="n"/>
      <c r="B539" s="5">
        <f>IFERROR(MID(A539,FIND("01",A539)+2,14),"")</f>
        <v/>
      </c>
      <c r="C539" s="4">
        <f>IF(A539="","",IFERROR(VLOOKUP(B539,TblArticles,2,FALSE),"GTIN inconnu"))</f>
        <v/>
      </c>
      <c r="D539" s="5">
        <f>IF(A539="","",IFERROR(VLOOKUP(B539,TblArticles,3,FALSE),""))</f>
        <v/>
      </c>
      <c r="E539" s="6">
        <f>IFERROR(DATE(2000+VALUE(MID(A539,FIND("15",A539,FIND("01",A539)+16)+2,2)),VALUE(MID(A539,FIND("15",A539,FIND("01",A539)+16)+4,2)),VALUE(MID(A539,FIND("15",A539,FIND("01",A539)+16)+6,2))),"")</f>
        <v/>
      </c>
      <c r="F539" s="5">
        <f>IFERROR(MID(A539,FIND("10",A539,FIND("15",A539,FIND("01",A539)+16)+8)+2,50),"")</f>
        <v/>
      </c>
      <c r="G539" s="5" t="n"/>
    </row>
    <row r="540">
      <c r="A540" s="7" t="n"/>
      <c r="B540" s="8">
        <f>IFERROR(MID(A540,FIND("01",A540)+2,14),"")</f>
        <v/>
      </c>
      <c r="C540" s="7">
        <f>IF(A540="","",IFERROR(VLOOKUP(B540,TblArticles,2,FALSE),"GTIN inconnu"))</f>
        <v/>
      </c>
      <c r="D540" s="8">
        <f>IF(A540="","",IFERROR(VLOOKUP(B540,TblArticles,3,FALSE),""))</f>
        <v/>
      </c>
      <c r="E540" s="9">
        <f>IFERROR(DATE(2000+VALUE(MID(A540,FIND("15",A540,FIND("01",A540)+16)+2,2)),VALUE(MID(A540,FIND("15",A540,FIND("01",A540)+16)+4,2)),VALUE(MID(A540,FIND("15",A540,FIND("01",A540)+16)+6,2))),"")</f>
        <v/>
      </c>
      <c r="F540" s="8">
        <f>IFERROR(MID(A540,FIND("10",A540,FIND("15",A540,FIND("01",A540)+16)+8)+2,50),"")</f>
        <v/>
      </c>
      <c r="G540" s="8" t="n"/>
    </row>
    <row r="541">
      <c r="A541" s="4" t="n"/>
      <c r="B541" s="5">
        <f>IFERROR(MID(A541,FIND("01",A541)+2,14),"")</f>
        <v/>
      </c>
      <c r="C541" s="4">
        <f>IF(A541="","",IFERROR(VLOOKUP(B541,TblArticles,2,FALSE),"GTIN inconnu"))</f>
        <v/>
      </c>
      <c r="D541" s="5">
        <f>IF(A541="","",IFERROR(VLOOKUP(B541,TblArticles,3,FALSE),""))</f>
        <v/>
      </c>
      <c r="E541" s="6">
        <f>IFERROR(DATE(2000+VALUE(MID(A541,FIND("15",A541,FIND("01",A541)+16)+2,2)),VALUE(MID(A541,FIND("15",A541,FIND("01",A541)+16)+4,2)),VALUE(MID(A541,FIND("15",A541,FIND("01",A541)+16)+6,2))),"")</f>
        <v/>
      </c>
      <c r="F541" s="5">
        <f>IFERROR(MID(A541,FIND("10",A541,FIND("15",A541,FIND("01",A541)+16)+8)+2,50),"")</f>
        <v/>
      </c>
      <c r="G541" s="5" t="n"/>
    </row>
    <row r="542">
      <c r="A542" s="7" t="n"/>
      <c r="B542" s="8">
        <f>IFERROR(MID(A542,FIND("01",A542)+2,14),"")</f>
        <v/>
      </c>
      <c r="C542" s="7">
        <f>IF(A542="","",IFERROR(VLOOKUP(B542,TblArticles,2,FALSE),"GTIN inconnu"))</f>
        <v/>
      </c>
      <c r="D542" s="8">
        <f>IF(A542="","",IFERROR(VLOOKUP(B542,TblArticles,3,FALSE),""))</f>
        <v/>
      </c>
      <c r="E542" s="9">
        <f>IFERROR(DATE(2000+VALUE(MID(A542,FIND("15",A542,FIND("01",A542)+16)+2,2)),VALUE(MID(A542,FIND("15",A542,FIND("01",A542)+16)+4,2)),VALUE(MID(A542,FIND("15",A542,FIND("01",A542)+16)+6,2))),"")</f>
        <v/>
      </c>
      <c r="F542" s="8">
        <f>IFERROR(MID(A542,FIND("10",A542,FIND("15",A542,FIND("01",A542)+16)+8)+2,50),"")</f>
        <v/>
      </c>
      <c r="G542" s="8" t="n"/>
    </row>
    <row r="543">
      <c r="A543" s="4" t="n"/>
      <c r="B543" s="5">
        <f>IFERROR(MID(A543,FIND("01",A543)+2,14),"")</f>
        <v/>
      </c>
      <c r="C543" s="4">
        <f>IF(A543="","",IFERROR(VLOOKUP(B543,TblArticles,2,FALSE),"GTIN inconnu"))</f>
        <v/>
      </c>
      <c r="D543" s="5">
        <f>IF(A543="","",IFERROR(VLOOKUP(B543,TblArticles,3,FALSE),""))</f>
        <v/>
      </c>
      <c r="E543" s="6">
        <f>IFERROR(DATE(2000+VALUE(MID(A543,FIND("15",A543,FIND("01",A543)+16)+2,2)),VALUE(MID(A543,FIND("15",A543,FIND("01",A543)+16)+4,2)),VALUE(MID(A543,FIND("15",A543,FIND("01",A543)+16)+6,2))),"")</f>
        <v/>
      </c>
      <c r="F543" s="5">
        <f>IFERROR(MID(A543,FIND("10",A543,FIND("15",A543,FIND("01",A543)+16)+8)+2,50),"")</f>
        <v/>
      </c>
      <c r="G543" s="5" t="n"/>
    </row>
    <row r="544">
      <c r="A544" s="7" t="n"/>
      <c r="B544" s="8">
        <f>IFERROR(MID(A544,FIND("01",A544)+2,14),"")</f>
        <v/>
      </c>
      <c r="C544" s="7">
        <f>IF(A544="","",IFERROR(VLOOKUP(B544,TblArticles,2,FALSE),"GTIN inconnu"))</f>
        <v/>
      </c>
      <c r="D544" s="8">
        <f>IF(A544="","",IFERROR(VLOOKUP(B544,TblArticles,3,FALSE),""))</f>
        <v/>
      </c>
      <c r="E544" s="9">
        <f>IFERROR(DATE(2000+VALUE(MID(A544,FIND("15",A544,FIND("01",A544)+16)+2,2)),VALUE(MID(A544,FIND("15",A544,FIND("01",A544)+16)+4,2)),VALUE(MID(A544,FIND("15",A544,FIND("01",A544)+16)+6,2))),"")</f>
        <v/>
      </c>
      <c r="F544" s="8">
        <f>IFERROR(MID(A544,FIND("10",A544,FIND("15",A544,FIND("01",A544)+16)+8)+2,50),"")</f>
        <v/>
      </c>
      <c r="G544" s="8" t="n"/>
    </row>
    <row r="545">
      <c r="A545" s="4" t="n"/>
      <c r="B545" s="5">
        <f>IFERROR(MID(A545,FIND("01",A545)+2,14),"")</f>
        <v/>
      </c>
      <c r="C545" s="4">
        <f>IF(A545="","",IFERROR(VLOOKUP(B545,TblArticles,2,FALSE),"GTIN inconnu"))</f>
        <v/>
      </c>
      <c r="D545" s="5">
        <f>IF(A545="","",IFERROR(VLOOKUP(B545,TblArticles,3,FALSE),""))</f>
        <v/>
      </c>
      <c r="E545" s="6">
        <f>IFERROR(DATE(2000+VALUE(MID(A545,FIND("15",A545,FIND("01",A545)+16)+2,2)),VALUE(MID(A545,FIND("15",A545,FIND("01",A545)+16)+4,2)),VALUE(MID(A545,FIND("15",A545,FIND("01",A545)+16)+6,2))),"")</f>
        <v/>
      </c>
      <c r="F545" s="5">
        <f>IFERROR(MID(A545,FIND("10",A545,FIND("15",A545,FIND("01",A545)+16)+8)+2,50),"")</f>
        <v/>
      </c>
      <c r="G545" s="5" t="n"/>
    </row>
    <row r="546">
      <c r="A546" s="7" t="n"/>
      <c r="B546" s="8">
        <f>IFERROR(MID(A546,FIND("01",A546)+2,14),"")</f>
        <v/>
      </c>
      <c r="C546" s="7">
        <f>IF(A546="","",IFERROR(VLOOKUP(B546,TblArticles,2,FALSE),"GTIN inconnu"))</f>
        <v/>
      </c>
      <c r="D546" s="8">
        <f>IF(A546="","",IFERROR(VLOOKUP(B546,TblArticles,3,FALSE),""))</f>
        <v/>
      </c>
      <c r="E546" s="9">
        <f>IFERROR(DATE(2000+VALUE(MID(A546,FIND("15",A546,FIND("01",A546)+16)+2,2)),VALUE(MID(A546,FIND("15",A546,FIND("01",A546)+16)+4,2)),VALUE(MID(A546,FIND("15",A546,FIND("01",A546)+16)+6,2))),"")</f>
        <v/>
      </c>
      <c r="F546" s="8">
        <f>IFERROR(MID(A546,FIND("10",A546,FIND("15",A546,FIND("01",A546)+16)+8)+2,50),"")</f>
        <v/>
      </c>
      <c r="G546" s="8" t="n"/>
    </row>
    <row r="547">
      <c r="A547" s="4" t="n"/>
      <c r="B547" s="5">
        <f>IFERROR(MID(A547,FIND("01",A547)+2,14),"")</f>
        <v/>
      </c>
      <c r="C547" s="4">
        <f>IF(A547="","",IFERROR(VLOOKUP(B547,TblArticles,2,FALSE),"GTIN inconnu"))</f>
        <v/>
      </c>
      <c r="D547" s="5">
        <f>IF(A547="","",IFERROR(VLOOKUP(B547,TblArticles,3,FALSE),""))</f>
        <v/>
      </c>
      <c r="E547" s="6">
        <f>IFERROR(DATE(2000+VALUE(MID(A547,FIND("15",A547,FIND("01",A547)+16)+2,2)),VALUE(MID(A547,FIND("15",A547,FIND("01",A547)+16)+4,2)),VALUE(MID(A547,FIND("15",A547,FIND("01",A547)+16)+6,2))),"")</f>
        <v/>
      </c>
      <c r="F547" s="5">
        <f>IFERROR(MID(A547,FIND("10",A547,FIND("15",A547,FIND("01",A547)+16)+8)+2,50),"")</f>
        <v/>
      </c>
      <c r="G547" s="5" t="n"/>
    </row>
    <row r="548">
      <c r="A548" s="7" t="n"/>
      <c r="B548" s="8">
        <f>IFERROR(MID(A548,FIND("01",A548)+2,14),"")</f>
        <v/>
      </c>
      <c r="C548" s="7">
        <f>IF(A548="","",IFERROR(VLOOKUP(B548,TblArticles,2,FALSE),"GTIN inconnu"))</f>
        <v/>
      </c>
      <c r="D548" s="8">
        <f>IF(A548="","",IFERROR(VLOOKUP(B548,TblArticles,3,FALSE),""))</f>
        <v/>
      </c>
      <c r="E548" s="9">
        <f>IFERROR(DATE(2000+VALUE(MID(A548,FIND("15",A548,FIND("01",A548)+16)+2,2)),VALUE(MID(A548,FIND("15",A548,FIND("01",A548)+16)+4,2)),VALUE(MID(A548,FIND("15",A548,FIND("01",A548)+16)+6,2))),"")</f>
        <v/>
      </c>
      <c r="F548" s="8">
        <f>IFERROR(MID(A548,FIND("10",A548,FIND("15",A548,FIND("01",A548)+16)+8)+2,50),"")</f>
        <v/>
      </c>
      <c r="G548" s="8" t="n"/>
    </row>
    <row r="549">
      <c r="A549" s="4" t="n"/>
      <c r="B549" s="5">
        <f>IFERROR(MID(A549,FIND("01",A549)+2,14),"")</f>
        <v/>
      </c>
      <c r="C549" s="4">
        <f>IF(A549="","",IFERROR(VLOOKUP(B549,TblArticles,2,FALSE),"GTIN inconnu"))</f>
        <v/>
      </c>
      <c r="D549" s="5">
        <f>IF(A549="","",IFERROR(VLOOKUP(B549,TblArticles,3,FALSE),""))</f>
        <v/>
      </c>
      <c r="E549" s="6">
        <f>IFERROR(DATE(2000+VALUE(MID(A549,FIND("15",A549,FIND("01",A549)+16)+2,2)),VALUE(MID(A549,FIND("15",A549,FIND("01",A549)+16)+4,2)),VALUE(MID(A549,FIND("15",A549,FIND("01",A549)+16)+6,2))),"")</f>
        <v/>
      </c>
      <c r="F549" s="5">
        <f>IFERROR(MID(A549,FIND("10",A549,FIND("15",A549,FIND("01",A549)+16)+8)+2,50),"")</f>
        <v/>
      </c>
      <c r="G549" s="5" t="n"/>
    </row>
    <row r="550">
      <c r="A550" s="7" t="n"/>
      <c r="B550" s="8">
        <f>IFERROR(MID(A550,FIND("01",A550)+2,14),"")</f>
        <v/>
      </c>
      <c r="C550" s="7">
        <f>IF(A550="","",IFERROR(VLOOKUP(B550,TblArticles,2,FALSE),"GTIN inconnu"))</f>
        <v/>
      </c>
      <c r="D550" s="8">
        <f>IF(A550="","",IFERROR(VLOOKUP(B550,TblArticles,3,FALSE),""))</f>
        <v/>
      </c>
      <c r="E550" s="9">
        <f>IFERROR(DATE(2000+VALUE(MID(A550,FIND("15",A550,FIND("01",A550)+16)+2,2)),VALUE(MID(A550,FIND("15",A550,FIND("01",A550)+16)+4,2)),VALUE(MID(A550,FIND("15",A550,FIND("01",A550)+16)+6,2))),"")</f>
        <v/>
      </c>
      <c r="F550" s="8">
        <f>IFERROR(MID(A550,FIND("10",A550,FIND("15",A550,FIND("01",A550)+16)+8)+2,50),"")</f>
        <v/>
      </c>
      <c r="G550" s="8" t="n"/>
    </row>
    <row r="551">
      <c r="A551" s="4" t="n"/>
      <c r="B551" s="5">
        <f>IFERROR(MID(A551,FIND("01",A551)+2,14),"")</f>
        <v/>
      </c>
      <c r="C551" s="4">
        <f>IF(A551="","",IFERROR(VLOOKUP(B551,TblArticles,2,FALSE),"GTIN inconnu"))</f>
        <v/>
      </c>
      <c r="D551" s="5">
        <f>IF(A551="","",IFERROR(VLOOKUP(B551,TblArticles,3,FALSE),""))</f>
        <v/>
      </c>
      <c r="E551" s="6">
        <f>IFERROR(DATE(2000+VALUE(MID(A551,FIND("15",A551,FIND("01",A551)+16)+2,2)),VALUE(MID(A551,FIND("15",A551,FIND("01",A551)+16)+4,2)),VALUE(MID(A551,FIND("15",A551,FIND("01",A551)+16)+6,2))),"")</f>
        <v/>
      </c>
      <c r="F551" s="5">
        <f>IFERROR(MID(A551,FIND("10",A551,FIND("15",A551,FIND("01",A551)+16)+8)+2,50),"")</f>
        <v/>
      </c>
      <c r="G551" s="5" t="n"/>
    </row>
    <row r="552">
      <c r="A552" s="7" t="n"/>
      <c r="B552" s="8">
        <f>IFERROR(MID(A552,FIND("01",A552)+2,14),"")</f>
        <v/>
      </c>
      <c r="C552" s="7">
        <f>IF(A552="","",IFERROR(VLOOKUP(B552,TblArticles,2,FALSE),"GTIN inconnu"))</f>
        <v/>
      </c>
      <c r="D552" s="8">
        <f>IF(A552="","",IFERROR(VLOOKUP(B552,TblArticles,3,FALSE),""))</f>
        <v/>
      </c>
      <c r="E552" s="9">
        <f>IFERROR(DATE(2000+VALUE(MID(A552,FIND("15",A552,FIND("01",A552)+16)+2,2)),VALUE(MID(A552,FIND("15",A552,FIND("01",A552)+16)+4,2)),VALUE(MID(A552,FIND("15",A552,FIND("01",A552)+16)+6,2))),"")</f>
        <v/>
      </c>
      <c r="F552" s="8">
        <f>IFERROR(MID(A552,FIND("10",A552,FIND("15",A552,FIND("01",A552)+16)+8)+2,50),"")</f>
        <v/>
      </c>
      <c r="G552" s="8" t="n"/>
    </row>
    <row r="553">
      <c r="A553" s="4" t="n"/>
      <c r="B553" s="5">
        <f>IFERROR(MID(A553,FIND("01",A553)+2,14),"")</f>
        <v/>
      </c>
      <c r="C553" s="4">
        <f>IF(A553="","",IFERROR(VLOOKUP(B553,TblArticles,2,FALSE),"GTIN inconnu"))</f>
        <v/>
      </c>
      <c r="D553" s="5">
        <f>IF(A553="","",IFERROR(VLOOKUP(B553,TblArticles,3,FALSE),""))</f>
        <v/>
      </c>
      <c r="E553" s="6">
        <f>IFERROR(DATE(2000+VALUE(MID(A553,FIND("15",A553,FIND("01",A553)+16)+2,2)),VALUE(MID(A553,FIND("15",A553,FIND("01",A553)+16)+4,2)),VALUE(MID(A553,FIND("15",A553,FIND("01",A553)+16)+6,2))),"")</f>
        <v/>
      </c>
      <c r="F553" s="5">
        <f>IFERROR(MID(A553,FIND("10",A553,FIND("15",A553,FIND("01",A553)+16)+8)+2,50),"")</f>
        <v/>
      </c>
      <c r="G553" s="5" t="n"/>
    </row>
    <row r="554">
      <c r="A554" s="7" t="n"/>
      <c r="B554" s="8">
        <f>IFERROR(MID(A554,FIND("01",A554)+2,14),"")</f>
        <v/>
      </c>
      <c r="C554" s="7">
        <f>IF(A554="","",IFERROR(VLOOKUP(B554,TblArticles,2,FALSE),"GTIN inconnu"))</f>
        <v/>
      </c>
      <c r="D554" s="8">
        <f>IF(A554="","",IFERROR(VLOOKUP(B554,TblArticles,3,FALSE),""))</f>
        <v/>
      </c>
      <c r="E554" s="9">
        <f>IFERROR(DATE(2000+VALUE(MID(A554,FIND("15",A554,FIND("01",A554)+16)+2,2)),VALUE(MID(A554,FIND("15",A554,FIND("01",A554)+16)+4,2)),VALUE(MID(A554,FIND("15",A554,FIND("01",A554)+16)+6,2))),"")</f>
        <v/>
      </c>
      <c r="F554" s="8">
        <f>IFERROR(MID(A554,FIND("10",A554,FIND("15",A554,FIND("01",A554)+16)+8)+2,50),"")</f>
        <v/>
      </c>
      <c r="G554" s="8" t="n"/>
    </row>
    <row r="555">
      <c r="A555" s="4" t="n"/>
      <c r="B555" s="5">
        <f>IFERROR(MID(A555,FIND("01",A555)+2,14),"")</f>
        <v/>
      </c>
      <c r="C555" s="4">
        <f>IF(A555="","",IFERROR(VLOOKUP(B555,TblArticles,2,FALSE),"GTIN inconnu"))</f>
        <v/>
      </c>
      <c r="D555" s="5">
        <f>IF(A555="","",IFERROR(VLOOKUP(B555,TblArticles,3,FALSE),""))</f>
        <v/>
      </c>
      <c r="E555" s="6">
        <f>IFERROR(DATE(2000+VALUE(MID(A555,FIND("15",A555,FIND("01",A555)+16)+2,2)),VALUE(MID(A555,FIND("15",A555,FIND("01",A555)+16)+4,2)),VALUE(MID(A555,FIND("15",A555,FIND("01",A555)+16)+6,2))),"")</f>
        <v/>
      </c>
      <c r="F555" s="5">
        <f>IFERROR(MID(A555,FIND("10",A555,FIND("15",A555,FIND("01",A555)+16)+8)+2,50),"")</f>
        <v/>
      </c>
      <c r="G555" s="5" t="n"/>
    </row>
    <row r="556">
      <c r="A556" s="7" t="n"/>
      <c r="B556" s="8">
        <f>IFERROR(MID(A556,FIND("01",A556)+2,14),"")</f>
        <v/>
      </c>
      <c r="C556" s="7">
        <f>IF(A556="","",IFERROR(VLOOKUP(B556,TblArticles,2,FALSE),"GTIN inconnu"))</f>
        <v/>
      </c>
      <c r="D556" s="8">
        <f>IF(A556="","",IFERROR(VLOOKUP(B556,TblArticles,3,FALSE),""))</f>
        <v/>
      </c>
      <c r="E556" s="9">
        <f>IFERROR(DATE(2000+VALUE(MID(A556,FIND("15",A556,FIND("01",A556)+16)+2,2)),VALUE(MID(A556,FIND("15",A556,FIND("01",A556)+16)+4,2)),VALUE(MID(A556,FIND("15",A556,FIND("01",A556)+16)+6,2))),"")</f>
        <v/>
      </c>
      <c r="F556" s="8">
        <f>IFERROR(MID(A556,FIND("10",A556,FIND("15",A556,FIND("01",A556)+16)+8)+2,50),"")</f>
        <v/>
      </c>
      <c r="G556" s="8" t="n"/>
    </row>
    <row r="557">
      <c r="A557" s="4" t="n"/>
      <c r="B557" s="5">
        <f>IFERROR(MID(A557,FIND("01",A557)+2,14),"")</f>
        <v/>
      </c>
      <c r="C557" s="4">
        <f>IF(A557="","",IFERROR(VLOOKUP(B557,TblArticles,2,FALSE),"GTIN inconnu"))</f>
        <v/>
      </c>
      <c r="D557" s="5">
        <f>IF(A557="","",IFERROR(VLOOKUP(B557,TblArticles,3,FALSE),""))</f>
        <v/>
      </c>
      <c r="E557" s="6">
        <f>IFERROR(DATE(2000+VALUE(MID(A557,FIND("15",A557,FIND("01",A557)+16)+2,2)),VALUE(MID(A557,FIND("15",A557,FIND("01",A557)+16)+4,2)),VALUE(MID(A557,FIND("15",A557,FIND("01",A557)+16)+6,2))),"")</f>
        <v/>
      </c>
      <c r="F557" s="5">
        <f>IFERROR(MID(A557,FIND("10",A557,FIND("15",A557,FIND("01",A557)+16)+8)+2,50),"")</f>
        <v/>
      </c>
      <c r="G557" s="5" t="n"/>
    </row>
    <row r="558">
      <c r="A558" s="7" t="n"/>
      <c r="B558" s="8">
        <f>IFERROR(MID(A558,FIND("01",A558)+2,14),"")</f>
        <v/>
      </c>
      <c r="C558" s="7">
        <f>IF(A558="","",IFERROR(VLOOKUP(B558,TblArticles,2,FALSE),"GTIN inconnu"))</f>
        <v/>
      </c>
      <c r="D558" s="8">
        <f>IF(A558="","",IFERROR(VLOOKUP(B558,TblArticles,3,FALSE),""))</f>
        <v/>
      </c>
      <c r="E558" s="9">
        <f>IFERROR(DATE(2000+VALUE(MID(A558,FIND("15",A558,FIND("01",A558)+16)+2,2)),VALUE(MID(A558,FIND("15",A558,FIND("01",A558)+16)+4,2)),VALUE(MID(A558,FIND("15",A558,FIND("01",A558)+16)+6,2))),"")</f>
        <v/>
      </c>
      <c r="F558" s="8">
        <f>IFERROR(MID(A558,FIND("10",A558,FIND("15",A558,FIND("01",A558)+16)+8)+2,50),"")</f>
        <v/>
      </c>
      <c r="G558" s="8" t="n"/>
    </row>
    <row r="559">
      <c r="A559" s="4" t="n"/>
      <c r="B559" s="5">
        <f>IFERROR(MID(A559,FIND("01",A559)+2,14),"")</f>
        <v/>
      </c>
      <c r="C559" s="4">
        <f>IF(A559="","",IFERROR(VLOOKUP(B559,TblArticles,2,FALSE),"GTIN inconnu"))</f>
        <v/>
      </c>
      <c r="D559" s="5">
        <f>IF(A559="","",IFERROR(VLOOKUP(B559,TblArticles,3,FALSE),""))</f>
        <v/>
      </c>
      <c r="E559" s="6">
        <f>IFERROR(DATE(2000+VALUE(MID(A559,FIND("15",A559,FIND("01",A559)+16)+2,2)),VALUE(MID(A559,FIND("15",A559,FIND("01",A559)+16)+4,2)),VALUE(MID(A559,FIND("15",A559,FIND("01",A559)+16)+6,2))),"")</f>
        <v/>
      </c>
      <c r="F559" s="5">
        <f>IFERROR(MID(A559,FIND("10",A559,FIND("15",A559,FIND("01",A559)+16)+8)+2,50),"")</f>
        <v/>
      </c>
      <c r="G559" s="5" t="n"/>
    </row>
    <row r="560">
      <c r="A560" s="7" t="n"/>
      <c r="B560" s="8">
        <f>IFERROR(MID(A560,FIND("01",A560)+2,14),"")</f>
        <v/>
      </c>
      <c r="C560" s="7">
        <f>IF(A560="","",IFERROR(VLOOKUP(B560,TblArticles,2,FALSE),"GTIN inconnu"))</f>
        <v/>
      </c>
      <c r="D560" s="8">
        <f>IF(A560="","",IFERROR(VLOOKUP(B560,TblArticles,3,FALSE),""))</f>
        <v/>
      </c>
      <c r="E560" s="9">
        <f>IFERROR(DATE(2000+VALUE(MID(A560,FIND("15",A560,FIND("01",A560)+16)+2,2)),VALUE(MID(A560,FIND("15",A560,FIND("01",A560)+16)+4,2)),VALUE(MID(A560,FIND("15",A560,FIND("01",A560)+16)+6,2))),"")</f>
        <v/>
      </c>
      <c r="F560" s="8">
        <f>IFERROR(MID(A560,FIND("10",A560,FIND("15",A560,FIND("01",A560)+16)+8)+2,50),"")</f>
        <v/>
      </c>
      <c r="G560" s="8" t="n"/>
    </row>
    <row r="561">
      <c r="A561" s="4" t="n"/>
      <c r="B561" s="5">
        <f>IFERROR(MID(A561,FIND("01",A561)+2,14),"")</f>
        <v/>
      </c>
      <c r="C561" s="4">
        <f>IF(A561="","",IFERROR(VLOOKUP(B561,TblArticles,2,FALSE),"GTIN inconnu"))</f>
        <v/>
      </c>
      <c r="D561" s="5">
        <f>IF(A561="","",IFERROR(VLOOKUP(B561,TblArticles,3,FALSE),""))</f>
        <v/>
      </c>
      <c r="E561" s="6">
        <f>IFERROR(DATE(2000+VALUE(MID(A561,FIND("15",A561,FIND("01",A561)+16)+2,2)),VALUE(MID(A561,FIND("15",A561,FIND("01",A561)+16)+4,2)),VALUE(MID(A561,FIND("15",A561,FIND("01",A561)+16)+6,2))),"")</f>
        <v/>
      </c>
      <c r="F561" s="5">
        <f>IFERROR(MID(A561,FIND("10",A561,FIND("15",A561,FIND("01",A561)+16)+8)+2,50),"")</f>
        <v/>
      </c>
      <c r="G561" s="5" t="n"/>
    </row>
    <row r="562">
      <c r="A562" s="7" t="n"/>
      <c r="B562" s="8">
        <f>IFERROR(MID(A562,FIND("01",A562)+2,14),"")</f>
        <v/>
      </c>
      <c r="C562" s="7">
        <f>IF(A562="","",IFERROR(VLOOKUP(B562,TblArticles,2,FALSE),"GTIN inconnu"))</f>
        <v/>
      </c>
      <c r="D562" s="8">
        <f>IF(A562="","",IFERROR(VLOOKUP(B562,TblArticles,3,FALSE),""))</f>
        <v/>
      </c>
      <c r="E562" s="9">
        <f>IFERROR(DATE(2000+VALUE(MID(A562,FIND("15",A562,FIND("01",A562)+16)+2,2)),VALUE(MID(A562,FIND("15",A562,FIND("01",A562)+16)+4,2)),VALUE(MID(A562,FIND("15",A562,FIND("01",A562)+16)+6,2))),"")</f>
        <v/>
      </c>
      <c r="F562" s="8">
        <f>IFERROR(MID(A562,FIND("10",A562,FIND("15",A562,FIND("01",A562)+16)+8)+2,50),"")</f>
        <v/>
      </c>
      <c r="G562" s="8" t="n"/>
    </row>
    <row r="563">
      <c r="A563" s="4" t="n"/>
      <c r="B563" s="5">
        <f>IFERROR(MID(A563,FIND("01",A563)+2,14),"")</f>
        <v/>
      </c>
      <c r="C563" s="4">
        <f>IF(A563="","",IFERROR(VLOOKUP(B563,TblArticles,2,FALSE),"GTIN inconnu"))</f>
        <v/>
      </c>
      <c r="D563" s="5">
        <f>IF(A563="","",IFERROR(VLOOKUP(B563,TblArticles,3,FALSE),""))</f>
        <v/>
      </c>
      <c r="E563" s="6">
        <f>IFERROR(DATE(2000+VALUE(MID(A563,FIND("15",A563,FIND("01",A563)+16)+2,2)),VALUE(MID(A563,FIND("15",A563,FIND("01",A563)+16)+4,2)),VALUE(MID(A563,FIND("15",A563,FIND("01",A563)+16)+6,2))),"")</f>
        <v/>
      </c>
      <c r="F563" s="5">
        <f>IFERROR(MID(A563,FIND("10",A563,FIND("15",A563,FIND("01",A563)+16)+8)+2,50),"")</f>
        <v/>
      </c>
      <c r="G563" s="5" t="n"/>
    </row>
    <row r="564">
      <c r="A564" s="7" t="n"/>
      <c r="B564" s="8">
        <f>IFERROR(MID(A564,FIND("01",A564)+2,14),"")</f>
        <v/>
      </c>
      <c r="C564" s="7">
        <f>IF(A564="","",IFERROR(VLOOKUP(B564,TblArticles,2,FALSE),"GTIN inconnu"))</f>
        <v/>
      </c>
      <c r="D564" s="8">
        <f>IF(A564="","",IFERROR(VLOOKUP(B564,TblArticles,3,FALSE),""))</f>
        <v/>
      </c>
      <c r="E564" s="9">
        <f>IFERROR(DATE(2000+VALUE(MID(A564,FIND("15",A564,FIND("01",A564)+16)+2,2)),VALUE(MID(A564,FIND("15",A564,FIND("01",A564)+16)+4,2)),VALUE(MID(A564,FIND("15",A564,FIND("01",A564)+16)+6,2))),"")</f>
        <v/>
      </c>
      <c r="F564" s="8">
        <f>IFERROR(MID(A564,FIND("10",A564,FIND("15",A564,FIND("01",A564)+16)+8)+2,50),"")</f>
        <v/>
      </c>
      <c r="G564" s="8" t="n"/>
    </row>
    <row r="565">
      <c r="A565" s="4" t="n"/>
      <c r="B565" s="5">
        <f>IFERROR(MID(A565,FIND("01",A565)+2,14),"")</f>
        <v/>
      </c>
      <c r="C565" s="4">
        <f>IF(A565="","",IFERROR(VLOOKUP(B565,TblArticles,2,FALSE),"GTIN inconnu"))</f>
        <v/>
      </c>
      <c r="D565" s="5">
        <f>IF(A565="","",IFERROR(VLOOKUP(B565,TblArticles,3,FALSE),""))</f>
        <v/>
      </c>
      <c r="E565" s="6">
        <f>IFERROR(DATE(2000+VALUE(MID(A565,FIND("15",A565,FIND("01",A565)+16)+2,2)),VALUE(MID(A565,FIND("15",A565,FIND("01",A565)+16)+4,2)),VALUE(MID(A565,FIND("15",A565,FIND("01",A565)+16)+6,2))),"")</f>
        <v/>
      </c>
      <c r="F565" s="5">
        <f>IFERROR(MID(A565,FIND("10",A565,FIND("15",A565,FIND("01",A565)+16)+8)+2,50),"")</f>
        <v/>
      </c>
      <c r="G565" s="5" t="n"/>
    </row>
    <row r="566">
      <c r="A566" s="7" t="n"/>
      <c r="B566" s="8">
        <f>IFERROR(MID(A566,FIND("01",A566)+2,14),"")</f>
        <v/>
      </c>
      <c r="C566" s="7">
        <f>IF(A566="","",IFERROR(VLOOKUP(B566,TblArticles,2,FALSE),"GTIN inconnu"))</f>
        <v/>
      </c>
      <c r="D566" s="8">
        <f>IF(A566="","",IFERROR(VLOOKUP(B566,TblArticles,3,FALSE),""))</f>
        <v/>
      </c>
      <c r="E566" s="9">
        <f>IFERROR(DATE(2000+VALUE(MID(A566,FIND("15",A566,FIND("01",A566)+16)+2,2)),VALUE(MID(A566,FIND("15",A566,FIND("01",A566)+16)+4,2)),VALUE(MID(A566,FIND("15",A566,FIND("01",A566)+16)+6,2))),"")</f>
        <v/>
      </c>
      <c r="F566" s="8">
        <f>IFERROR(MID(A566,FIND("10",A566,FIND("15",A566,FIND("01",A566)+16)+8)+2,50),"")</f>
        <v/>
      </c>
      <c r="G566" s="8" t="n"/>
    </row>
    <row r="567">
      <c r="A567" s="4" t="n"/>
      <c r="B567" s="5">
        <f>IFERROR(MID(A567,FIND("01",A567)+2,14),"")</f>
        <v/>
      </c>
      <c r="C567" s="4">
        <f>IF(A567="","",IFERROR(VLOOKUP(B567,TblArticles,2,FALSE),"GTIN inconnu"))</f>
        <v/>
      </c>
      <c r="D567" s="5">
        <f>IF(A567="","",IFERROR(VLOOKUP(B567,TblArticles,3,FALSE),""))</f>
        <v/>
      </c>
      <c r="E567" s="6">
        <f>IFERROR(DATE(2000+VALUE(MID(A567,FIND("15",A567,FIND("01",A567)+16)+2,2)),VALUE(MID(A567,FIND("15",A567,FIND("01",A567)+16)+4,2)),VALUE(MID(A567,FIND("15",A567,FIND("01",A567)+16)+6,2))),"")</f>
        <v/>
      </c>
      <c r="F567" s="5">
        <f>IFERROR(MID(A567,FIND("10",A567,FIND("15",A567,FIND("01",A567)+16)+8)+2,50),"")</f>
        <v/>
      </c>
      <c r="G567" s="5" t="n"/>
    </row>
    <row r="568">
      <c r="A568" s="7" t="n"/>
      <c r="B568" s="8">
        <f>IFERROR(MID(A568,FIND("01",A568)+2,14),"")</f>
        <v/>
      </c>
      <c r="C568" s="7">
        <f>IF(A568="","",IFERROR(VLOOKUP(B568,TblArticles,2,FALSE),"GTIN inconnu"))</f>
        <v/>
      </c>
      <c r="D568" s="8">
        <f>IF(A568="","",IFERROR(VLOOKUP(B568,TblArticles,3,FALSE),""))</f>
        <v/>
      </c>
      <c r="E568" s="9">
        <f>IFERROR(DATE(2000+VALUE(MID(A568,FIND("15",A568,FIND("01",A568)+16)+2,2)),VALUE(MID(A568,FIND("15",A568,FIND("01",A568)+16)+4,2)),VALUE(MID(A568,FIND("15",A568,FIND("01",A568)+16)+6,2))),"")</f>
        <v/>
      </c>
      <c r="F568" s="8">
        <f>IFERROR(MID(A568,FIND("10",A568,FIND("15",A568,FIND("01",A568)+16)+8)+2,50),"")</f>
        <v/>
      </c>
      <c r="G568" s="8" t="n"/>
    </row>
    <row r="569">
      <c r="A569" s="4" t="n"/>
      <c r="B569" s="5">
        <f>IFERROR(MID(A569,FIND("01",A569)+2,14),"")</f>
        <v/>
      </c>
      <c r="C569" s="4">
        <f>IF(A569="","",IFERROR(VLOOKUP(B569,TblArticles,2,FALSE),"GTIN inconnu"))</f>
        <v/>
      </c>
      <c r="D569" s="5">
        <f>IF(A569="","",IFERROR(VLOOKUP(B569,TblArticles,3,FALSE),""))</f>
        <v/>
      </c>
      <c r="E569" s="6">
        <f>IFERROR(DATE(2000+VALUE(MID(A569,FIND("15",A569,FIND("01",A569)+16)+2,2)),VALUE(MID(A569,FIND("15",A569,FIND("01",A569)+16)+4,2)),VALUE(MID(A569,FIND("15",A569,FIND("01",A569)+16)+6,2))),"")</f>
        <v/>
      </c>
      <c r="F569" s="5">
        <f>IFERROR(MID(A569,FIND("10",A569,FIND("15",A569,FIND("01",A569)+16)+8)+2,50),"")</f>
        <v/>
      </c>
      <c r="G569" s="5" t="n"/>
    </row>
    <row r="570">
      <c r="A570" s="7" t="n"/>
      <c r="B570" s="8">
        <f>IFERROR(MID(A570,FIND("01",A570)+2,14),"")</f>
        <v/>
      </c>
      <c r="C570" s="7">
        <f>IF(A570="","",IFERROR(VLOOKUP(B570,TblArticles,2,FALSE),"GTIN inconnu"))</f>
        <v/>
      </c>
      <c r="D570" s="8">
        <f>IF(A570="","",IFERROR(VLOOKUP(B570,TblArticles,3,FALSE),""))</f>
        <v/>
      </c>
      <c r="E570" s="9">
        <f>IFERROR(DATE(2000+VALUE(MID(A570,FIND("15",A570,FIND("01",A570)+16)+2,2)),VALUE(MID(A570,FIND("15",A570,FIND("01",A570)+16)+4,2)),VALUE(MID(A570,FIND("15",A570,FIND("01",A570)+16)+6,2))),"")</f>
        <v/>
      </c>
      <c r="F570" s="8">
        <f>IFERROR(MID(A570,FIND("10",A570,FIND("15",A570,FIND("01",A570)+16)+8)+2,50),"")</f>
        <v/>
      </c>
      <c r="G570" s="8" t="n"/>
    </row>
    <row r="571">
      <c r="A571" s="4" t="n"/>
      <c r="B571" s="5">
        <f>IFERROR(MID(A571,FIND("01",A571)+2,14),"")</f>
        <v/>
      </c>
      <c r="C571" s="4">
        <f>IF(A571="","",IFERROR(VLOOKUP(B571,TblArticles,2,FALSE),"GTIN inconnu"))</f>
        <v/>
      </c>
      <c r="D571" s="5">
        <f>IF(A571="","",IFERROR(VLOOKUP(B571,TblArticles,3,FALSE),""))</f>
        <v/>
      </c>
      <c r="E571" s="6">
        <f>IFERROR(DATE(2000+VALUE(MID(A571,FIND("15",A571,FIND("01",A571)+16)+2,2)),VALUE(MID(A571,FIND("15",A571,FIND("01",A571)+16)+4,2)),VALUE(MID(A571,FIND("15",A571,FIND("01",A571)+16)+6,2))),"")</f>
        <v/>
      </c>
      <c r="F571" s="5">
        <f>IFERROR(MID(A571,FIND("10",A571,FIND("15",A571,FIND("01",A571)+16)+8)+2,50),"")</f>
        <v/>
      </c>
      <c r="G571" s="5" t="n"/>
    </row>
    <row r="572">
      <c r="A572" s="7" t="n"/>
      <c r="B572" s="8">
        <f>IFERROR(MID(A572,FIND("01",A572)+2,14),"")</f>
        <v/>
      </c>
      <c r="C572" s="7">
        <f>IF(A572="","",IFERROR(VLOOKUP(B572,TblArticles,2,FALSE),"GTIN inconnu"))</f>
        <v/>
      </c>
      <c r="D572" s="8">
        <f>IF(A572="","",IFERROR(VLOOKUP(B572,TblArticles,3,FALSE),""))</f>
        <v/>
      </c>
      <c r="E572" s="9">
        <f>IFERROR(DATE(2000+VALUE(MID(A572,FIND("15",A572,FIND("01",A572)+16)+2,2)),VALUE(MID(A572,FIND("15",A572,FIND("01",A572)+16)+4,2)),VALUE(MID(A572,FIND("15",A572,FIND("01",A572)+16)+6,2))),"")</f>
        <v/>
      </c>
      <c r="F572" s="8">
        <f>IFERROR(MID(A572,FIND("10",A572,FIND("15",A572,FIND("01",A572)+16)+8)+2,50),"")</f>
        <v/>
      </c>
      <c r="G572" s="8" t="n"/>
    </row>
    <row r="573">
      <c r="A573" s="4" t="n"/>
      <c r="B573" s="5">
        <f>IFERROR(MID(A573,FIND("01",A573)+2,14),"")</f>
        <v/>
      </c>
      <c r="C573" s="4">
        <f>IF(A573="","",IFERROR(VLOOKUP(B573,TblArticles,2,FALSE),"GTIN inconnu"))</f>
        <v/>
      </c>
      <c r="D573" s="5">
        <f>IF(A573="","",IFERROR(VLOOKUP(B573,TblArticles,3,FALSE),""))</f>
        <v/>
      </c>
      <c r="E573" s="6">
        <f>IFERROR(DATE(2000+VALUE(MID(A573,FIND("15",A573,FIND("01",A573)+16)+2,2)),VALUE(MID(A573,FIND("15",A573,FIND("01",A573)+16)+4,2)),VALUE(MID(A573,FIND("15",A573,FIND("01",A573)+16)+6,2))),"")</f>
        <v/>
      </c>
      <c r="F573" s="5">
        <f>IFERROR(MID(A573,FIND("10",A573,FIND("15",A573,FIND("01",A573)+16)+8)+2,50),"")</f>
        <v/>
      </c>
      <c r="G573" s="5" t="n"/>
    </row>
    <row r="574">
      <c r="A574" s="7" t="n"/>
      <c r="B574" s="8">
        <f>IFERROR(MID(A574,FIND("01",A574)+2,14),"")</f>
        <v/>
      </c>
      <c r="C574" s="7">
        <f>IF(A574="","",IFERROR(VLOOKUP(B574,TblArticles,2,FALSE),"GTIN inconnu"))</f>
        <v/>
      </c>
      <c r="D574" s="8">
        <f>IF(A574="","",IFERROR(VLOOKUP(B574,TblArticles,3,FALSE),""))</f>
        <v/>
      </c>
      <c r="E574" s="9">
        <f>IFERROR(DATE(2000+VALUE(MID(A574,FIND("15",A574,FIND("01",A574)+16)+2,2)),VALUE(MID(A574,FIND("15",A574,FIND("01",A574)+16)+4,2)),VALUE(MID(A574,FIND("15",A574,FIND("01",A574)+16)+6,2))),"")</f>
        <v/>
      </c>
      <c r="F574" s="8">
        <f>IFERROR(MID(A574,FIND("10",A574,FIND("15",A574,FIND("01",A574)+16)+8)+2,50),"")</f>
        <v/>
      </c>
      <c r="G574" s="8" t="n"/>
    </row>
    <row r="575">
      <c r="A575" s="4" t="n"/>
      <c r="B575" s="5">
        <f>IFERROR(MID(A575,FIND("01",A575)+2,14),"")</f>
        <v/>
      </c>
      <c r="C575" s="4">
        <f>IF(A575="","",IFERROR(VLOOKUP(B575,TblArticles,2,FALSE),"GTIN inconnu"))</f>
        <v/>
      </c>
      <c r="D575" s="5">
        <f>IF(A575="","",IFERROR(VLOOKUP(B575,TblArticles,3,FALSE),""))</f>
        <v/>
      </c>
      <c r="E575" s="6">
        <f>IFERROR(DATE(2000+VALUE(MID(A575,FIND("15",A575,FIND("01",A575)+16)+2,2)),VALUE(MID(A575,FIND("15",A575,FIND("01",A575)+16)+4,2)),VALUE(MID(A575,FIND("15",A575,FIND("01",A575)+16)+6,2))),"")</f>
        <v/>
      </c>
      <c r="F575" s="5">
        <f>IFERROR(MID(A575,FIND("10",A575,FIND("15",A575,FIND("01",A575)+16)+8)+2,50),"")</f>
        <v/>
      </c>
      <c r="G575" s="5" t="n"/>
    </row>
    <row r="576">
      <c r="A576" s="7" t="n"/>
      <c r="B576" s="8">
        <f>IFERROR(MID(A576,FIND("01",A576)+2,14),"")</f>
        <v/>
      </c>
      <c r="C576" s="7">
        <f>IF(A576="","",IFERROR(VLOOKUP(B576,TblArticles,2,FALSE),"GTIN inconnu"))</f>
        <v/>
      </c>
      <c r="D576" s="8">
        <f>IF(A576="","",IFERROR(VLOOKUP(B576,TblArticles,3,FALSE),""))</f>
        <v/>
      </c>
      <c r="E576" s="9">
        <f>IFERROR(DATE(2000+VALUE(MID(A576,FIND("15",A576,FIND("01",A576)+16)+2,2)),VALUE(MID(A576,FIND("15",A576,FIND("01",A576)+16)+4,2)),VALUE(MID(A576,FIND("15",A576,FIND("01",A576)+16)+6,2))),"")</f>
        <v/>
      </c>
      <c r="F576" s="8">
        <f>IFERROR(MID(A576,FIND("10",A576,FIND("15",A576,FIND("01",A576)+16)+8)+2,50),"")</f>
        <v/>
      </c>
      <c r="G576" s="8" t="n"/>
    </row>
    <row r="577">
      <c r="A577" s="4" t="n"/>
      <c r="B577" s="5">
        <f>IFERROR(MID(A577,FIND("01",A577)+2,14),"")</f>
        <v/>
      </c>
      <c r="C577" s="4">
        <f>IF(A577="","",IFERROR(VLOOKUP(B577,TblArticles,2,FALSE),"GTIN inconnu"))</f>
        <v/>
      </c>
      <c r="D577" s="5">
        <f>IF(A577="","",IFERROR(VLOOKUP(B577,TblArticles,3,FALSE),""))</f>
        <v/>
      </c>
      <c r="E577" s="6">
        <f>IFERROR(DATE(2000+VALUE(MID(A577,FIND("15",A577,FIND("01",A577)+16)+2,2)),VALUE(MID(A577,FIND("15",A577,FIND("01",A577)+16)+4,2)),VALUE(MID(A577,FIND("15",A577,FIND("01",A577)+16)+6,2))),"")</f>
        <v/>
      </c>
      <c r="F577" s="5">
        <f>IFERROR(MID(A577,FIND("10",A577,FIND("15",A577,FIND("01",A577)+16)+8)+2,50),"")</f>
        <v/>
      </c>
      <c r="G577" s="5" t="n"/>
    </row>
    <row r="578">
      <c r="A578" s="7" t="n"/>
      <c r="B578" s="8">
        <f>IFERROR(MID(A578,FIND("01",A578)+2,14),"")</f>
        <v/>
      </c>
      <c r="C578" s="7">
        <f>IF(A578="","",IFERROR(VLOOKUP(B578,TblArticles,2,FALSE),"GTIN inconnu"))</f>
        <v/>
      </c>
      <c r="D578" s="8">
        <f>IF(A578="","",IFERROR(VLOOKUP(B578,TblArticles,3,FALSE),""))</f>
        <v/>
      </c>
      <c r="E578" s="9">
        <f>IFERROR(DATE(2000+VALUE(MID(A578,FIND("15",A578,FIND("01",A578)+16)+2,2)),VALUE(MID(A578,FIND("15",A578,FIND("01",A578)+16)+4,2)),VALUE(MID(A578,FIND("15",A578,FIND("01",A578)+16)+6,2))),"")</f>
        <v/>
      </c>
      <c r="F578" s="8">
        <f>IFERROR(MID(A578,FIND("10",A578,FIND("15",A578,FIND("01",A578)+16)+8)+2,50),"")</f>
        <v/>
      </c>
      <c r="G578" s="8" t="n"/>
    </row>
    <row r="579">
      <c r="A579" s="4" t="n"/>
      <c r="B579" s="5">
        <f>IFERROR(MID(A579,FIND("01",A579)+2,14),"")</f>
        <v/>
      </c>
      <c r="C579" s="4">
        <f>IF(A579="","",IFERROR(VLOOKUP(B579,TblArticles,2,FALSE),"GTIN inconnu"))</f>
        <v/>
      </c>
      <c r="D579" s="5">
        <f>IF(A579="","",IFERROR(VLOOKUP(B579,TblArticles,3,FALSE),""))</f>
        <v/>
      </c>
      <c r="E579" s="6">
        <f>IFERROR(DATE(2000+VALUE(MID(A579,FIND("15",A579,FIND("01",A579)+16)+2,2)),VALUE(MID(A579,FIND("15",A579,FIND("01",A579)+16)+4,2)),VALUE(MID(A579,FIND("15",A579,FIND("01",A579)+16)+6,2))),"")</f>
        <v/>
      </c>
      <c r="F579" s="5">
        <f>IFERROR(MID(A579,FIND("10",A579,FIND("15",A579,FIND("01",A579)+16)+8)+2,50),"")</f>
        <v/>
      </c>
      <c r="G579" s="5" t="n"/>
    </row>
    <row r="580">
      <c r="A580" s="7" t="n"/>
      <c r="B580" s="8">
        <f>IFERROR(MID(A580,FIND("01",A580)+2,14),"")</f>
        <v/>
      </c>
      <c r="C580" s="7">
        <f>IF(A580="","",IFERROR(VLOOKUP(B580,TblArticles,2,FALSE),"GTIN inconnu"))</f>
        <v/>
      </c>
      <c r="D580" s="8">
        <f>IF(A580="","",IFERROR(VLOOKUP(B580,TblArticles,3,FALSE),""))</f>
        <v/>
      </c>
      <c r="E580" s="9">
        <f>IFERROR(DATE(2000+VALUE(MID(A580,FIND("15",A580,FIND("01",A580)+16)+2,2)),VALUE(MID(A580,FIND("15",A580,FIND("01",A580)+16)+4,2)),VALUE(MID(A580,FIND("15",A580,FIND("01",A580)+16)+6,2))),"")</f>
        <v/>
      </c>
      <c r="F580" s="8">
        <f>IFERROR(MID(A580,FIND("10",A580,FIND("15",A580,FIND("01",A580)+16)+8)+2,50),"")</f>
        <v/>
      </c>
      <c r="G580" s="8" t="n"/>
    </row>
    <row r="581">
      <c r="A581" s="4" t="n"/>
      <c r="B581" s="5">
        <f>IFERROR(MID(A581,FIND("01",A581)+2,14),"")</f>
        <v/>
      </c>
      <c r="C581" s="4">
        <f>IF(A581="","",IFERROR(VLOOKUP(B581,TblArticles,2,FALSE),"GTIN inconnu"))</f>
        <v/>
      </c>
      <c r="D581" s="5">
        <f>IF(A581="","",IFERROR(VLOOKUP(B581,TblArticles,3,FALSE),""))</f>
        <v/>
      </c>
      <c r="E581" s="6">
        <f>IFERROR(DATE(2000+VALUE(MID(A581,FIND("15",A581,FIND("01",A581)+16)+2,2)),VALUE(MID(A581,FIND("15",A581,FIND("01",A581)+16)+4,2)),VALUE(MID(A581,FIND("15",A581,FIND("01",A581)+16)+6,2))),"")</f>
        <v/>
      </c>
      <c r="F581" s="5">
        <f>IFERROR(MID(A581,FIND("10",A581,FIND("15",A581,FIND("01",A581)+16)+8)+2,50),"")</f>
        <v/>
      </c>
      <c r="G581" s="5" t="n"/>
    </row>
    <row r="582">
      <c r="A582" s="7" t="n"/>
      <c r="B582" s="8">
        <f>IFERROR(MID(A582,FIND("01",A582)+2,14),"")</f>
        <v/>
      </c>
      <c r="C582" s="7">
        <f>IF(A582="","",IFERROR(VLOOKUP(B582,TblArticles,2,FALSE),"GTIN inconnu"))</f>
        <v/>
      </c>
      <c r="D582" s="8">
        <f>IF(A582="","",IFERROR(VLOOKUP(B582,TblArticles,3,FALSE),""))</f>
        <v/>
      </c>
      <c r="E582" s="9">
        <f>IFERROR(DATE(2000+VALUE(MID(A582,FIND("15",A582,FIND("01",A582)+16)+2,2)),VALUE(MID(A582,FIND("15",A582,FIND("01",A582)+16)+4,2)),VALUE(MID(A582,FIND("15",A582,FIND("01",A582)+16)+6,2))),"")</f>
        <v/>
      </c>
      <c r="F582" s="8">
        <f>IFERROR(MID(A582,FIND("10",A582,FIND("15",A582,FIND("01",A582)+16)+8)+2,50),"")</f>
        <v/>
      </c>
      <c r="G582" s="8" t="n"/>
    </row>
    <row r="583">
      <c r="A583" s="4" t="n"/>
      <c r="B583" s="5">
        <f>IFERROR(MID(A583,FIND("01",A583)+2,14),"")</f>
        <v/>
      </c>
      <c r="C583" s="4">
        <f>IF(A583="","",IFERROR(VLOOKUP(B583,TblArticles,2,FALSE),"GTIN inconnu"))</f>
        <v/>
      </c>
      <c r="D583" s="5">
        <f>IF(A583="","",IFERROR(VLOOKUP(B583,TblArticles,3,FALSE),""))</f>
        <v/>
      </c>
      <c r="E583" s="6">
        <f>IFERROR(DATE(2000+VALUE(MID(A583,FIND("15",A583,FIND("01",A583)+16)+2,2)),VALUE(MID(A583,FIND("15",A583,FIND("01",A583)+16)+4,2)),VALUE(MID(A583,FIND("15",A583,FIND("01",A583)+16)+6,2))),"")</f>
        <v/>
      </c>
      <c r="F583" s="5">
        <f>IFERROR(MID(A583,FIND("10",A583,FIND("15",A583,FIND("01",A583)+16)+8)+2,50),"")</f>
        <v/>
      </c>
      <c r="G583" s="5" t="n"/>
    </row>
    <row r="584">
      <c r="A584" s="7" t="n"/>
      <c r="B584" s="8">
        <f>IFERROR(MID(A584,FIND("01",A584)+2,14),"")</f>
        <v/>
      </c>
      <c r="C584" s="7">
        <f>IF(A584="","",IFERROR(VLOOKUP(B584,TblArticles,2,FALSE),"GTIN inconnu"))</f>
        <v/>
      </c>
      <c r="D584" s="8">
        <f>IF(A584="","",IFERROR(VLOOKUP(B584,TblArticles,3,FALSE),""))</f>
        <v/>
      </c>
      <c r="E584" s="9">
        <f>IFERROR(DATE(2000+VALUE(MID(A584,FIND("15",A584,FIND("01",A584)+16)+2,2)),VALUE(MID(A584,FIND("15",A584,FIND("01",A584)+16)+4,2)),VALUE(MID(A584,FIND("15",A584,FIND("01",A584)+16)+6,2))),"")</f>
        <v/>
      </c>
      <c r="F584" s="8">
        <f>IFERROR(MID(A584,FIND("10",A584,FIND("15",A584,FIND("01",A584)+16)+8)+2,50),"")</f>
        <v/>
      </c>
      <c r="G584" s="8" t="n"/>
    </row>
    <row r="585">
      <c r="A585" s="4" t="n"/>
      <c r="B585" s="5">
        <f>IFERROR(MID(A585,FIND("01",A585)+2,14),"")</f>
        <v/>
      </c>
      <c r="C585" s="4">
        <f>IF(A585="","",IFERROR(VLOOKUP(B585,TblArticles,2,FALSE),"GTIN inconnu"))</f>
        <v/>
      </c>
      <c r="D585" s="5">
        <f>IF(A585="","",IFERROR(VLOOKUP(B585,TblArticles,3,FALSE),""))</f>
        <v/>
      </c>
      <c r="E585" s="6">
        <f>IFERROR(DATE(2000+VALUE(MID(A585,FIND("15",A585,FIND("01",A585)+16)+2,2)),VALUE(MID(A585,FIND("15",A585,FIND("01",A585)+16)+4,2)),VALUE(MID(A585,FIND("15",A585,FIND("01",A585)+16)+6,2))),"")</f>
        <v/>
      </c>
      <c r="F585" s="5">
        <f>IFERROR(MID(A585,FIND("10",A585,FIND("15",A585,FIND("01",A585)+16)+8)+2,50),"")</f>
        <v/>
      </c>
      <c r="G585" s="5" t="n"/>
    </row>
    <row r="586">
      <c r="A586" s="7" t="n"/>
      <c r="B586" s="8">
        <f>IFERROR(MID(A586,FIND("01",A586)+2,14),"")</f>
        <v/>
      </c>
      <c r="C586" s="7">
        <f>IF(A586="","",IFERROR(VLOOKUP(B586,TblArticles,2,FALSE),"GTIN inconnu"))</f>
        <v/>
      </c>
      <c r="D586" s="8">
        <f>IF(A586="","",IFERROR(VLOOKUP(B586,TblArticles,3,FALSE),""))</f>
        <v/>
      </c>
      <c r="E586" s="9">
        <f>IFERROR(DATE(2000+VALUE(MID(A586,FIND("15",A586,FIND("01",A586)+16)+2,2)),VALUE(MID(A586,FIND("15",A586,FIND("01",A586)+16)+4,2)),VALUE(MID(A586,FIND("15",A586,FIND("01",A586)+16)+6,2))),"")</f>
        <v/>
      </c>
      <c r="F586" s="8">
        <f>IFERROR(MID(A586,FIND("10",A586,FIND("15",A586,FIND("01",A586)+16)+8)+2,50),"")</f>
        <v/>
      </c>
      <c r="G586" s="8" t="n"/>
    </row>
    <row r="587">
      <c r="A587" s="4" t="n"/>
      <c r="B587" s="5">
        <f>IFERROR(MID(A587,FIND("01",A587)+2,14),"")</f>
        <v/>
      </c>
      <c r="C587" s="4">
        <f>IF(A587="","",IFERROR(VLOOKUP(B587,TblArticles,2,FALSE),"GTIN inconnu"))</f>
        <v/>
      </c>
      <c r="D587" s="5">
        <f>IF(A587="","",IFERROR(VLOOKUP(B587,TblArticles,3,FALSE),""))</f>
        <v/>
      </c>
      <c r="E587" s="6">
        <f>IFERROR(DATE(2000+VALUE(MID(A587,FIND("15",A587,FIND("01",A587)+16)+2,2)),VALUE(MID(A587,FIND("15",A587,FIND("01",A587)+16)+4,2)),VALUE(MID(A587,FIND("15",A587,FIND("01",A587)+16)+6,2))),"")</f>
        <v/>
      </c>
      <c r="F587" s="5">
        <f>IFERROR(MID(A587,FIND("10",A587,FIND("15",A587,FIND("01",A587)+16)+8)+2,50),"")</f>
        <v/>
      </c>
      <c r="G587" s="5" t="n"/>
    </row>
    <row r="588">
      <c r="A588" s="7" t="n"/>
      <c r="B588" s="8">
        <f>IFERROR(MID(A588,FIND("01",A588)+2,14),"")</f>
        <v/>
      </c>
      <c r="C588" s="7">
        <f>IF(A588="","",IFERROR(VLOOKUP(B588,TblArticles,2,FALSE),"GTIN inconnu"))</f>
        <v/>
      </c>
      <c r="D588" s="8">
        <f>IF(A588="","",IFERROR(VLOOKUP(B588,TblArticles,3,FALSE),""))</f>
        <v/>
      </c>
      <c r="E588" s="9">
        <f>IFERROR(DATE(2000+VALUE(MID(A588,FIND("15",A588,FIND("01",A588)+16)+2,2)),VALUE(MID(A588,FIND("15",A588,FIND("01",A588)+16)+4,2)),VALUE(MID(A588,FIND("15",A588,FIND("01",A588)+16)+6,2))),"")</f>
        <v/>
      </c>
      <c r="F588" s="8">
        <f>IFERROR(MID(A588,FIND("10",A588,FIND("15",A588,FIND("01",A588)+16)+8)+2,50),"")</f>
        <v/>
      </c>
      <c r="G588" s="8" t="n"/>
    </row>
    <row r="589">
      <c r="A589" s="4" t="n"/>
      <c r="B589" s="5">
        <f>IFERROR(MID(A589,FIND("01",A589)+2,14),"")</f>
        <v/>
      </c>
      <c r="C589" s="4">
        <f>IF(A589="","",IFERROR(VLOOKUP(B589,TblArticles,2,FALSE),"GTIN inconnu"))</f>
        <v/>
      </c>
      <c r="D589" s="5">
        <f>IF(A589="","",IFERROR(VLOOKUP(B589,TblArticles,3,FALSE),""))</f>
        <v/>
      </c>
      <c r="E589" s="6">
        <f>IFERROR(DATE(2000+VALUE(MID(A589,FIND("15",A589,FIND("01",A589)+16)+2,2)),VALUE(MID(A589,FIND("15",A589,FIND("01",A589)+16)+4,2)),VALUE(MID(A589,FIND("15",A589,FIND("01",A589)+16)+6,2))),"")</f>
        <v/>
      </c>
      <c r="F589" s="5">
        <f>IFERROR(MID(A589,FIND("10",A589,FIND("15",A589,FIND("01",A589)+16)+8)+2,50),"")</f>
        <v/>
      </c>
      <c r="G589" s="5" t="n"/>
    </row>
    <row r="590">
      <c r="A590" s="7" t="n"/>
      <c r="B590" s="8">
        <f>IFERROR(MID(A590,FIND("01",A590)+2,14),"")</f>
        <v/>
      </c>
      <c r="C590" s="7">
        <f>IF(A590="","",IFERROR(VLOOKUP(B590,TblArticles,2,FALSE),"GTIN inconnu"))</f>
        <v/>
      </c>
      <c r="D590" s="8">
        <f>IF(A590="","",IFERROR(VLOOKUP(B590,TblArticles,3,FALSE),""))</f>
        <v/>
      </c>
      <c r="E590" s="9">
        <f>IFERROR(DATE(2000+VALUE(MID(A590,FIND("15",A590,FIND("01",A590)+16)+2,2)),VALUE(MID(A590,FIND("15",A590,FIND("01",A590)+16)+4,2)),VALUE(MID(A590,FIND("15",A590,FIND("01",A590)+16)+6,2))),"")</f>
        <v/>
      </c>
      <c r="F590" s="8">
        <f>IFERROR(MID(A590,FIND("10",A590,FIND("15",A590,FIND("01",A590)+16)+8)+2,50),"")</f>
        <v/>
      </c>
      <c r="G590" s="8" t="n"/>
    </row>
    <row r="591">
      <c r="A591" s="4" t="n"/>
      <c r="B591" s="5">
        <f>IFERROR(MID(A591,FIND("01",A591)+2,14),"")</f>
        <v/>
      </c>
      <c r="C591" s="4">
        <f>IF(A591="","",IFERROR(VLOOKUP(B591,TblArticles,2,FALSE),"GTIN inconnu"))</f>
        <v/>
      </c>
      <c r="D591" s="5">
        <f>IF(A591="","",IFERROR(VLOOKUP(B591,TblArticles,3,FALSE),""))</f>
        <v/>
      </c>
      <c r="E591" s="6">
        <f>IFERROR(DATE(2000+VALUE(MID(A591,FIND("15",A591,FIND("01",A591)+16)+2,2)),VALUE(MID(A591,FIND("15",A591,FIND("01",A591)+16)+4,2)),VALUE(MID(A591,FIND("15",A591,FIND("01",A591)+16)+6,2))),"")</f>
        <v/>
      </c>
      <c r="F591" s="5">
        <f>IFERROR(MID(A591,FIND("10",A591,FIND("15",A591,FIND("01",A591)+16)+8)+2,50),"")</f>
        <v/>
      </c>
      <c r="G591" s="5" t="n"/>
    </row>
    <row r="592">
      <c r="A592" s="7" t="n"/>
      <c r="B592" s="8">
        <f>IFERROR(MID(A592,FIND("01",A592)+2,14),"")</f>
        <v/>
      </c>
      <c r="C592" s="7">
        <f>IF(A592="","",IFERROR(VLOOKUP(B592,TblArticles,2,FALSE),"GTIN inconnu"))</f>
        <v/>
      </c>
      <c r="D592" s="8">
        <f>IF(A592="","",IFERROR(VLOOKUP(B592,TblArticles,3,FALSE),""))</f>
        <v/>
      </c>
      <c r="E592" s="9">
        <f>IFERROR(DATE(2000+VALUE(MID(A592,FIND("15",A592,FIND("01",A592)+16)+2,2)),VALUE(MID(A592,FIND("15",A592,FIND("01",A592)+16)+4,2)),VALUE(MID(A592,FIND("15",A592,FIND("01",A592)+16)+6,2))),"")</f>
        <v/>
      </c>
      <c r="F592" s="8">
        <f>IFERROR(MID(A592,FIND("10",A592,FIND("15",A592,FIND("01",A592)+16)+8)+2,50),"")</f>
        <v/>
      </c>
      <c r="G592" s="8" t="n"/>
    </row>
    <row r="593">
      <c r="A593" s="4" t="n"/>
      <c r="B593" s="5">
        <f>IFERROR(MID(A593,FIND("01",A593)+2,14),"")</f>
        <v/>
      </c>
      <c r="C593" s="4">
        <f>IF(A593="","",IFERROR(VLOOKUP(B593,TblArticles,2,FALSE),"GTIN inconnu"))</f>
        <v/>
      </c>
      <c r="D593" s="5">
        <f>IF(A593="","",IFERROR(VLOOKUP(B593,TblArticles,3,FALSE),""))</f>
        <v/>
      </c>
      <c r="E593" s="6">
        <f>IFERROR(DATE(2000+VALUE(MID(A593,FIND("15",A593,FIND("01",A593)+16)+2,2)),VALUE(MID(A593,FIND("15",A593,FIND("01",A593)+16)+4,2)),VALUE(MID(A593,FIND("15",A593,FIND("01",A593)+16)+6,2))),"")</f>
        <v/>
      </c>
      <c r="F593" s="5">
        <f>IFERROR(MID(A593,FIND("10",A593,FIND("15",A593,FIND("01",A593)+16)+8)+2,50),"")</f>
        <v/>
      </c>
      <c r="G593" s="5" t="n"/>
    </row>
    <row r="594">
      <c r="A594" s="7" t="n"/>
      <c r="B594" s="8">
        <f>IFERROR(MID(A594,FIND("01",A594)+2,14),"")</f>
        <v/>
      </c>
      <c r="C594" s="7">
        <f>IF(A594="","",IFERROR(VLOOKUP(B594,TblArticles,2,FALSE),"GTIN inconnu"))</f>
        <v/>
      </c>
      <c r="D594" s="8">
        <f>IF(A594="","",IFERROR(VLOOKUP(B594,TblArticles,3,FALSE),""))</f>
        <v/>
      </c>
      <c r="E594" s="9">
        <f>IFERROR(DATE(2000+VALUE(MID(A594,FIND("15",A594,FIND("01",A594)+16)+2,2)),VALUE(MID(A594,FIND("15",A594,FIND("01",A594)+16)+4,2)),VALUE(MID(A594,FIND("15",A594,FIND("01",A594)+16)+6,2))),"")</f>
        <v/>
      </c>
      <c r="F594" s="8">
        <f>IFERROR(MID(A594,FIND("10",A594,FIND("15",A594,FIND("01",A594)+16)+8)+2,50),"")</f>
        <v/>
      </c>
      <c r="G594" s="8" t="n"/>
    </row>
    <row r="595">
      <c r="A595" s="4" t="n"/>
      <c r="B595" s="5">
        <f>IFERROR(MID(A595,FIND("01",A595)+2,14),"")</f>
        <v/>
      </c>
      <c r="C595" s="4">
        <f>IF(A595="","",IFERROR(VLOOKUP(B595,TblArticles,2,FALSE),"GTIN inconnu"))</f>
        <v/>
      </c>
      <c r="D595" s="5">
        <f>IF(A595="","",IFERROR(VLOOKUP(B595,TblArticles,3,FALSE),""))</f>
        <v/>
      </c>
      <c r="E595" s="6">
        <f>IFERROR(DATE(2000+VALUE(MID(A595,FIND("15",A595,FIND("01",A595)+16)+2,2)),VALUE(MID(A595,FIND("15",A595,FIND("01",A595)+16)+4,2)),VALUE(MID(A595,FIND("15",A595,FIND("01",A595)+16)+6,2))),"")</f>
        <v/>
      </c>
      <c r="F595" s="5">
        <f>IFERROR(MID(A595,FIND("10",A595,FIND("15",A595,FIND("01",A595)+16)+8)+2,50),"")</f>
        <v/>
      </c>
      <c r="G595" s="5" t="n"/>
    </row>
    <row r="596">
      <c r="A596" s="7" t="n"/>
      <c r="B596" s="8">
        <f>IFERROR(MID(A596,FIND("01",A596)+2,14),"")</f>
        <v/>
      </c>
      <c r="C596" s="7">
        <f>IF(A596="","",IFERROR(VLOOKUP(B596,TblArticles,2,FALSE),"GTIN inconnu"))</f>
        <v/>
      </c>
      <c r="D596" s="8">
        <f>IF(A596="","",IFERROR(VLOOKUP(B596,TblArticles,3,FALSE),""))</f>
        <v/>
      </c>
      <c r="E596" s="9">
        <f>IFERROR(DATE(2000+VALUE(MID(A596,FIND("15",A596,FIND("01",A596)+16)+2,2)),VALUE(MID(A596,FIND("15",A596,FIND("01",A596)+16)+4,2)),VALUE(MID(A596,FIND("15",A596,FIND("01",A596)+16)+6,2))),"")</f>
        <v/>
      </c>
      <c r="F596" s="8">
        <f>IFERROR(MID(A596,FIND("10",A596,FIND("15",A596,FIND("01",A596)+16)+8)+2,50),"")</f>
        <v/>
      </c>
      <c r="G596" s="8" t="n"/>
    </row>
    <row r="597">
      <c r="A597" s="4" t="n"/>
      <c r="B597" s="5">
        <f>IFERROR(MID(A597,FIND("01",A597)+2,14),"")</f>
        <v/>
      </c>
      <c r="C597" s="4">
        <f>IF(A597="","",IFERROR(VLOOKUP(B597,TblArticles,2,FALSE),"GTIN inconnu"))</f>
        <v/>
      </c>
      <c r="D597" s="5">
        <f>IF(A597="","",IFERROR(VLOOKUP(B597,TblArticles,3,FALSE),""))</f>
        <v/>
      </c>
      <c r="E597" s="6">
        <f>IFERROR(DATE(2000+VALUE(MID(A597,FIND("15",A597,FIND("01",A597)+16)+2,2)),VALUE(MID(A597,FIND("15",A597,FIND("01",A597)+16)+4,2)),VALUE(MID(A597,FIND("15",A597,FIND("01",A597)+16)+6,2))),"")</f>
        <v/>
      </c>
      <c r="F597" s="5">
        <f>IFERROR(MID(A597,FIND("10",A597,FIND("15",A597,FIND("01",A597)+16)+8)+2,50),"")</f>
        <v/>
      </c>
      <c r="G597" s="5" t="n"/>
    </row>
    <row r="598">
      <c r="A598" s="7" t="n"/>
      <c r="B598" s="8">
        <f>IFERROR(MID(A598,FIND("01",A598)+2,14),"")</f>
        <v/>
      </c>
      <c r="C598" s="7">
        <f>IF(A598="","",IFERROR(VLOOKUP(B598,TblArticles,2,FALSE),"GTIN inconnu"))</f>
        <v/>
      </c>
      <c r="D598" s="8">
        <f>IF(A598="","",IFERROR(VLOOKUP(B598,TblArticles,3,FALSE),""))</f>
        <v/>
      </c>
      <c r="E598" s="9">
        <f>IFERROR(DATE(2000+VALUE(MID(A598,FIND("15",A598,FIND("01",A598)+16)+2,2)),VALUE(MID(A598,FIND("15",A598,FIND("01",A598)+16)+4,2)),VALUE(MID(A598,FIND("15",A598,FIND("01",A598)+16)+6,2))),"")</f>
        <v/>
      </c>
      <c r="F598" s="8">
        <f>IFERROR(MID(A598,FIND("10",A598,FIND("15",A598,FIND("01",A598)+16)+8)+2,50),"")</f>
        <v/>
      </c>
      <c r="G598" s="8" t="n"/>
    </row>
    <row r="599">
      <c r="A599" s="4" t="n"/>
      <c r="B599" s="5">
        <f>IFERROR(MID(A599,FIND("01",A599)+2,14),"")</f>
        <v/>
      </c>
      <c r="C599" s="4">
        <f>IF(A599="","",IFERROR(VLOOKUP(B599,TblArticles,2,FALSE),"GTIN inconnu"))</f>
        <v/>
      </c>
      <c r="D599" s="5">
        <f>IF(A599="","",IFERROR(VLOOKUP(B599,TblArticles,3,FALSE),""))</f>
        <v/>
      </c>
      <c r="E599" s="6">
        <f>IFERROR(DATE(2000+VALUE(MID(A599,FIND("15",A599,FIND("01",A599)+16)+2,2)),VALUE(MID(A599,FIND("15",A599,FIND("01",A599)+16)+4,2)),VALUE(MID(A599,FIND("15",A599,FIND("01",A599)+16)+6,2))),"")</f>
        <v/>
      </c>
      <c r="F599" s="5">
        <f>IFERROR(MID(A599,FIND("10",A599,FIND("15",A599,FIND("01",A599)+16)+8)+2,50),"")</f>
        <v/>
      </c>
      <c r="G599" s="5" t="n"/>
    </row>
    <row r="600">
      <c r="A600" s="7" t="n"/>
      <c r="B600" s="8">
        <f>IFERROR(MID(A600,FIND("01",A600)+2,14),"")</f>
        <v/>
      </c>
      <c r="C600" s="7">
        <f>IF(A600="","",IFERROR(VLOOKUP(B600,TblArticles,2,FALSE),"GTIN inconnu"))</f>
        <v/>
      </c>
      <c r="D600" s="8">
        <f>IF(A600="","",IFERROR(VLOOKUP(B600,TblArticles,3,FALSE),""))</f>
        <v/>
      </c>
      <c r="E600" s="9">
        <f>IFERROR(DATE(2000+VALUE(MID(A600,FIND("15",A600,FIND("01",A600)+16)+2,2)),VALUE(MID(A600,FIND("15",A600,FIND("01",A600)+16)+4,2)),VALUE(MID(A600,FIND("15",A600,FIND("01",A600)+16)+6,2))),"")</f>
        <v/>
      </c>
      <c r="F600" s="8">
        <f>IFERROR(MID(A600,FIND("10",A600,FIND("15",A600,FIND("01",A600)+16)+8)+2,50),"")</f>
        <v/>
      </c>
      <c r="G600" s="8" t="n"/>
    </row>
    <row r="601">
      <c r="A601" s="4" t="n"/>
      <c r="B601" s="5">
        <f>IFERROR(MID(A601,FIND("01",A601)+2,14),"")</f>
        <v/>
      </c>
      <c r="C601" s="4">
        <f>IF(A601="","",IFERROR(VLOOKUP(B601,TblArticles,2,FALSE),"GTIN inconnu"))</f>
        <v/>
      </c>
      <c r="D601" s="5">
        <f>IF(A601="","",IFERROR(VLOOKUP(B601,TblArticles,3,FALSE),""))</f>
        <v/>
      </c>
      <c r="E601" s="6">
        <f>IFERROR(DATE(2000+VALUE(MID(A601,FIND("15",A601,FIND("01",A601)+16)+2,2)),VALUE(MID(A601,FIND("15",A601,FIND("01",A601)+16)+4,2)),VALUE(MID(A601,FIND("15",A601,FIND("01",A601)+16)+6,2))),"")</f>
        <v/>
      </c>
      <c r="F601" s="5">
        <f>IFERROR(MID(A601,FIND("10",A601,FIND("15",A601,FIND("01",A601)+16)+8)+2,50),"")</f>
        <v/>
      </c>
      <c r="G601" s="5" t="n"/>
    </row>
    <row r="602">
      <c r="A602" s="7" t="n"/>
      <c r="B602" s="8">
        <f>IFERROR(MID(A602,FIND("01",A602)+2,14),"")</f>
        <v/>
      </c>
      <c r="C602" s="7">
        <f>IF(A602="","",IFERROR(VLOOKUP(B602,TblArticles,2,FALSE),"GTIN inconnu"))</f>
        <v/>
      </c>
      <c r="D602" s="8">
        <f>IF(A602="","",IFERROR(VLOOKUP(B602,TblArticles,3,FALSE),""))</f>
        <v/>
      </c>
      <c r="E602" s="9">
        <f>IFERROR(DATE(2000+VALUE(MID(A602,FIND("15",A602,FIND("01",A602)+16)+2,2)),VALUE(MID(A602,FIND("15",A602,FIND("01",A602)+16)+4,2)),VALUE(MID(A602,FIND("15",A602,FIND("01",A602)+16)+6,2))),"")</f>
        <v/>
      </c>
      <c r="F602" s="8">
        <f>IFERROR(MID(A602,FIND("10",A602,FIND("15",A602,FIND("01",A602)+16)+8)+2,50),"")</f>
        <v/>
      </c>
      <c r="G602" s="8" t="n"/>
    </row>
    <row r="603">
      <c r="A603" s="4" t="n"/>
      <c r="B603" s="5">
        <f>IFERROR(MID(A603,FIND("01",A603)+2,14),"")</f>
        <v/>
      </c>
      <c r="C603" s="4">
        <f>IF(A603="","",IFERROR(VLOOKUP(B603,TblArticles,2,FALSE),"GTIN inconnu"))</f>
        <v/>
      </c>
      <c r="D603" s="5">
        <f>IF(A603="","",IFERROR(VLOOKUP(B603,TblArticles,3,FALSE),""))</f>
        <v/>
      </c>
      <c r="E603" s="6">
        <f>IFERROR(DATE(2000+VALUE(MID(A603,FIND("15",A603,FIND("01",A603)+16)+2,2)),VALUE(MID(A603,FIND("15",A603,FIND("01",A603)+16)+4,2)),VALUE(MID(A603,FIND("15",A603,FIND("01",A603)+16)+6,2))),"")</f>
        <v/>
      </c>
      <c r="F603" s="5">
        <f>IFERROR(MID(A603,FIND("10",A603,FIND("15",A603,FIND("01",A603)+16)+8)+2,50),"")</f>
        <v/>
      </c>
      <c r="G603" s="5" t="n"/>
    </row>
    <row r="604">
      <c r="A604" s="7" t="n"/>
      <c r="B604" s="8">
        <f>IFERROR(MID(A604,FIND("01",A604)+2,14),"")</f>
        <v/>
      </c>
      <c r="C604" s="7">
        <f>IF(A604="","",IFERROR(VLOOKUP(B604,TblArticles,2,FALSE),"GTIN inconnu"))</f>
        <v/>
      </c>
      <c r="D604" s="8">
        <f>IF(A604="","",IFERROR(VLOOKUP(B604,TblArticles,3,FALSE),""))</f>
        <v/>
      </c>
      <c r="E604" s="9">
        <f>IFERROR(DATE(2000+VALUE(MID(A604,FIND("15",A604,FIND("01",A604)+16)+2,2)),VALUE(MID(A604,FIND("15",A604,FIND("01",A604)+16)+4,2)),VALUE(MID(A604,FIND("15",A604,FIND("01",A604)+16)+6,2))),"")</f>
        <v/>
      </c>
      <c r="F604" s="8">
        <f>IFERROR(MID(A604,FIND("10",A604,FIND("15",A604,FIND("01",A604)+16)+8)+2,50),"")</f>
        <v/>
      </c>
      <c r="G604" s="8" t="n"/>
    </row>
    <row r="605">
      <c r="A605" s="4" t="n"/>
      <c r="B605" s="5">
        <f>IFERROR(MID(A605,FIND("01",A605)+2,14),"")</f>
        <v/>
      </c>
      <c r="C605" s="4">
        <f>IF(A605="","",IFERROR(VLOOKUP(B605,TblArticles,2,FALSE),"GTIN inconnu"))</f>
        <v/>
      </c>
      <c r="D605" s="5">
        <f>IF(A605="","",IFERROR(VLOOKUP(B605,TblArticles,3,FALSE),""))</f>
        <v/>
      </c>
      <c r="E605" s="6">
        <f>IFERROR(DATE(2000+VALUE(MID(A605,FIND("15",A605,FIND("01",A605)+16)+2,2)),VALUE(MID(A605,FIND("15",A605,FIND("01",A605)+16)+4,2)),VALUE(MID(A605,FIND("15",A605,FIND("01",A605)+16)+6,2))),"")</f>
        <v/>
      </c>
      <c r="F605" s="5">
        <f>IFERROR(MID(A605,FIND("10",A605,FIND("15",A605,FIND("01",A605)+16)+8)+2,50),"")</f>
        <v/>
      </c>
      <c r="G605" s="5" t="n"/>
    </row>
    <row r="606">
      <c r="A606" s="7" t="n"/>
      <c r="B606" s="8">
        <f>IFERROR(MID(A606,FIND("01",A606)+2,14),"")</f>
        <v/>
      </c>
      <c r="C606" s="7">
        <f>IF(A606="","",IFERROR(VLOOKUP(B606,TblArticles,2,FALSE),"GTIN inconnu"))</f>
        <v/>
      </c>
      <c r="D606" s="8">
        <f>IF(A606="","",IFERROR(VLOOKUP(B606,TblArticles,3,FALSE),""))</f>
        <v/>
      </c>
      <c r="E606" s="9">
        <f>IFERROR(DATE(2000+VALUE(MID(A606,FIND("15",A606,FIND("01",A606)+16)+2,2)),VALUE(MID(A606,FIND("15",A606,FIND("01",A606)+16)+4,2)),VALUE(MID(A606,FIND("15",A606,FIND("01",A606)+16)+6,2))),"")</f>
        <v/>
      </c>
      <c r="F606" s="8">
        <f>IFERROR(MID(A606,FIND("10",A606,FIND("15",A606,FIND("01",A606)+16)+8)+2,50),"")</f>
        <v/>
      </c>
      <c r="G606" s="8" t="n"/>
    </row>
    <row r="607">
      <c r="A607" s="4" t="n"/>
      <c r="B607" s="5">
        <f>IFERROR(MID(A607,FIND("01",A607)+2,14),"")</f>
        <v/>
      </c>
      <c r="C607" s="4">
        <f>IF(A607="","",IFERROR(VLOOKUP(B607,TblArticles,2,FALSE),"GTIN inconnu"))</f>
        <v/>
      </c>
      <c r="D607" s="5">
        <f>IF(A607="","",IFERROR(VLOOKUP(B607,TblArticles,3,FALSE),""))</f>
        <v/>
      </c>
      <c r="E607" s="6">
        <f>IFERROR(DATE(2000+VALUE(MID(A607,FIND("15",A607,FIND("01",A607)+16)+2,2)),VALUE(MID(A607,FIND("15",A607,FIND("01",A607)+16)+4,2)),VALUE(MID(A607,FIND("15",A607,FIND("01",A607)+16)+6,2))),"")</f>
        <v/>
      </c>
      <c r="F607" s="5">
        <f>IFERROR(MID(A607,FIND("10",A607,FIND("15",A607,FIND("01",A607)+16)+8)+2,50),"")</f>
        <v/>
      </c>
      <c r="G607" s="5" t="n"/>
    </row>
    <row r="608">
      <c r="A608" s="7" t="n"/>
      <c r="B608" s="8">
        <f>IFERROR(MID(A608,FIND("01",A608)+2,14),"")</f>
        <v/>
      </c>
      <c r="C608" s="7">
        <f>IF(A608="","",IFERROR(VLOOKUP(B608,TblArticles,2,FALSE),"GTIN inconnu"))</f>
        <v/>
      </c>
      <c r="D608" s="8">
        <f>IF(A608="","",IFERROR(VLOOKUP(B608,TblArticles,3,FALSE),""))</f>
        <v/>
      </c>
      <c r="E608" s="9">
        <f>IFERROR(DATE(2000+VALUE(MID(A608,FIND("15",A608,FIND("01",A608)+16)+2,2)),VALUE(MID(A608,FIND("15",A608,FIND("01",A608)+16)+4,2)),VALUE(MID(A608,FIND("15",A608,FIND("01",A608)+16)+6,2))),"")</f>
        <v/>
      </c>
      <c r="F608" s="8">
        <f>IFERROR(MID(A608,FIND("10",A608,FIND("15",A608,FIND("01",A608)+16)+8)+2,50),"")</f>
        <v/>
      </c>
      <c r="G608" s="8" t="n"/>
    </row>
    <row r="609">
      <c r="A609" s="4" t="n"/>
      <c r="B609" s="5">
        <f>IFERROR(MID(A609,FIND("01",A609)+2,14),"")</f>
        <v/>
      </c>
      <c r="C609" s="4">
        <f>IF(A609="","",IFERROR(VLOOKUP(B609,TblArticles,2,FALSE),"GTIN inconnu"))</f>
        <v/>
      </c>
      <c r="D609" s="5">
        <f>IF(A609="","",IFERROR(VLOOKUP(B609,TblArticles,3,FALSE),""))</f>
        <v/>
      </c>
      <c r="E609" s="6">
        <f>IFERROR(DATE(2000+VALUE(MID(A609,FIND("15",A609,FIND("01",A609)+16)+2,2)),VALUE(MID(A609,FIND("15",A609,FIND("01",A609)+16)+4,2)),VALUE(MID(A609,FIND("15",A609,FIND("01",A609)+16)+6,2))),"")</f>
        <v/>
      </c>
      <c r="F609" s="5">
        <f>IFERROR(MID(A609,FIND("10",A609,FIND("15",A609,FIND("01",A609)+16)+8)+2,50),"")</f>
        <v/>
      </c>
      <c r="G609" s="5" t="n"/>
    </row>
    <row r="610">
      <c r="A610" s="7" t="n"/>
      <c r="B610" s="8">
        <f>IFERROR(MID(A610,FIND("01",A610)+2,14),"")</f>
        <v/>
      </c>
      <c r="C610" s="7">
        <f>IF(A610="","",IFERROR(VLOOKUP(B610,TblArticles,2,FALSE),"GTIN inconnu"))</f>
        <v/>
      </c>
      <c r="D610" s="8">
        <f>IF(A610="","",IFERROR(VLOOKUP(B610,TblArticles,3,FALSE),""))</f>
        <v/>
      </c>
      <c r="E610" s="9">
        <f>IFERROR(DATE(2000+VALUE(MID(A610,FIND("15",A610,FIND("01",A610)+16)+2,2)),VALUE(MID(A610,FIND("15",A610,FIND("01",A610)+16)+4,2)),VALUE(MID(A610,FIND("15",A610,FIND("01",A610)+16)+6,2))),"")</f>
        <v/>
      </c>
      <c r="F610" s="8">
        <f>IFERROR(MID(A610,FIND("10",A610,FIND("15",A610,FIND("01",A610)+16)+8)+2,50),"")</f>
        <v/>
      </c>
      <c r="G610" s="8" t="n"/>
    </row>
    <row r="611">
      <c r="A611" s="4" t="n"/>
      <c r="B611" s="5">
        <f>IFERROR(MID(A611,FIND("01",A611)+2,14),"")</f>
        <v/>
      </c>
      <c r="C611" s="4">
        <f>IF(A611="","",IFERROR(VLOOKUP(B611,TblArticles,2,FALSE),"GTIN inconnu"))</f>
        <v/>
      </c>
      <c r="D611" s="5">
        <f>IF(A611="","",IFERROR(VLOOKUP(B611,TblArticles,3,FALSE),""))</f>
        <v/>
      </c>
      <c r="E611" s="6">
        <f>IFERROR(DATE(2000+VALUE(MID(A611,FIND("15",A611,FIND("01",A611)+16)+2,2)),VALUE(MID(A611,FIND("15",A611,FIND("01",A611)+16)+4,2)),VALUE(MID(A611,FIND("15",A611,FIND("01",A611)+16)+6,2))),"")</f>
        <v/>
      </c>
      <c r="F611" s="5">
        <f>IFERROR(MID(A611,FIND("10",A611,FIND("15",A611,FIND("01",A611)+16)+8)+2,50),"")</f>
        <v/>
      </c>
      <c r="G611" s="5" t="n"/>
    </row>
    <row r="612">
      <c r="A612" s="7" t="n"/>
      <c r="B612" s="8">
        <f>IFERROR(MID(A612,FIND("01",A612)+2,14),"")</f>
        <v/>
      </c>
      <c r="C612" s="7">
        <f>IF(A612="","",IFERROR(VLOOKUP(B612,TblArticles,2,FALSE),"GTIN inconnu"))</f>
        <v/>
      </c>
      <c r="D612" s="8">
        <f>IF(A612="","",IFERROR(VLOOKUP(B612,TblArticles,3,FALSE),""))</f>
        <v/>
      </c>
      <c r="E612" s="9">
        <f>IFERROR(DATE(2000+VALUE(MID(A612,FIND("15",A612,FIND("01",A612)+16)+2,2)),VALUE(MID(A612,FIND("15",A612,FIND("01",A612)+16)+4,2)),VALUE(MID(A612,FIND("15",A612,FIND("01",A612)+16)+6,2))),"")</f>
        <v/>
      </c>
      <c r="F612" s="8">
        <f>IFERROR(MID(A612,FIND("10",A612,FIND("15",A612,FIND("01",A612)+16)+8)+2,50),"")</f>
        <v/>
      </c>
      <c r="G612" s="8" t="n"/>
    </row>
    <row r="613">
      <c r="A613" s="4" t="n"/>
      <c r="B613" s="5">
        <f>IFERROR(MID(A613,FIND("01",A613)+2,14),"")</f>
        <v/>
      </c>
      <c r="C613" s="4">
        <f>IF(A613="","",IFERROR(VLOOKUP(B613,TblArticles,2,FALSE),"GTIN inconnu"))</f>
        <v/>
      </c>
      <c r="D613" s="5">
        <f>IF(A613="","",IFERROR(VLOOKUP(B613,TblArticles,3,FALSE),""))</f>
        <v/>
      </c>
      <c r="E613" s="6">
        <f>IFERROR(DATE(2000+VALUE(MID(A613,FIND("15",A613,FIND("01",A613)+16)+2,2)),VALUE(MID(A613,FIND("15",A613,FIND("01",A613)+16)+4,2)),VALUE(MID(A613,FIND("15",A613,FIND("01",A613)+16)+6,2))),"")</f>
        <v/>
      </c>
      <c r="F613" s="5">
        <f>IFERROR(MID(A613,FIND("10",A613,FIND("15",A613,FIND("01",A613)+16)+8)+2,50),"")</f>
        <v/>
      </c>
      <c r="G613" s="5" t="n"/>
    </row>
    <row r="614">
      <c r="A614" s="7" t="n"/>
      <c r="B614" s="8">
        <f>IFERROR(MID(A614,FIND("01",A614)+2,14),"")</f>
        <v/>
      </c>
      <c r="C614" s="7">
        <f>IF(A614="","",IFERROR(VLOOKUP(B614,TblArticles,2,FALSE),"GTIN inconnu"))</f>
        <v/>
      </c>
      <c r="D614" s="8">
        <f>IF(A614="","",IFERROR(VLOOKUP(B614,TblArticles,3,FALSE),""))</f>
        <v/>
      </c>
      <c r="E614" s="9">
        <f>IFERROR(DATE(2000+VALUE(MID(A614,FIND("15",A614,FIND("01",A614)+16)+2,2)),VALUE(MID(A614,FIND("15",A614,FIND("01",A614)+16)+4,2)),VALUE(MID(A614,FIND("15",A614,FIND("01",A614)+16)+6,2))),"")</f>
        <v/>
      </c>
      <c r="F614" s="8">
        <f>IFERROR(MID(A614,FIND("10",A614,FIND("15",A614,FIND("01",A614)+16)+8)+2,50),"")</f>
        <v/>
      </c>
      <c r="G614" s="8" t="n"/>
    </row>
    <row r="615">
      <c r="A615" s="4" t="n"/>
      <c r="B615" s="5">
        <f>IFERROR(MID(A615,FIND("01",A615)+2,14),"")</f>
        <v/>
      </c>
      <c r="C615" s="4">
        <f>IF(A615="","",IFERROR(VLOOKUP(B615,TblArticles,2,FALSE),"GTIN inconnu"))</f>
        <v/>
      </c>
      <c r="D615" s="5">
        <f>IF(A615="","",IFERROR(VLOOKUP(B615,TblArticles,3,FALSE),""))</f>
        <v/>
      </c>
      <c r="E615" s="6">
        <f>IFERROR(DATE(2000+VALUE(MID(A615,FIND("15",A615,FIND("01",A615)+16)+2,2)),VALUE(MID(A615,FIND("15",A615,FIND("01",A615)+16)+4,2)),VALUE(MID(A615,FIND("15",A615,FIND("01",A615)+16)+6,2))),"")</f>
        <v/>
      </c>
      <c r="F615" s="5">
        <f>IFERROR(MID(A615,FIND("10",A615,FIND("15",A615,FIND("01",A615)+16)+8)+2,50),"")</f>
        <v/>
      </c>
      <c r="G615" s="5" t="n"/>
    </row>
    <row r="616">
      <c r="A616" s="7" t="n"/>
      <c r="B616" s="8">
        <f>IFERROR(MID(A616,FIND("01",A616)+2,14),"")</f>
        <v/>
      </c>
      <c r="C616" s="7">
        <f>IF(A616="","",IFERROR(VLOOKUP(B616,TblArticles,2,FALSE),"GTIN inconnu"))</f>
        <v/>
      </c>
      <c r="D616" s="8">
        <f>IF(A616="","",IFERROR(VLOOKUP(B616,TblArticles,3,FALSE),""))</f>
        <v/>
      </c>
      <c r="E616" s="9">
        <f>IFERROR(DATE(2000+VALUE(MID(A616,FIND("15",A616,FIND("01",A616)+16)+2,2)),VALUE(MID(A616,FIND("15",A616,FIND("01",A616)+16)+4,2)),VALUE(MID(A616,FIND("15",A616,FIND("01",A616)+16)+6,2))),"")</f>
        <v/>
      </c>
      <c r="F616" s="8">
        <f>IFERROR(MID(A616,FIND("10",A616,FIND("15",A616,FIND("01",A616)+16)+8)+2,50),"")</f>
        <v/>
      </c>
      <c r="G616" s="8" t="n"/>
    </row>
    <row r="617">
      <c r="A617" s="4" t="n"/>
      <c r="B617" s="5">
        <f>IFERROR(MID(A617,FIND("01",A617)+2,14),"")</f>
        <v/>
      </c>
      <c r="C617" s="4">
        <f>IF(A617="","",IFERROR(VLOOKUP(B617,TblArticles,2,FALSE),"GTIN inconnu"))</f>
        <v/>
      </c>
      <c r="D617" s="5">
        <f>IF(A617="","",IFERROR(VLOOKUP(B617,TblArticles,3,FALSE),""))</f>
        <v/>
      </c>
      <c r="E617" s="6">
        <f>IFERROR(DATE(2000+VALUE(MID(A617,FIND("15",A617,FIND("01",A617)+16)+2,2)),VALUE(MID(A617,FIND("15",A617,FIND("01",A617)+16)+4,2)),VALUE(MID(A617,FIND("15",A617,FIND("01",A617)+16)+6,2))),"")</f>
        <v/>
      </c>
      <c r="F617" s="5">
        <f>IFERROR(MID(A617,FIND("10",A617,FIND("15",A617,FIND("01",A617)+16)+8)+2,50),"")</f>
        <v/>
      </c>
      <c r="G617" s="5" t="n"/>
    </row>
    <row r="618">
      <c r="A618" s="7" t="n"/>
      <c r="B618" s="8">
        <f>IFERROR(MID(A618,FIND("01",A618)+2,14),"")</f>
        <v/>
      </c>
      <c r="C618" s="7">
        <f>IF(A618="","",IFERROR(VLOOKUP(B618,TblArticles,2,FALSE),"GTIN inconnu"))</f>
        <v/>
      </c>
      <c r="D618" s="8">
        <f>IF(A618="","",IFERROR(VLOOKUP(B618,TblArticles,3,FALSE),""))</f>
        <v/>
      </c>
      <c r="E618" s="9">
        <f>IFERROR(DATE(2000+VALUE(MID(A618,FIND("15",A618,FIND("01",A618)+16)+2,2)),VALUE(MID(A618,FIND("15",A618,FIND("01",A618)+16)+4,2)),VALUE(MID(A618,FIND("15",A618,FIND("01",A618)+16)+6,2))),"")</f>
        <v/>
      </c>
      <c r="F618" s="8">
        <f>IFERROR(MID(A618,FIND("10",A618,FIND("15",A618,FIND("01",A618)+16)+8)+2,50),"")</f>
        <v/>
      </c>
      <c r="G618" s="8" t="n"/>
    </row>
    <row r="619">
      <c r="A619" s="4" t="n"/>
      <c r="B619" s="5">
        <f>IFERROR(MID(A619,FIND("01",A619)+2,14),"")</f>
        <v/>
      </c>
      <c r="C619" s="4">
        <f>IF(A619="","",IFERROR(VLOOKUP(B619,TblArticles,2,FALSE),"GTIN inconnu"))</f>
        <v/>
      </c>
      <c r="D619" s="5">
        <f>IF(A619="","",IFERROR(VLOOKUP(B619,TblArticles,3,FALSE),""))</f>
        <v/>
      </c>
      <c r="E619" s="6">
        <f>IFERROR(DATE(2000+VALUE(MID(A619,FIND("15",A619,FIND("01",A619)+16)+2,2)),VALUE(MID(A619,FIND("15",A619,FIND("01",A619)+16)+4,2)),VALUE(MID(A619,FIND("15",A619,FIND("01",A619)+16)+6,2))),"")</f>
        <v/>
      </c>
      <c r="F619" s="5">
        <f>IFERROR(MID(A619,FIND("10",A619,FIND("15",A619,FIND("01",A619)+16)+8)+2,50),"")</f>
        <v/>
      </c>
      <c r="G619" s="5" t="n"/>
    </row>
    <row r="620">
      <c r="A620" s="7" t="n"/>
      <c r="B620" s="8">
        <f>IFERROR(MID(A620,FIND("01",A620)+2,14),"")</f>
        <v/>
      </c>
      <c r="C620" s="7">
        <f>IF(A620="","",IFERROR(VLOOKUP(B620,TblArticles,2,FALSE),"GTIN inconnu"))</f>
        <v/>
      </c>
      <c r="D620" s="8">
        <f>IF(A620="","",IFERROR(VLOOKUP(B620,TblArticles,3,FALSE),""))</f>
        <v/>
      </c>
      <c r="E620" s="9">
        <f>IFERROR(DATE(2000+VALUE(MID(A620,FIND("15",A620,FIND("01",A620)+16)+2,2)),VALUE(MID(A620,FIND("15",A620,FIND("01",A620)+16)+4,2)),VALUE(MID(A620,FIND("15",A620,FIND("01",A620)+16)+6,2))),"")</f>
        <v/>
      </c>
      <c r="F620" s="8">
        <f>IFERROR(MID(A620,FIND("10",A620,FIND("15",A620,FIND("01",A620)+16)+8)+2,50),"")</f>
        <v/>
      </c>
      <c r="G620" s="8" t="n"/>
    </row>
    <row r="621">
      <c r="A621" s="4" t="n"/>
      <c r="B621" s="5">
        <f>IFERROR(MID(A621,FIND("01",A621)+2,14),"")</f>
        <v/>
      </c>
      <c r="C621" s="4">
        <f>IF(A621="","",IFERROR(VLOOKUP(B621,TblArticles,2,FALSE),"GTIN inconnu"))</f>
        <v/>
      </c>
      <c r="D621" s="5">
        <f>IF(A621="","",IFERROR(VLOOKUP(B621,TblArticles,3,FALSE),""))</f>
        <v/>
      </c>
      <c r="E621" s="6">
        <f>IFERROR(DATE(2000+VALUE(MID(A621,FIND("15",A621,FIND("01",A621)+16)+2,2)),VALUE(MID(A621,FIND("15",A621,FIND("01",A621)+16)+4,2)),VALUE(MID(A621,FIND("15",A621,FIND("01",A621)+16)+6,2))),"")</f>
        <v/>
      </c>
      <c r="F621" s="5">
        <f>IFERROR(MID(A621,FIND("10",A621,FIND("15",A621,FIND("01",A621)+16)+8)+2,50),"")</f>
        <v/>
      </c>
      <c r="G621" s="5" t="n"/>
    </row>
    <row r="622">
      <c r="A622" s="7" t="n"/>
      <c r="B622" s="8">
        <f>IFERROR(MID(A622,FIND("01",A622)+2,14),"")</f>
        <v/>
      </c>
      <c r="C622" s="7">
        <f>IF(A622="","",IFERROR(VLOOKUP(B622,TblArticles,2,FALSE),"GTIN inconnu"))</f>
        <v/>
      </c>
      <c r="D622" s="8">
        <f>IF(A622="","",IFERROR(VLOOKUP(B622,TblArticles,3,FALSE),""))</f>
        <v/>
      </c>
      <c r="E622" s="9">
        <f>IFERROR(DATE(2000+VALUE(MID(A622,FIND("15",A622,FIND("01",A622)+16)+2,2)),VALUE(MID(A622,FIND("15",A622,FIND("01",A622)+16)+4,2)),VALUE(MID(A622,FIND("15",A622,FIND("01",A622)+16)+6,2))),"")</f>
        <v/>
      </c>
      <c r="F622" s="8">
        <f>IFERROR(MID(A622,FIND("10",A622,FIND("15",A622,FIND("01",A622)+16)+8)+2,50),"")</f>
        <v/>
      </c>
      <c r="G622" s="8" t="n"/>
    </row>
    <row r="623">
      <c r="A623" s="4" t="n"/>
      <c r="B623" s="5">
        <f>IFERROR(MID(A623,FIND("01",A623)+2,14),"")</f>
        <v/>
      </c>
      <c r="C623" s="4">
        <f>IF(A623="","",IFERROR(VLOOKUP(B623,TblArticles,2,FALSE),"GTIN inconnu"))</f>
        <v/>
      </c>
      <c r="D623" s="5">
        <f>IF(A623="","",IFERROR(VLOOKUP(B623,TblArticles,3,FALSE),""))</f>
        <v/>
      </c>
      <c r="E623" s="6">
        <f>IFERROR(DATE(2000+VALUE(MID(A623,FIND("15",A623,FIND("01",A623)+16)+2,2)),VALUE(MID(A623,FIND("15",A623,FIND("01",A623)+16)+4,2)),VALUE(MID(A623,FIND("15",A623,FIND("01",A623)+16)+6,2))),"")</f>
        <v/>
      </c>
      <c r="F623" s="5">
        <f>IFERROR(MID(A623,FIND("10",A623,FIND("15",A623,FIND("01",A623)+16)+8)+2,50),"")</f>
        <v/>
      </c>
      <c r="G623" s="5" t="n"/>
    </row>
    <row r="624">
      <c r="A624" s="7" t="n"/>
      <c r="B624" s="8">
        <f>IFERROR(MID(A624,FIND("01",A624)+2,14),"")</f>
        <v/>
      </c>
      <c r="C624" s="7">
        <f>IF(A624="","",IFERROR(VLOOKUP(B624,TblArticles,2,FALSE),"GTIN inconnu"))</f>
        <v/>
      </c>
      <c r="D624" s="8">
        <f>IF(A624="","",IFERROR(VLOOKUP(B624,TblArticles,3,FALSE),""))</f>
        <v/>
      </c>
      <c r="E624" s="9">
        <f>IFERROR(DATE(2000+VALUE(MID(A624,FIND("15",A624,FIND("01",A624)+16)+2,2)),VALUE(MID(A624,FIND("15",A624,FIND("01",A624)+16)+4,2)),VALUE(MID(A624,FIND("15",A624,FIND("01",A624)+16)+6,2))),"")</f>
        <v/>
      </c>
      <c r="F624" s="8">
        <f>IFERROR(MID(A624,FIND("10",A624,FIND("15",A624,FIND("01",A624)+16)+8)+2,50),"")</f>
        <v/>
      </c>
      <c r="G624" s="8" t="n"/>
    </row>
    <row r="625">
      <c r="A625" s="4" t="n"/>
      <c r="B625" s="5">
        <f>IFERROR(MID(A625,FIND("01",A625)+2,14),"")</f>
        <v/>
      </c>
      <c r="C625" s="4">
        <f>IF(A625="","",IFERROR(VLOOKUP(B625,TblArticles,2,FALSE),"GTIN inconnu"))</f>
        <v/>
      </c>
      <c r="D625" s="5">
        <f>IF(A625="","",IFERROR(VLOOKUP(B625,TblArticles,3,FALSE),""))</f>
        <v/>
      </c>
      <c r="E625" s="6">
        <f>IFERROR(DATE(2000+VALUE(MID(A625,FIND("15",A625,FIND("01",A625)+16)+2,2)),VALUE(MID(A625,FIND("15",A625,FIND("01",A625)+16)+4,2)),VALUE(MID(A625,FIND("15",A625,FIND("01",A625)+16)+6,2))),"")</f>
        <v/>
      </c>
      <c r="F625" s="5">
        <f>IFERROR(MID(A625,FIND("10",A625,FIND("15",A625,FIND("01",A625)+16)+8)+2,50),"")</f>
        <v/>
      </c>
      <c r="G625" s="5" t="n"/>
    </row>
    <row r="626">
      <c r="A626" s="7" t="n"/>
      <c r="B626" s="8">
        <f>IFERROR(MID(A626,FIND("01",A626)+2,14),"")</f>
        <v/>
      </c>
      <c r="C626" s="7">
        <f>IF(A626="","",IFERROR(VLOOKUP(B626,TblArticles,2,FALSE),"GTIN inconnu"))</f>
        <v/>
      </c>
      <c r="D626" s="8">
        <f>IF(A626="","",IFERROR(VLOOKUP(B626,TblArticles,3,FALSE),""))</f>
        <v/>
      </c>
      <c r="E626" s="9">
        <f>IFERROR(DATE(2000+VALUE(MID(A626,FIND("15",A626,FIND("01",A626)+16)+2,2)),VALUE(MID(A626,FIND("15",A626,FIND("01",A626)+16)+4,2)),VALUE(MID(A626,FIND("15",A626,FIND("01",A626)+16)+6,2))),"")</f>
        <v/>
      </c>
      <c r="F626" s="8">
        <f>IFERROR(MID(A626,FIND("10",A626,FIND("15",A626,FIND("01",A626)+16)+8)+2,50),"")</f>
        <v/>
      </c>
      <c r="G626" s="8" t="n"/>
    </row>
    <row r="627">
      <c r="A627" s="4" t="n"/>
      <c r="B627" s="5">
        <f>IFERROR(MID(A627,FIND("01",A627)+2,14),"")</f>
        <v/>
      </c>
      <c r="C627" s="4">
        <f>IF(A627="","",IFERROR(VLOOKUP(B627,TblArticles,2,FALSE),"GTIN inconnu"))</f>
        <v/>
      </c>
      <c r="D627" s="5">
        <f>IF(A627="","",IFERROR(VLOOKUP(B627,TblArticles,3,FALSE),""))</f>
        <v/>
      </c>
      <c r="E627" s="6">
        <f>IFERROR(DATE(2000+VALUE(MID(A627,FIND("15",A627,FIND("01",A627)+16)+2,2)),VALUE(MID(A627,FIND("15",A627,FIND("01",A627)+16)+4,2)),VALUE(MID(A627,FIND("15",A627,FIND("01",A627)+16)+6,2))),"")</f>
        <v/>
      </c>
      <c r="F627" s="5">
        <f>IFERROR(MID(A627,FIND("10",A627,FIND("15",A627,FIND("01",A627)+16)+8)+2,50),"")</f>
        <v/>
      </c>
      <c r="G627" s="5" t="n"/>
    </row>
    <row r="628">
      <c r="A628" s="7" t="n"/>
      <c r="B628" s="8">
        <f>IFERROR(MID(A628,FIND("01",A628)+2,14),"")</f>
        <v/>
      </c>
      <c r="C628" s="7">
        <f>IF(A628="","",IFERROR(VLOOKUP(B628,TblArticles,2,FALSE),"GTIN inconnu"))</f>
        <v/>
      </c>
      <c r="D628" s="8">
        <f>IF(A628="","",IFERROR(VLOOKUP(B628,TblArticles,3,FALSE),""))</f>
        <v/>
      </c>
      <c r="E628" s="9">
        <f>IFERROR(DATE(2000+VALUE(MID(A628,FIND("15",A628,FIND("01",A628)+16)+2,2)),VALUE(MID(A628,FIND("15",A628,FIND("01",A628)+16)+4,2)),VALUE(MID(A628,FIND("15",A628,FIND("01",A628)+16)+6,2))),"")</f>
        <v/>
      </c>
      <c r="F628" s="8">
        <f>IFERROR(MID(A628,FIND("10",A628,FIND("15",A628,FIND("01",A628)+16)+8)+2,50),"")</f>
        <v/>
      </c>
      <c r="G628" s="8" t="n"/>
    </row>
    <row r="629">
      <c r="A629" s="4" t="n"/>
      <c r="B629" s="5">
        <f>IFERROR(MID(A629,FIND("01",A629)+2,14),"")</f>
        <v/>
      </c>
      <c r="C629" s="4">
        <f>IF(A629="","",IFERROR(VLOOKUP(B629,TblArticles,2,FALSE),"GTIN inconnu"))</f>
        <v/>
      </c>
      <c r="D629" s="5">
        <f>IF(A629="","",IFERROR(VLOOKUP(B629,TblArticles,3,FALSE),""))</f>
        <v/>
      </c>
      <c r="E629" s="6">
        <f>IFERROR(DATE(2000+VALUE(MID(A629,FIND("15",A629,FIND("01",A629)+16)+2,2)),VALUE(MID(A629,FIND("15",A629,FIND("01",A629)+16)+4,2)),VALUE(MID(A629,FIND("15",A629,FIND("01",A629)+16)+6,2))),"")</f>
        <v/>
      </c>
      <c r="F629" s="5">
        <f>IFERROR(MID(A629,FIND("10",A629,FIND("15",A629,FIND("01",A629)+16)+8)+2,50),"")</f>
        <v/>
      </c>
      <c r="G629" s="5" t="n"/>
    </row>
    <row r="630">
      <c r="A630" s="7" t="n"/>
      <c r="B630" s="8">
        <f>IFERROR(MID(A630,FIND("01",A630)+2,14),"")</f>
        <v/>
      </c>
      <c r="C630" s="7">
        <f>IF(A630="","",IFERROR(VLOOKUP(B630,TblArticles,2,FALSE),"GTIN inconnu"))</f>
        <v/>
      </c>
      <c r="D630" s="8">
        <f>IF(A630="","",IFERROR(VLOOKUP(B630,TblArticles,3,FALSE),""))</f>
        <v/>
      </c>
      <c r="E630" s="9">
        <f>IFERROR(DATE(2000+VALUE(MID(A630,FIND("15",A630,FIND("01",A630)+16)+2,2)),VALUE(MID(A630,FIND("15",A630,FIND("01",A630)+16)+4,2)),VALUE(MID(A630,FIND("15",A630,FIND("01",A630)+16)+6,2))),"")</f>
        <v/>
      </c>
      <c r="F630" s="8">
        <f>IFERROR(MID(A630,FIND("10",A630,FIND("15",A630,FIND("01",A630)+16)+8)+2,50),"")</f>
        <v/>
      </c>
      <c r="G630" s="8" t="n"/>
    </row>
    <row r="631">
      <c r="A631" s="4" t="n"/>
      <c r="B631" s="5">
        <f>IFERROR(MID(A631,FIND("01",A631)+2,14),"")</f>
        <v/>
      </c>
      <c r="C631" s="4">
        <f>IF(A631="","",IFERROR(VLOOKUP(B631,TblArticles,2,FALSE),"GTIN inconnu"))</f>
        <v/>
      </c>
      <c r="D631" s="5">
        <f>IF(A631="","",IFERROR(VLOOKUP(B631,TblArticles,3,FALSE),""))</f>
        <v/>
      </c>
      <c r="E631" s="6">
        <f>IFERROR(DATE(2000+VALUE(MID(A631,FIND("15",A631,FIND("01",A631)+16)+2,2)),VALUE(MID(A631,FIND("15",A631,FIND("01",A631)+16)+4,2)),VALUE(MID(A631,FIND("15",A631,FIND("01",A631)+16)+6,2))),"")</f>
        <v/>
      </c>
      <c r="F631" s="5">
        <f>IFERROR(MID(A631,FIND("10",A631,FIND("15",A631,FIND("01",A631)+16)+8)+2,50),"")</f>
        <v/>
      </c>
      <c r="G631" s="5" t="n"/>
    </row>
    <row r="632">
      <c r="A632" s="7" t="n"/>
      <c r="B632" s="8">
        <f>IFERROR(MID(A632,FIND("01",A632)+2,14),"")</f>
        <v/>
      </c>
      <c r="C632" s="7">
        <f>IF(A632="","",IFERROR(VLOOKUP(B632,TblArticles,2,FALSE),"GTIN inconnu"))</f>
        <v/>
      </c>
      <c r="D632" s="8">
        <f>IF(A632="","",IFERROR(VLOOKUP(B632,TblArticles,3,FALSE),""))</f>
        <v/>
      </c>
      <c r="E632" s="9">
        <f>IFERROR(DATE(2000+VALUE(MID(A632,FIND("15",A632,FIND("01",A632)+16)+2,2)),VALUE(MID(A632,FIND("15",A632,FIND("01",A632)+16)+4,2)),VALUE(MID(A632,FIND("15",A632,FIND("01",A632)+16)+6,2))),"")</f>
        <v/>
      </c>
      <c r="F632" s="8">
        <f>IFERROR(MID(A632,FIND("10",A632,FIND("15",A632,FIND("01",A632)+16)+8)+2,50),"")</f>
        <v/>
      </c>
      <c r="G632" s="8" t="n"/>
    </row>
    <row r="633">
      <c r="A633" s="4" t="n"/>
      <c r="B633" s="5">
        <f>IFERROR(MID(A633,FIND("01",A633)+2,14),"")</f>
        <v/>
      </c>
      <c r="C633" s="4">
        <f>IF(A633="","",IFERROR(VLOOKUP(B633,TblArticles,2,FALSE),"GTIN inconnu"))</f>
        <v/>
      </c>
      <c r="D633" s="5">
        <f>IF(A633="","",IFERROR(VLOOKUP(B633,TblArticles,3,FALSE),""))</f>
        <v/>
      </c>
      <c r="E633" s="6">
        <f>IFERROR(DATE(2000+VALUE(MID(A633,FIND("15",A633,FIND("01",A633)+16)+2,2)),VALUE(MID(A633,FIND("15",A633,FIND("01",A633)+16)+4,2)),VALUE(MID(A633,FIND("15",A633,FIND("01",A633)+16)+6,2))),"")</f>
        <v/>
      </c>
      <c r="F633" s="5">
        <f>IFERROR(MID(A633,FIND("10",A633,FIND("15",A633,FIND("01",A633)+16)+8)+2,50),"")</f>
        <v/>
      </c>
      <c r="G633" s="5" t="n"/>
    </row>
    <row r="634">
      <c r="A634" s="7" t="n"/>
      <c r="B634" s="8">
        <f>IFERROR(MID(A634,FIND("01",A634)+2,14),"")</f>
        <v/>
      </c>
      <c r="C634" s="7">
        <f>IF(A634="","",IFERROR(VLOOKUP(B634,TblArticles,2,FALSE),"GTIN inconnu"))</f>
        <v/>
      </c>
      <c r="D634" s="8">
        <f>IF(A634="","",IFERROR(VLOOKUP(B634,TblArticles,3,FALSE),""))</f>
        <v/>
      </c>
      <c r="E634" s="9">
        <f>IFERROR(DATE(2000+VALUE(MID(A634,FIND("15",A634,FIND("01",A634)+16)+2,2)),VALUE(MID(A634,FIND("15",A634,FIND("01",A634)+16)+4,2)),VALUE(MID(A634,FIND("15",A634,FIND("01",A634)+16)+6,2))),"")</f>
        <v/>
      </c>
      <c r="F634" s="8">
        <f>IFERROR(MID(A634,FIND("10",A634,FIND("15",A634,FIND("01",A634)+16)+8)+2,50),"")</f>
        <v/>
      </c>
      <c r="G634" s="8" t="n"/>
    </row>
    <row r="635">
      <c r="A635" s="4" t="n"/>
      <c r="B635" s="5">
        <f>IFERROR(MID(A635,FIND("01",A635)+2,14),"")</f>
        <v/>
      </c>
      <c r="C635" s="4">
        <f>IF(A635="","",IFERROR(VLOOKUP(B635,TblArticles,2,FALSE),"GTIN inconnu"))</f>
        <v/>
      </c>
      <c r="D635" s="5">
        <f>IF(A635="","",IFERROR(VLOOKUP(B635,TblArticles,3,FALSE),""))</f>
        <v/>
      </c>
      <c r="E635" s="6">
        <f>IFERROR(DATE(2000+VALUE(MID(A635,FIND("15",A635,FIND("01",A635)+16)+2,2)),VALUE(MID(A635,FIND("15",A635,FIND("01",A635)+16)+4,2)),VALUE(MID(A635,FIND("15",A635,FIND("01",A635)+16)+6,2))),"")</f>
        <v/>
      </c>
      <c r="F635" s="5">
        <f>IFERROR(MID(A635,FIND("10",A635,FIND("15",A635,FIND("01",A635)+16)+8)+2,50),"")</f>
        <v/>
      </c>
      <c r="G635" s="5" t="n"/>
    </row>
    <row r="636">
      <c r="A636" s="7" t="n"/>
      <c r="B636" s="8">
        <f>IFERROR(MID(A636,FIND("01",A636)+2,14),"")</f>
        <v/>
      </c>
      <c r="C636" s="7">
        <f>IF(A636="","",IFERROR(VLOOKUP(B636,TblArticles,2,FALSE),"GTIN inconnu"))</f>
        <v/>
      </c>
      <c r="D636" s="8">
        <f>IF(A636="","",IFERROR(VLOOKUP(B636,TblArticles,3,FALSE),""))</f>
        <v/>
      </c>
      <c r="E636" s="9">
        <f>IFERROR(DATE(2000+VALUE(MID(A636,FIND("15",A636,FIND("01",A636)+16)+2,2)),VALUE(MID(A636,FIND("15",A636,FIND("01",A636)+16)+4,2)),VALUE(MID(A636,FIND("15",A636,FIND("01",A636)+16)+6,2))),"")</f>
        <v/>
      </c>
      <c r="F636" s="8">
        <f>IFERROR(MID(A636,FIND("10",A636,FIND("15",A636,FIND("01",A636)+16)+8)+2,50),"")</f>
        <v/>
      </c>
      <c r="G636" s="8" t="n"/>
    </row>
    <row r="637">
      <c r="A637" s="4" t="n"/>
      <c r="B637" s="5">
        <f>IFERROR(MID(A637,FIND("01",A637)+2,14),"")</f>
        <v/>
      </c>
      <c r="C637" s="4">
        <f>IF(A637="","",IFERROR(VLOOKUP(B637,TblArticles,2,FALSE),"GTIN inconnu"))</f>
        <v/>
      </c>
      <c r="D637" s="5">
        <f>IF(A637="","",IFERROR(VLOOKUP(B637,TblArticles,3,FALSE),""))</f>
        <v/>
      </c>
      <c r="E637" s="6">
        <f>IFERROR(DATE(2000+VALUE(MID(A637,FIND("15",A637,FIND("01",A637)+16)+2,2)),VALUE(MID(A637,FIND("15",A637,FIND("01",A637)+16)+4,2)),VALUE(MID(A637,FIND("15",A637,FIND("01",A637)+16)+6,2))),"")</f>
        <v/>
      </c>
      <c r="F637" s="5">
        <f>IFERROR(MID(A637,FIND("10",A637,FIND("15",A637,FIND("01",A637)+16)+8)+2,50),"")</f>
        <v/>
      </c>
      <c r="G637" s="5" t="n"/>
    </row>
    <row r="638">
      <c r="A638" s="7" t="n"/>
      <c r="B638" s="8">
        <f>IFERROR(MID(A638,FIND("01",A638)+2,14),"")</f>
        <v/>
      </c>
      <c r="C638" s="7">
        <f>IF(A638="","",IFERROR(VLOOKUP(B638,TblArticles,2,FALSE),"GTIN inconnu"))</f>
        <v/>
      </c>
      <c r="D638" s="8">
        <f>IF(A638="","",IFERROR(VLOOKUP(B638,TblArticles,3,FALSE),""))</f>
        <v/>
      </c>
      <c r="E638" s="9">
        <f>IFERROR(DATE(2000+VALUE(MID(A638,FIND("15",A638,FIND("01",A638)+16)+2,2)),VALUE(MID(A638,FIND("15",A638,FIND("01",A638)+16)+4,2)),VALUE(MID(A638,FIND("15",A638,FIND("01",A638)+16)+6,2))),"")</f>
        <v/>
      </c>
      <c r="F638" s="8">
        <f>IFERROR(MID(A638,FIND("10",A638,FIND("15",A638,FIND("01",A638)+16)+8)+2,50),"")</f>
        <v/>
      </c>
      <c r="G638" s="8" t="n"/>
    </row>
    <row r="639">
      <c r="A639" s="4" t="n"/>
      <c r="B639" s="5">
        <f>IFERROR(MID(A639,FIND("01",A639)+2,14),"")</f>
        <v/>
      </c>
      <c r="C639" s="4">
        <f>IF(A639="","",IFERROR(VLOOKUP(B639,TblArticles,2,FALSE),"GTIN inconnu"))</f>
        <v/>
      </c>
      <c r="D639" s="5">
        <f>IF(A639="","",IFERROR(VLOOKUP(B639,TblArticles,3,FALSE),""))</f>
        <v/>
      </c>
      <c r="E639" s="6">
        <f>IFERROR(DATE(2000+VALUE(MID(A639,FIND("15",A639,FIND("01",A639)+16)+2,2)),VALUE(MID(A639,FIND("15",A639,FIND("01",A639)+16)+4,2)),VALUE(MID(A639,FIND("15",A639,FIND("01",A639)+16)+6,2))),"")</f>
        <v/>
      </c>
      <c r="F639" s="5">
        <f>IFERROR(MID(A639,FIND("10",A639,FIND("15",A639,FIND("01",A639)+16)+8)+2,50),"")</f>
        <v/>
      </c>
      <c r="G639" s="5" t="n"/>
    </row>
    <row r="640">
      <c r="A640" s="7" t="n"/>
      <c r="B640" s="8">
        <f>IFERROR(MID(A640,FIND("01",A640)+2,14),"")</f>
        <v/>
      </c>
      <c r="C640" s="7">
        <f>IF(A640="","",IFERROR(VLOOKUP(B640,TblArticles,2,FALSE),"GTIN inconnu"))</f>
        <v/>
      </c>
      <c r="D640" s="8">
        <f>IF(A640="","",IFERROR(VLOOKUP(B640,TblArticles,3,FALSE),""))</f>
        <v/>
      </c>
      <c r="E640" s="9">
        <f>IFERROR(DATE(2000+VALUE(MID(A640,FIND("15",A640,FIND("01",A640)+16)+2,2)),VALUE(MID(A640,FIND("15",A640,FIND("01",A640)+16)+4,2)),VALUE(MID(A640,FIND("15",A640,FIND("01",A640)+16)+6,2))),"")</f>
        <v/>
      </c>
      <c r="F640" s="8">
        <f>IFERROR(MID(A640,FIND("10",A640,FIND("15",A640,FIND("01",A640)+16)+8)+2,50),"")</f>
        <v/>
      </c>
      <c r="G640" s="8" t="n"/>
    </row>
    <row r="641">
      <c r="A641" s="4" t="n"/>
      <c r="B641" s="5">
        <f>IFERROR(MID(A641,FIND("01",A641)+2,14),"")</f>
        <v/>
      </c>
      <c r="C641" s="4">
        <f>IF(A641="","",IFERROR(VLOOKUP(B641,TblArticles,2,FALSE),"GTIN inconnu"))</f>
        <v/>
      </c>
      <c r="D641" s="5">
        <f>IF(A641="","",IFERROR(VLOOKUP(B641,TblArticles,3,FALSE),""))</f>
        <v/>
      </c>
      <c r="E641" s="6">
        <f>IFERROR(DATE(2000+VALUE(MID(A641,FIND("15",A641,FIND("01",A641)+16)+2,2)),VALUE(MID(A641,FIND("15",A641,FIND("01",A641)+16)+4,2)),VALUE(MID(A641,FIND("15",A641,FIND("01",A641)+16)+6,2))),"")</f>
        <v/>
      </c>
      <c r="F641" s="5">
        <f>IFERROR(MID(A641,FIND("10",A641,FIND("15",A641,FIND("01",A641)+16)+8)+2,50),"")</f>
        <v/>
      </c>
      <c r="G641" s="5" t="n"/>
    </row>
    <row r="642">
      <c r="A642" s="7" t="n"/>
      <c r="B642" s="8">
        <f>IFERROR(MID(A642,FIND("01",A642)+2,14),"")</f>
        <v/>
      </c>
      <c r="C642" s="7">
        <f>IF(A642="","",IFERROR(VLOOKUP(B642,TblArticles,2,FALSE),"GTIN inconnu"))</f>
        <v/>
      </c>
      <c r="D642" s="8">
        <f>IF(A642="","",IFERROR(VLOOKUP(B642,TblArticles,3,FALSE),""))</f>
        <v/>
      </c>
      <c r="E642" s="9">
        <f>IFERROR(DATE(2000+VALUE(MID(A642,FIND("15",A642,FIND("01",A642)+16)+2,2)),VALUE(MID(A642,FIND("15",A642,FIND("01",A642)+16)+4,2)),VALUE(MID(A642,FIND("15",A642,FIND("01",A642)+16)+6,2))),"")</f>
        <v/>
      </c>
      <c r="F642" s="8">
        <f>IFERROR(MID(A642,FIND("10",A642,FIND("15",A642,FIND("01",A642)+16)+8)+2,50),"")</f>
        <v/>
      </c>
      <c r="G642" s="8" t="n"/>
    </row>
    <row r="643">
      <c r="A643" s="4" t="n"/>
      <c r="B643" s="5">
        <f>IFERROR(MID(A643,FIND("01",A643)+2,14),"")</f>
        <v/>
      </c>
      <c r="C643" s="4">
        <f>IF(A643="","",IFERROR(VLOOKUP(B643,TblArticles,2,FALSE),"GTIN inconnu"))</f>
        <v/>
      </c>
      <c r="D643" s="5">
        <f>IF(A643="","",IFERROR(VLOOKUP(B643,TblArticles,3,FALSE),""))</f>
        <v/>
      </c>
      <c r="E643" s="6">
        <f>IFERROR(DATE(2000+VALUE(MID(A643,FIND("15",A643,FIND("01",A643)+16)+2,2)),VALUE(MID(A643,FIND("15",A643,FIND("01",A643)+16)+4,2)),VALUE(MID(A643,FIND("15",A643,FIND("01",A643)+16)+6,2))),"")</f>
        <v/>
      </c>
      <c r="F643" s="5">
        <f>IFERROR(MID(A643,FIND("10",A643,FIND("15",A643,FIND("01",A643)+16)+8)+2,50),"")</f>
        <v/>
      </c>
      <c r="G643" s="5" t="n"/>
    </row>
    <row r="644">
      <c r="A644" s="7" t="n"/>
      <c r="B644" s="8">
        <f>IFERROR(MID(A644,FIND("01",A644)+2,14),"")</f>
        <v/>
      </c>
      <c r="C644" s="7">
        <f>IF(A644="","",IFERROR(VLOOKUP(B644,TblArticles,2,FALSE),"GTIN inconnu"))</f>
        <v/>
      </c>
      <c r="D644" s="8">
        <f>IF(A644="","",IFERROR(VLOOKUP(B644,TblArticles,3,FALSE),""))</f>
        <v/>
      </c>
      <c r="E644" s="9">
        <f>IFERROR(DATE(2000+VALUE(MID(A644,FIND("15",A644,FIND("01",A644)+16)+2,2)),VALUE(MID(A644,FIND("15",A644,FIND("01",A644)+16)+4,2)),VALUE(MID(A644,FIND("15",A644,FIND("01",A644)+16)+6,2))),"")</f>
        <v/>
      </c>
      <c r="F644" s="8">
        <f>IFERROR(MID(A644,FIND("10",A644,FIND("15",A644,FIND("01",A644)+16)+8)+2,50),"")</f>
        <v/>
      </c>
      <c r="G644" s="8" t="n"/>
    </row>
    <row r="645">
      <c r="A645" s="4" t="n"/>
      <c r="B645" s="5">
        <f>IFERROR(MID(A645,FIND("01",A645)+2,14),"")</f>
        <v/>
      </c>
      <c r="C645" s="4">
        <f>IF(A645="","",IFERROR(VLOOKUP(B645,TblArticles,2,FALSE),"GTIN inconnu"))</f>
        <v/>
      </c>
      <c r="D645" s="5">
        <f>IF(A645="","",IFERROR(VLOOKUP(B645,TblArticles,3,FALSE),""))</f>
        <v/>
      </c>
      <c r="E645" s="6">
        <f>IFERROR(DATE(2000+VALUE(MID(A645,FIND("15",A645,FIND("01",A645)+16)+2,2)),VALUE(MID(A645,FIND("15",A645,FIND("01",A645)+16)+4,2)),VALUE(MID(A645,FIND("15",A645,FIND("01",A645)+16)+6,2))),"")</f>
        <v/>
      </c>
      <c r="F645" s="5">
        <f>IFERROR(MID(A645,FIND("10",A645,FIND("15",A645,FIND("01",A645)+16)+8)+2,50),"")</f>
        <v/>
      </c>
      <c r="G645" s="5" t="n"/>
    </row>
    <row r="646">
      <c r="A646" s="7" t="n"/>
      <c r="B646" s="8">
        <f>IFERROR(MID(A646,FIND("01",A646)+2,14),"")</f>
        <v/>
      </c>
      <c r="C646" s="7">
        <f>IF(A646="","",IFERROR(VLOOKUP(B646,TblArticles,2,FALSE),"GTIN inconnu"))</f>
        <v/>
      </c>
      <c r="D646" s="8">
        <f>IF(A646="","",IFERROR(VLOOKUP(B646,TblArticles,3,FALSE),""))</f>
        <v/>
      </c>
      <c r="E646" s="9">
        <f>IFERROR(DATE(2000+VALUE(MID(A646,FIND("15",A646,FIND("01",A646)+16)+2,2)),VALUE(MID(A646,FIND("15",A646,FIND("01",A646)+16)+4,2)),VALUE(MID(A646,FIND("15",A646,FIND("01",A646)+16)+6,2))),"")</f>
        <v/>
      </c>
      <c r="F646" s="8">
        <f>IFERROR(MID(A646,FIND("10",A646,FIND("15",A646,FIND("01",A646)+16)+8)+2,50),"")</f>
        <v/>
      </c>
      <c r="G646" s="8" t="n"/>
    </row>
    <row r="647">
      <c r="A647" s="4" t="n"/>
      <c r="B647" s="5">
        <f>IFERROR(MID(A647,FIND("01",A647)+2,14),"")</f>
        <v/>
      </c>
      <c r="C647" s="4">
        <f>IF(A647="","",IFERROR(VLOOKUP(B647,TblArticles,2,FALSE),"GTIN inconnu"))</f>
        <v/>
      </c>
      <c r="D647" s="5">
        <f>IF(A647="","",IFERROR(VLOOKUP(B647,TblArticles,3,FALSE),""))</f>
        <v/>
      </c>
      <c r="E647" s="6">
        <f>IFERROR(DATE(2000+VALUE(MID(A647,FIND("15",A647,FIND("01",A647)+16)+2,2)),VALUE(MID(A647,FIND("15",A647,FIND("01",A647)+16)+4,2)),VALUE(MID(A647,FIND("15",A647,FIND("01",A647)+16)+6,2))),"")</f>
        <v/>
      </c>
      <c r="F647" s="5">
        <f>IFERROR(MID(A647,FIND("10",A647,FIND("15",A647,FIND("01",A647)+16)+8)+2,50),"")</f>
        <v/>
      </c>
      <c r="G647" s="5" t="n"/>
    </row>
    <row r="648">
      <c r="A648" s="7" t="n"/>
      <c r="B648" s="8">
        <f>IFERROR(MID(A648,FIND("01",A648)+2,14),"")</f>
        <v/>
      </c>
      <c r="C648" s="7">
        <f>IF(A648="","",IFERROR(VLOOKUP(B648,TblArticles,2,FALSE),"GTIN inconnu"))</f>
        <v/>
      </c>
      <c r="D648" s="8">
        <f>IF(A648="","",IFERROR(VLOOKUP(B648,TblArticles,3,FALSE),""))</f>
        <v/>
      </c>
      <c r="E648" s="9">
        <f>IFERROR(DATE(2000+VALUE(MID(A648,FIND("15",A648,FIND("01",A648)+16)+2,2)),VALUE(MID(A648,FIND("15",A648,FIND("01",A648)+16)+4,2)),VALUE(MID(A648,FIND("15",A648,FIND("01",A648)+16)+6,2))),"")</f>
        <v/>
      </c>
      <c r="F648" s="8">
        <f>IFERROR(MID(A648,FIND("10",A648,FIND("15",A648,FIND("01",A648)+16)+8)+2,50),"")</f>
        <v/>
      </c>
      <c r="G648" s="8" t="n"/>
    </row>
    <row r="649">
      <c r="A649" s="4" t="n"/>
      <c r="B649" s="5">
        <f>IFERROR(MID(A649,FIND("01",A649)+2,14),"")</f>
        <v/>
      </c>
      <c r="C649" s="4">
        <f>IF(A649="","",IFERROR(VLOOKUP(B649,TblArticles,2,FALSE),"GTIN inconnu"))</f>
        <v/>
      </c>
      <c r="D649" s="5">
        <f>IF(A649="","",IFERROR(VLOOKUP(B649,TblArticles,3,FALSE),""))</f>
        <v/>
      </c>
      <c r="E649" s="6">
        <f>IFERROR(DATE(2000+VALUE(MID(A649,FIND("15",A649,FIND("01",A649)+16)+2,2)),VALUE(MID(A649,FIND("15",A649,FIND("01",A649)+16)+4,2)),VALUE(MID(A649,FIND("15",A649,FIND("01",A649)+16)+6,2))),"")</f>
        <v/>
      </c>
      <c r="F649" s="5">
        <f>IFERROR(MID(A649,FIND("10",A649,FIND("15",A649,FIND("01",A649)+16)+8)+2,50),"")</f>
        <v/>
      </c>
      <c r="G649" s="5" t="n"/>
    </row>
    <row r="650">
      <c r="A650" s="7" t="n"/>
      <c r="B650" s="8">
        <f>IFERROR(MID(A650,FIND("01",A650)+2,14),"")</f>
        <v/>
      </c>
      <c r="C650" s="7">
        <f>IF(A650="","",IFERROR(VLOOKUP(B650,TblArticles,2,FALSE),"GTIN inconnu"))</f>
        <v/>
      </c>
      <c r="D650" s="8">
        <f>IF(A650="","",IFERROR(VLOOKUP(B650,TblArticles,3,FALSE),""))</f>
        <v/>
      </c>
      <c r="E650" s="9">
        <f>IFERROR(DATE(2000+VALUE(MID(A650,FIND("15",A650,FIND("01",A650)+16)+2,2)),VALUE(MID(A650,FIND("15",A650,FIND("01",A650)+16)+4,2)),VALUE(MID(A650,FIND("15",A650,FIND("01",A650)+16)+6,2))),"")</f>
        <v/>
      </c>
      <c r="F650" s="8">
        <f>IFERROR(MID(A650,FIND("10",A650,FIND("15",A650,FIND("01",A650)+16)+8)+2,50),"")</f>
        <v/>
      </c>
      <c r="G650" s="8" t="n"/>
    </row>
    <row r="651">
      <c r="A651" s="4" t="n"/>
      <c r="B651" s="5">
        <f>IFERROR(MID(A651,FIND("01",A651)+2,14),"")</f>
        <v/>
      </c>
      <c r="C651" s="4">
        <f>IF(A651="","",IFERROR(VLOOKUP(B651,TblArticles,2,FALSE),"GTIN inconnu"))</f>
        <v/>
      </c>
      <c r="D651" s="5">
        <f>IF(A651="","",IFERROR(VLOOKUP(B651,TblArticles,3,FALSE),""))</f>
        <v/>
      </c>
      <c r="E651" s="6">
        <f>IFERROR(DATE(2000+VALUE(MID(A651,FIND("15",A651,FIND("01",A651)+16)+2,2)),VALUE(MID(A651,FIND("15",A651,FIND("01",A651)+16)+4,2)),VALUE(MID(A651,FIND("15",A651,FIND("01",A651)+16)+6,2))),"")</f>
        <v/>
      </c>
      <c r="F651" s="5">
        <f>IFERROR(MID(A651,FIND("10",A651,FIND("15",A651,FIND("01",A651)+16)+8)+2,50),"")</f>
        <v/>
      </c>
      <c r="G651" s="5" t="n"/>
    </row>
    <row r="652">
      <c r="A652" s="7" t="n"/>
      <c r="B652" s="8">
        <f>IFERROR(MID(A652,FIND("01",A652)+2,14),"")</f>
        <v/>
      </c>
      <c r="C652" s="7">
        <f>IF(A652="","",IFERROR(VLOOKUP(B652,TblArticles,2,FALSE),"GTIN inconnu"))</f>
        <v/>
      </c>
      <c r="D652" s="8">
        <f>IF(A652="","",IFERROR(VLOOKUP(B652,TblArticles,3,FALSE),""))</f>
        <v/>
      </c>
      <c r="E652" s="9">
        <f>IFERROR(DATE(2000+VALUE(MID(A652,FIND("15",A652,FIND("01",A652)+16)+2,2)),VALUE(MID(A652,FIND("15",A652,FIND("01",A652)+16)+4,2)),VALUE(MID(A652,FIND("15",A652,FIND("01",A652)+16)+6,2))),"")</f>
        <v/>
      </c>
      <c r="F652" s="8">
        <f>IFERROR(MID(A652,FIND("10",A652,FIND("15",A652,FIND("01",A652)+16)+8)+2,50),"")</f>
        <v/>
      </c>
      <c r="G652" s="8" t="n"/>
    </row>
    <row r="653">
      <c r="A653" s="4" t="n"/>
      <c r="B653" s="5">
        <f>IFERROR(MID(A653,FIND("01",A653)+2,14),"")</f>
        <v/>
      </c>
      <c r="C653" s="4">
        <f>IF(A653="","",IFERROR(VLOOKUP(B653,TblArticles,2,FALSE),"GTIN inconnu"))</f>
        <v/>
      </c>
      <c r="D653" s="5">
        <f>IF(A653="","",IFERROR(VLOOKUP(B653,TblArticles,3,FALSE),""))</f>
        <v/>
      </c>
      <c r="E653" s="6">
        <f>IFERROR(DATE(2000+VALUE(MID(A653,FIND("15",A653,FIND("01",A653)+16)+2,2)),VALUE(MID(A653,FIND("15",A653,FIND("01",A653)+16)+4,2)),VALUE(MID(A653,FIND("15",A653,FIND("01",A653)+16)+6,2))),"")</f>
        <v/>
      </c>
      <c r="F653" s="5">
        <f>IFERROR(MID(A653,FIND("10",A653,FIND("15",A653,FIND("01",A653)+16)+8)+2,50),"")</f>
        <v/>
      </c>
      <c r="G653" s="5" t="n"/>
    </row>
    <row r="654">
      <c r="A654" s="7" t="n"/>
      <c r="B654" s="8">
        <f>IFERROR(MID(A654,FIND("01",A654)+2,14),"")</f>
        <v/>
      </c>
      <c r="C654" s="7">
        <f>IF(A654="","",IFERROR(VLOOKUP(B654,TblArticles,2,FALSE),"GTIN inconnu"))</f>
        <v/>
      </c>
      <c r="D654" s="8">
        <f>IF(A654="","",IFERROR(VLOOKUP(B654,TblArticles,3,FALSE),""))</f>
        <v/>
      </c>
      <c r="E654" s="9">
        <f>IFERROR(DATE(2000+VALUE(MID(A654,FIND("15",A654,FIND("01",A654)+16)+2,2)),VALUE(MID(A654,FIND("15",A654,FIND("01",A654)+16)+4,2)),VALUE(MID(A654,FIND("15",A654,FIND("01",A654)+16)+6,2))),"")</f>
        <v/>
      </c>
      <c r="F654" s="8">
        <f>IFERROR(MID(A654,FIND("10",A654,FIND("15",A654,FIND("01",A654)+16)+8)+2,50),"")</f>
        <v/>
      </c>
      <c r="G654" s="8" t="n"/>
    </row>
    <row r="655">
      <c r="A655" s="4" t="n"/>
      <c r="B655" s="5">
        <f>IFERROR(MID(A655,FIND("01",A655)+2,14),"")</f>
        <v/>
      </c>
      <c r="C655" s="4">
        <f>IF(A655="","",IFERROR(VLOOKUP(B655,TblArticles,2,FALSE),"GTIN inconnu"))</f>
        <v/>
      </c>
      <c r="D655" s="5">
        <f>IF(A655="","",IFERROR(VLOOKUP(B655,TblArticles,3,FALSE),""))</f>
        <v/>
      </c>
      <c r="E655" s="6">
        <f>IFERROR(DATE(2000+VALUE(MID(A655,FIND("15",A655,FIND("01",A655)+16)+2,2)),VALUE(MID(A655,FIND("15",A655,FIND("01",A655)+16)+4,2)),VALUE(MID(A655,FIND("15",A655,FIND("01",A655)+16)+6,2))),"")</f>
        <v/>
      </c>
      <c r="F655" s="5">
        <f>IFERROR(MID(A655,FIND("10",A655,FIND("15",A655,FIND("01",A655)+16)+8)+2,50),"")</f>
        <v/>
      </c>
      <c r="G655" s="5" t="n"/>
    </row>
    <row r="656">
      <c r="A656" s="7" t="n"/>
      <c r="B656" s="8">
        <f>IFERROR(MID(A656,FIND("01",A656)+2,14),"")</f>
        <v/>
      </c>
      <c r="C656" s="7">
        <f>IF(A656="","",IFERROR(VLOOKUP(B656,TblArticles,2,FALSE),"GTIN inconnu"))</f>
        <v/>
      </c>
      <c r="D656" s="8">
        <f>IF(A656="","",IFERROR(VLOOKUP(B656,TblArticles,3,FALSE),""))</f>
        <v/>
      </c>
      <c r="E656" s="9">
        <f>IFERROR(DATE(2000+VALUE(MID(A656,FIND("15",A656,FIND("01",A656)+16)+2,2)),VALUE(MID(A656,FIND("15",A656,FIND("01",A656)+16)+4,2)),VALUE(MID(A656,FIND("15",A656,FIND("01",A656)+16)+6,2))),"")</f>
        <v/>
      </c>
      <c r="F656" s="8">
        <f>IFERROR(MID(A656,FIND("10",A656,FIND("15",A656,FIND("01",A656)+16)+8)+2,50),"")</f>
        <v/>
      </c>
      <c r="G656" s="8" t="n"/>
    </row>
    <row r="657">
      <c r="A657" s="4" t="n"/>
      <c r="B657" s="5">
        <f>IFERROR(MID(A657,FIND("01",A657)+2,14),"")</f>
        <v/>
      </c>
      <c r="C657" s="4">
        <f>IF(A657="","",IFERROR(VLOOKUP(B657,TblArticles,2,FALSE),"GTIN inconnu"))</f>
        <v/>
      </c>
      <c r="D657" s="5">
        <f>IF(A657="","",IFERROR(VLOOKUP(B657,TblArticles,3,FALSE),""))</f>
        <v/>
      </c>
      <c r="E657" s="6">
        <f>IFERROR(DATE(2000+VALUE(MID(A657,FIND("15",A657,FIND("01",A657)+16)+2,2)),VALUE(MID(A657,FIND("15",A657,FIND("01",A657)+16)+4,2)),VALUE(MID(A657,FIND("15",A657,FIND("01",A657)+16)+6,2))),"")</f>
        <v/>
      </c>
      <c r="F657" s="5">
        <f>IFERROR(MID(A657,FIND("10",A657,FIND("15",A657,FIND("01",A657)+16)+8)+2,50),"")</f>
        <v/>
      </c>
      <c r="G657" s="5" t="n"/>
    </row>
    <row r="658">
      <c r="A658" s="7" t="n"/>
      <c r="B658" s="8">
        <f>IFERROR(MID(A658,FIND("01",A658)+2,14),"")</f>
        <v/>
      </c>
      <c r="C658" s="7">
        <f>IF(A658="","",IFERROR(VLOOKUP(B658,TblArticles,2,FALSE),"GTIN inconnu"))</f>
        <v/>
      </c>
      <c r="D658" s="8">
        <f>IF(A658="","",IFERROR(VLOOKUP(B658,TblArticles,3,FALSE),""))</f>
        <v/>
      </c>
      <c r="E658" s="9">
        <f>IFERROR(DATE(2000+VALUE(MID(A658,FIND("15",A658,FIND("01",A658)+16)+2,2)),VALUE(MID(A658,FIND("15",A658,FIND("01",A658)+16)+4,2)),VALUE(MID(A658,FIND("15",A658,FIND("01",A658)+16)+6,2))),"")</f>
        <v/>
      </c>
      <c r="F658" s="8">
        <f>IFERROR(MID(A658,FIND("10",A658,FIND("15",A658,FIND("01",A658)+16)+8)+2,50),"")</f>
        <v/>
      </c>
      <c r="G658" s="8" t="n"/>
    </row>
    <row r="659">
      <c r="A659" s="4" t="n"/>
      <c r="B659" s="5">
        <f>IFERROR(MID(A659,FIND("01",A659)+2,14),"")</f>
        <v/>
      </c>
      <c r="C659" s="4">
        <f>IF(A659="","",IFERROR(VLOOKUP(B659,TblArticles,2,FALSE),"GTIN inconnu"))</f>
        <v/>
      </c>
      <c r="D659" s="5">
        <f>IF(A659="","",IFERROR(VLOOKUP(B659,TblArticles,3,FALSE),""))</f>
        <v/>
      </c>
      <c r="E659" s="6">
        <f>IFERROR(DATE(2000+VALUE(MID(A659,FIND("15",A659,FIND("01",A659)+16)+2,2)),VALUE(MID(A659,FIND("15",A659,FIND("01",A659)+16)+4,2)),VALUE(MID(A659,FIND("15",A659,FIND("01",A659)+16)+6,2))),"")</f>
        <v/>
      </c>
      <c r="F659" s="5">
        <f>IFERROR(MID(A659,FIND("10",A659,FIND("15",A659,FIND("01",A659)+16)+8)+2,50),"")</f>
        <v/>
      </c>
      <c r="G659" s="5" t="n"/>
    </row>
    <row r="660">
      <c r="A660" s="7" t="n"/>
      <c r="B660" s="8">
        <f>IFERROR(MID(A660,FIND("01",A660)+2,14),"")</f>
        <v/>
      </c>
      <c r="C660" s="7">
        <f>IF(A660="","",IFERROR(VLOOKUP(B660,TblArticles,2,FALSE),"GTIN inconnu"))</f>
        <v/>
      </c>
      <c r="D660" s="8">
        <f>IF(A660="","",IFERROR(VLOOKUP(B660,TblArticles,3,FALSE),""))</f>
        <v/>
      </c>
      <c r="E660" s="9">
        <f>IFERROR(DATE(2000+VALUE(MID(A660,FIND("15",A660,FIND("01",A660)+16)+2,2)),VALUE(MID(A660,FIND("15",A660,FIND("01",A660)+16)+4,2)),VALUE(MID(A660,FIND("15",A660,FIND("01",A660)+16)+6,2))),"")</f>
        <v/>
      </c>
      <c r="F660" s="8">
        <f>IFERROR(MID(A660,FIND("10",A660,FIND("15",A660,FIND("01",A660)+16)+8)+2,50),"")</f>
        <v/>
      </c>
      <c r="G660" s="8" t="n"/>
    </row>
    <row r="661">
      <c r="A661" s="4" t="n"/>
      <c r="B661" s="5">
        <f>IFERROR(MID(A661,FIND("01",A661)+2,14),"")</f>
        <v/>
      </c>
      <c r="C661" s="4">
        <f>IF(A661="","",IFERROR(VLOOKUP(B661,TblArticles,2,FALSE),"GTIN inconnu"))</f>
        <v/>
      </c>
      <c r="D661" s="5">
        <f>IF(A661="","",IFERROR(VLOOKUP(B661,TblArticles,3,FALSE),""))</f>
        <v/>
      </c>
      <c r="E661" s="6">
        <f>IFERROR(DATE(2000+VALUE(MID(A661,FIND("15",A661,FIND("01",A661)+16)+2,2)),VALUE(MID(A661,FIND("15",A661,FIND("01",A661)+16)+4,2)),VALUE(MID(A661,FIND("15",A661,FIND("01",A661)+16)+6,2))),"")</f>
        <v/>
      </c>
      <c r="F661" s="5">
        <f>IFERROR(MID(A661,FIND("10",A661,FIND("15",A661,FIND("01",A661)+16)+8)+2,50),"")</f>
        <v/>
      </c>
      <c r="G661" s="5" t="n"/>
    </row>
    <row r="662">
      <c r="A662" s="7" t="n"/>
      <c r="B662" s="8">
        <f>IFERROR(MID(A662,FIND("01",A662)+2,14),"")</f>
        <v/>
      </c>
      <c r="C662" s="7">
        <f>IF(A662="","",IFERROR(VLOOKUP(B662,TblArticles,2,FALSE),"GTIN inconnu"))</f>
        <v/>
      </c>
      <c r="D662" s="8">
        <f>IF(A662="","",IFERROR(VLOOKUP(B662,TblArticles,3,FALSE),""))</f>
        <v/>
      </c>
      <c r="E662" s="9">
        <f>IFERROR(DATE(2000+VALUE(MID(A662,FIND("15",A662,FIND("01",A662)+16)+2,2)),VALUE(MID(A662,FIND("15",A662,FIND("01",A662)+16)+4,2)),VALUE(MID(A662,FIND("15",A662,FIND("01",A662)+16)+6,2))),"")</f>
        <v/>
      </c>
      <c r="F662" s="8">
        <f>IFERROR(MID(A662,FIND("10",A662,FIND("15",A662,FIND("01",A662)+16)+8)+2,50),"")</f>
        <v/>
      </c>
      <c r="G662" s="8" t="n"/>
    </row>
    <row r="663">
      <c r="A663" s="4" t="n"/>
      <c r="B663" s="5">
        <f>IFERROR(MID(A663,FIND("01",A663)+2,14),"")</f>
        <v/>
      </c>
      <c r="C663" s="4">
        <f>IF(A663="","",IFERROR(VLOOKUP(B663,TblArticles,2,FALSE),"GTIN inconnu"))</f>
        <v/>
      </c>
      <c r="D663" s="5">
        <f>IF(A663="","",IFERROR(VLOOKUP(B663,TblArticles,3,FALSE),""))</f>
        <v/>
      </c>
      <c r="E663" s="6">
        <f>IFERROR(DATE(2000+VALUE(MID(A663,FIND("15",A663,FIND("01",A663)+16)+2,2)),VALUE(MID(A663,FIND("15",A663,FIND("01",A663)+16)+4,2)),VALUE(MID(A663,FIND("15",A663,FIND("01",A663)+16)+6,2))),"")</f>
        <v/>
      </c>
      <c r="F663" s="5">
        <f>IFERROR(MID(A663,FIND("10",A663,FIND("15",A663,FIND("01",A663)+16)+8)+2,50),"")</f>
        <v/>
      </c>
      <c r="G663" s="5" t="n"/>
    </row>
    <row r="664">
      <c r="A664" s="7" t="n"/>
      <c r="B664" s="8">
        <f>IFERROR(MID(A664,FIND("01",A664)+2,14),"")</f>
        <v/>
      </c>
      <c r="C664" s="7">
        <f>IF(A664="","",IFERROR(VLOOKUP(B664,TblArticles,2,FALSE),"GTIN inconnu"))</f>
        <v/>
      </c>
      <c r="D664" s="8">
        <f>IF(A664="","",IFERROR(VLOOKUP(B664,TblArticles,3,FALSE),""))</f>
        <v/>
      </c>
      <c r="E664" s="9">
        <f>IFERROR(DATE(2000+VALUE(MID(A664,FIND("15",A664,FIND("01",A664)+16)+2,2)),VALUE(MID(A664,FIND("15",A664,FIND("01",A664)+16)+4,2)),VALUE(MID(A664,FIND("15",A664,FIND("01",A664)+16)+6,2))),"")</f>
        <v/>
      </c>
      <c r="F664" s="8">
        <f>IFERROR(MID(A664,FIND("10",A664,FIND("15",A664,FIND("01",A664)+16)+8)+2,50),"")</f>
        <v/>
      </c>
      <c r="G664" s="8" t="n"/>
    </row>
    <row r="665">
      <c r="A665" s="4" t="n"/>
      <c r="B665" s="5">
        <f>IFERROR(MID(A665,FIND("01",A665)+2,14),"")</f>
        <v/>
      </c>
      <c r="C665" s="4">
        <f>IF(A665="","",IFERROR(VLOOKUP(B665,TblArticles,2,FALSE),"GTIN inconnu"))</f>
        <v/>
      </c>
      <c r="D665" s="5">
        <f>IF(A665="","",IFERROR(VLOOKUP(B665,TblArticles,3,FALSE),""))</f>
        <v/>
      </c>
      <c r="E665" s="6">
        <f>IFERROR(DATE(2000+VALUE(MID(A665,FIND("15",A665,FIND("01",A665)+16)+2,2)),VALUE(MID(A665,FIND("15",A665,FIND("01",A665)+16)+4,2)),VALUE(MID(A665,FIND("15",A665,FIND("01",A665)+16)+6,2))),"")</f>
        <v/>
      </c>
      <c r="F665" s="5">
        <f>IFERROR(MID(A665,FIND("10",A665,FIND("15",A665,FIND("01",A665)+16)+8)+2,50),"")</f>
        <v/>
      </c>
      <c r="G665" s="5" t="n"/>
    </row>
    <row r="666">
      <c r="A666" s="7" t="n"/>
      <c r="B666" s="8">
        <f>IFERROR(MID(A666,FIND("01",A666)+2,14),"")</f>
        <v/>
      </c>
      <c r="C666" s="7">
        <f>IF(A666="","",IFERROR(VLOOKUP(B666,TblArticles,2,FALSE),"GTIN inconnu"))</f>
        <v/>
      </c>
      <c r="D666" s="8">
        <f>IF(A666="","",IFERROR(VLOOKUP(B666,TblArticles,3,FALSE),""))</f>
        <v/>
      </c>
      <c r="E666" s="9">
        <f>IFERROR(DATE(2000+VALUE(MID(A666,FIND("15",A666,FIND("01",A666)+16)+2,2)),VALUE(MID(A666,FIND("15",A666,FIND("01",A666)+16)+4,2)),VALUE(MID(A666,FIND("15",A666,FIND("01",A666)+16)+6,2))),"")</f>
        <v/>
      </c>
      <c r="F666" s="8">
        <f>IFERROR(MID(A666,FIND("10",A666,FIND("15",A666,FIND("01",A666)+16)+8)+2,50),"")</f>
        <v/>
      </c>
      <c r="G666" s="8" t="n"/>
    </row>
    <row r="667">
      <c r="A667" s="4" t="n"/>
      <c r="B667" s="5">
        <f>IFERROR(MID(A667,FIND("01",A667)+2,14),"")</f>
        <v/>
      </c>
      <c r="C667" s="4">
        <f>IF(A667="","",IFERROR(VLOOKUP(B667,TblArticles,2,FALSE),"GTIN inconnu"))</f>
        <v/>
      </c>
      <c r="D667" s="5">
        <f>IF(A667="","",IFERROR(VLOOKUP(B667,TblArticles,3,FALSE),""))</f>
        <v/>
      </c>
      <c r="E667" s="6">
        <f>IFERROR(DATE(2000+VALUE(MID(A667,FIND("15",A667,FIND("01",A667)+16)+2,2)),VALUE(MID(A667,FIND("15",A667,FIND("01",A667)+16)+4,2)),VALUE(MID(A667,FIND("15",A667,FIND("01",A667)+16)+6,2))),"")</f>
        <v/>
      </c>
      <c r="F667" s="5">
        <f>IFERROR(MID(A667,FIND("10",A667,FIND("15",A667,FIND("01",A667)+16)+8)+2,50),"")</f>
        <v/>
      </c>
      <c r="G667" s="5" t="n"/>
    </row>
    <row r="668">
      <c r="A668" s="7" t="n"/>
      <c r="B668" s="8">
        <f>IFERROR(MID(A668,FIND("01",A668)+2,14),"")</f>
        <v/>
      </c>
      <c r="C668" s="7">
        <f>IF(A668="","",IFERROR(VLOOKUP(B668,TblArticles,2,FALSE),"GTIN inconnu"))</f>
        <v/>
      </c>
      <c r="D668" s="8">
        <f>IF(A668="","",IFERROR(VLOOKUP(B668,TblArticles,3,FALSE),""))</f>
        <v/>
      </c>
      <c r="E668" s="9">
        <f>IFERROR(DATE(2000+VALUE(MID(A668,FIND("15",A668,FIND("01",A668)+16)+2,2)),VALUE(MID(A668,FIND("15",A668,FIND("01",A668)+16)+4,2)),VALUE(MID(A668,FIND("15",A668,FIND("01",A668)+16)+6,2))),"")</f>
        <v/>
      </c>
      <c r="F668" s="8">
        <f>IFERROR(MID(A668,FIND("10",A668,FIND("15",A668,FIND("01",A668)+16)+8)+2,50),"")</f>
        <v/>
      </c>
      <c r="G668" s="8" t="n"/>
    </row>
    <row r="669">
      <c r="A669" s="4" t="n"/>
      <c r="B669" s="5">
        <f>IFERROR(MID(A669,FIND("01",A669)+2,14),"")</f>
        <v/>
      </c>
      <c r="C669" s="4">
        <f>IF(A669="","",IFERROR(VLOOKUP(B669,TblArticles,2,FALSE),"GTIN inconnu"))</f>
        <v/>
      </c>
      <c r="D669" s="5">
        <f>IF(A669="","",IFERROR(VLOOKUP(B669,TblArticles,3,FALSE),""))</f>
        <v/>
      </c>
      <c r="E669" s="6">
        <f>IFERROR(DATE(2000+VALUE(MID(A669,FIND("15",A669,FIND("01",A669)+16)+2,2)),VALUE(MID(A669,FIND("15",A669,FIND("01",A669)+16)+4,2)),VALUE(MID(A669,FIND("15",A669,FIND("01",A669)+16)+6,2))),"")</f>
        <v/>
      </c>
      <c r="F669" s="5">
        <f>IFERROR(MID(A669,FIND("10",A669,FIND("15",A669,FIND("01",A669)+16)+8)+2,50),"")</f>
        <v/>
      </c>
      <c r="G669" s="5" t="n"/>
    </row>
    <row r="670">
      <c r="A670" s="7" t="n"/>
      <c r="B670" s="8">
        <f>IFERROR(MID(A670,FIND("01",A670)+2,14),"")</f>
        <v/>
      </c>
      <c r="C670" s="7">
        <f>IF(A670="","",IFERROR(VLOOKUP(B670,TblArticles,2,FALSE),"GTIN inconnu"))</f>
        <v/>
      </c>
      <c r="D670" s="8">
        <f>IF(A670="","",IFERROR(VLOOKUP(B670,TblArticles,3,FALSE),""))</f>
        <v/>
      </c>
      <c r="E670" s="9">
        <f>IFERROR(DATE(2000+VALUE(MID(A670,FIND("15",A670,FIND("01",A670)+16)+2,2)),VALUE(MID(A670,FIND("15",A670,FIND("01",A670)+16)+4,2)),VALUE(MID(A670,FIND("15",A670,FIND("01",A670)+16)+6,2))),"")</f>
        <v/>
      </c>
      <c r="F670" s="8">
        <f>IFERROR(MID(A670,FIND("10",A670,FIND("15",A670,FIND("01",A670)+16)+8)+2,50),"")</f>
        <v/>
      </c>
      <c r="G670" s="8" t="n"/>
    </row>
    <row r="671">
      <c r="A671" s="4" t="n"/>
      <c r="B671" s="5">
        <f>IFERROR(MID(A671,FIND("01",A671)+2,14),"")</f>
        <v/>
      </c>
      <c r="C671" s="4">
        <f>IF(A671="","",IFERROR(VLOOKUP(B671,TblArticles,2,FALSE),"GTIN inconnu"))</f>
        <v/>
      </c>
      <c r="D671" s="5">
        <f>IF(A671="","",IFERROR(VLOOKUP(B671,TblArticles,3,FALSE),""))</f>
        <v/>
      </c>
      <c r="E671" s="6">
        <f>IFERROR(DATE(2000+VALUE(MID(A671,FIND("15",A671,FIND("01",A671)+16)+2,2)),VALUE(MID(A671,FIND("15",A671,FIND("01",A671)+16)+4,2)),VALUE(MID(A671,FIND("15",A671,FIND("01",A671)+16)+6,2))),"")</f>
        <v/>
      </c>
      <c r="F671" s="5">
        <f>IFERROR(MID(A671,FIND("10",A671,FIND("15",A671,FIND("01",A671)+16)+8)+2,50),"")</f>
        <v/>
      </c>
      <c r="G671" s="5" t="n"/>
    </row>
    <row r="672">
      <c r="A672" s="7" t="n"/>
      <c r="B672" s="8">
        <f>IFERROR(MID(A672,FIND("01",A672)+2,14),"")</f>
        <v/>
      </c>
      <c r="C672" s="7">
        <f>IF(A672="","",IFERROR(VLOOKUP(B672,TblArticles,2,FALSE),"GTIN inconnu"))</f>
        <v/>
      </c>
      <c r="D672" s="8">
        <f>IF(A672="","",IFERROR(VLOOKUP(B672,TblArticles,3,FALSE),""))</f>
        <v/>
      </c>
      <c r="E672" s="9">
        <f>IFERROR(DATE(2000+VALUE(MID(A672,FIND("15",A672,FIND("01",A672)+16)+2,2)),VALUE(MID(A672,FIND("15",A672,FIND("01",A672)+16)+4,2)),VALUE(MID(A672,FIND("15",A672,FIND("01",A672)+16)+6,2))),"")</f>
        <v/>
      </c>
      <c r="F672" s="8">
        <f>IFERROR(MID(A672,FIND("10",A672,FIND("15",A672,FIND("01",A672)+16)+8)+2,50),"")</f>
        <v/>
      </c>
      <c r="G672" s="8" t="n"/>
    </row>
    <row r="673">
      <c r="A673" s="4" t="n"/>
      <c r="B673" s="5">
        <f>IFERROR(MID(A673,FIND("01",A673)+2,14),"")</f>
        <v/>
      </c>
      <c r="C673" s="4">
        <f>IF(A673="","",IFERROR(VLOOKUP(B673,TblArticles,2,FALSE),"GTIN inconnu"))</f>
        <v/>
      </c>
      <c r="D673" s="5">
        <f>IF(A673="","",IFERROR(VLOOKUP(B673,TblArticles,3,FALSE),""))</f>
        <v/>
      </c>
      <c r="E673" s="6">
        <f>IFERROR(DATE(2000+VALUE(MID(A673,FIND("15",A673,FIND("01",A673)+16)+2,2)),VALUE(MID(A673,FIND("15",A673,FIND("01",A673)+16)+4,2)),VALUE(MID(A673,FIND("15",A673,FIND("01",A673)+16)+6,2))),"")</f>
        <v/>
      </c>
      <c r="F673" s="5">
        <f>IFERROR(MID(A673,FIND("10",A673,FIND("15",A673,FIND("01",A673)+16)+8)+2,50),"")</f>
        <v/>
      </c>
      <c r="G673" s="5" t="n"/>
    </row>
    <row r="674">
      <c r="A674" s="7" t="n"/>
      <c r="B674" s="8">
        <f>IFERROR(MID(A674,FIND("01",A674)+2,14),"")</f>
        <v/>
      </c>
      <c r="C674" s="7">
        <f>IF(A674="","",IFERROR(VLOOKUP(B674,TblArticles,2,FALSE),"GTIN inconnu"))</f>
        <v/>
      </c>
      <c r="D674" s="8">
        <f>IF(A674="","",IFERROR(VLOOKUP(B674,TblArticles,3,FALSE),""))</f>
        <v/>
      </c>
      <c r="E674" s="9">
        <f>IFERROR(DATE(2000+VALUE(MID(A674,FIND("15",A674,FIND("01",A674)+16)+2,2)),VALUE(MID(A674,FIND("15",A674,FIND("01",A674)+16)+4,2)),VALUE(MID(A674,FIND("15",A674,FIND("01",A674)+16)+6,2))),"")</f>
        <v/>
      </c>
      <c r="F674" s="8">
        <f>IFERROR(MID(A674,FIND("10",A674,FIND("15",A674,FIND("01",A674)+16)+8)+2,50),"")</f>
        <v/>
      </c>
      <c r="G674" s="8" t="n"/>
    </row>
    <row r="675">
      <c r="A675" s="4" t="n"/>
      <c r="B675" s="5">
        <f>IFERROR(MID(A675,FIND("01",A675)+2,14),"")</f>
        <v/>
      </c>
      <c r="C675" s="4">
        <f>IF(A675="","",IFERROR(VLOOKUP(B675,TblArticles,2,FALSE),"GTIN inconnu"))</f>
        <v/>
      </c>
      <c r="D675" s="5">
        <f>IF(A675="","",IFERROR(VLOOKUP(B675,TblArticles,3,FALSE),""))</f>
        <v/>
      </c>
      <c r="E675" s="6">
        <f>IFERROR(DATE(2000+VALUE(MID(A675,FIND("15",A675,FIND("01",A675)+16)+2,2)),VALUE(MID(A675,FIND("15",A675,FIND("01",A675)+16)+4,2)),VALUE(MID(A675,FIND("15",A675,FIND("01",A675)+16)+6,2))),"")</f>
        <v/>
      </c>
      <c r="F675" s="5">
        <f>IFERROR(MID(A675,FIND("10",A675,FIND("15",A675,FIND("01",A675)+16)+8)+2,50),"")</f>
        <v/>
      </c>
      <c r="G675" s="5" t="n"/>
    </row>
    <row r="676">
      <c r="A676" s="7" t="n"/>
      <c r="B676" s="8">
        <f>IFERROR(MID(A676,FIND("01",A676)+2,14),"")</f>
        <v/>
      </c>
      <c r="C676" s="7">
        <f>IF(A676="","",IFERROR(VLOOKUP(B676,TblArticles,2,FALSE),"GTIN inconnu"))</f>
        <v/>
      </c>
      <c r="D676" s="8">
        <f>IF(A676="","",IFERROR(VLOOKUP(B676,TblArticles,3,FALSE),""))</f>
        <v/>
      </c>
      <c r="E676" s="9">
        <f>IFERROR(DATE(2000+VALUE(MID(A676,FIND("15",A676,FIND("01",A676)+16)+2,2)),VALUE(MID(A676,FIND("15",A676,FIND("01",A676)+16)+4,2)),VALUE(MID(A676,FIND("15",A676,FIND("01",A676)+16)+6,2))),"")</f>
        <v/>
      </c>
      <c r="F676" s="8">
        <f>IFERROR(MID(A676,FIND("10",A676,FIND("15",A676,FIND("01",A676)+16)+8)+2,50),"")</f>
        <v/>
      </c>
      <c r="G676" s="8" t="n"/>
    </row>
    <row r="677">
      <c r="A677" s="4" t="n"/>
      <c r="B677" s="5">
        <f>IFERROR(MID(A677,FIND("01",A677)+2,14),"")</f>
        <v/>
      </c>
      <c r="C677" s="4">
        <f>IF(A677="","",IFERROR(VLOOKUP(B677,TblArticles,2,FALSE),"GTIN inconnu"))</f>
        <v/>
      </c>
      <c r="D677" s="5">
        <f>IF(A677="","",IFERROR(VLOOKUP(B677,TblArticles,3,FALSE),""))</f>
        <v/>
      </c>
      <c r="E677" s="6">
        <f>IFERROR(DATE(2000+VALUE(MID(A677,FIND("15",A677,FIND("01",A677)+16)+2,2)),VALUE(MID(A677,FIND("15",A677,FIND("01",A677)+16)+4,2)),VALUE(MID(A677,FIND("15",A677,FIND("01",A677)+16)+6,2))),"")</f>
        <v/>
      </c>
      <c r="F677" s="5">
        <f>IFERROR(MID(A677,FIND("10",A677,FIND("15",A677,FIND("01",A677)+16)+8)+2,50),"")</f>
        <v/>
      </c>
      <c r="G677" s="5" t="n"/>
    </row>
    <row r="678">
      <c r="A678" s="7" t="n"/>
      <c r="B678" s="8">
        <f>IFERROR(MID(A678,FIND("01",A678)+2,14),"")</f>
        <v/>
      </c>
      <c r="C678" s="7">
        <f>IF(A678="","",IFERROR(VLOOKUP(B678,TblArticles,2,FALSE),"GTIN inconnu"))</f>
        <v/>
      </c>
      <c r="D678" s="8">
        <f>IF(A678="","",IFERROR(VLOOKUP(B678,TblArticles,3,FALSE),""))</f>
        <v/>
      </c>
      <c r="E678" s="9">
        <f>IFERROR(DATE(2000+VALUE(MID(A678,FIND("15",A678,FIND("01",A678)+16)+2,2)),VALUE(MID(A678,FIND("15",A678,FIND("01",A678)+16)+4,2)),VALUE(MID(A678,FIND("15",A678,FIND("01",A678)+16)+6,2))),"")</f>
        <v/>
      </c>
      <c r="F678" s="8">
        <f>IFERROR(MID(A678,FIND("10",A678,FIND("15",A678,FIND("01",A678)+16)+8)+2,50),"")</f>
        <v/>
      </c>
      <c r="G678" s="8" t="n"/>
    </row>
    <row r="679">
      <c r="A679" s="4" t="n"/>
      <c r="B679" s="5">
        <f>IFERROR(MID(A679,FIND("01",A679)+2,14),"")</f>
        <v/>
      </c>
      <c r="C679" s="4">
        <f>IF(A679="","",IFERROR(VLOOKUP(B679,TblArticles,2,FALSE),"GTIN inconnu"))</f>
        <v/>
      </c>
      <c r="D679" s="5">
        <f>IF(A679="","",IFERROR(VLOOKUP(B679,TblArticles,3,FALSE),""))</f>
        <v/>
      </c>
      <c r="E679" s="6">
        <f>IFERROR(DATE(2000+VALUE(MID(A679,FIND("15",A679,FIND("01",A679)+16)+2,2)),VALUE(MID(A679,FIND("15",A679,FIND("01",A679)+16)+4,2)),VALUE(MID(A679,FIND("15",A679,FIND("01",A679)+16)+6,2))),"")</f>
        <v/>
      </c>
      <c r="F679" s="5">
        <f>IFERROR(MID(A679,FIND("10",A679,FIND("15",A679,FIND("01",A679)+16)+8)+2,50),"")</f>
        <v/>
      </c>
      <c r="G679" s="5" t="n"/>
    </row>
    <row r="680">
      <c r="A680" s="7" t="n"/>
      <c r="B680" s="8">
        <f>IFERROR(MID(A680,FIND("01",A680)+2,14),"")</f>
        <v/>
      </c>
      <c r="C680" s="7">
        <f>IF(A680="","",IFERROR(VLOOKUP(B680,TblArticles,2,FALSE),"GTIN inconnu"))</f>
        <v/>
      </c>
      <c r="D680" s="8">
        <f>IF(A680="","",IFERROR(VLOOKUP(B680,TblArticles,3,FALSE),""))</f>
        <v/>
      </c>
      <c r="E680" s="9">
        <f>IFERROR(DATE(2000+VALUE(MID(A680,FIND("15",A680,FIND("01",A680)+16)+2,2)),VALUE(MID(A680,FIND("15",A680,FIND("01",A680)+16)+4,2)),VALUE(MID(A680,FIND("15",A680,FIND("01",A680)+16)+6,2))),"")</f>
        <v/>
      </c>
      <c r="F680" s="8">
        <f>IFERROR(MID(A680,FIND("10",A680,FIND("15",A680,FIND("01",A680)+16)+8)+2,50),"")</f>
        <v/>
      </c>
      <c r="G680" s="8" t="n"/>
    </row>
    <row r="681">
      <c r="A681" s="4" t="n"/>
      <c r="B681" s="5">
        <f>IFERROR(MID(A681,FIND("01",A681)+2,14),"")</f>
        <v/>
      </c>
      <c r="C681" s="4">
        <f>IF(A681="","",IFERROR(VLOOKUP(B681,TblArticles,2,FALSE),"GTIN inconnu"))</f>
        <v/>
      </c>
      <c r="D681" s="5">
        <f>IF(A681="","",IFERROR(VLOOKUP(B681,TblArticles,3,FALSE),""))</f>
        <v/>
      </c>
      <c r="E681" s="6">
        <f>IFERROR(DATE(2000+VALUE(MID(A681,FIND("15",A681,FIND("01",A681)+16)+2,2)),VALUE(MID(A681,FIND("15",A681,FIND("01",A681)+16)+4,2)),VALUE(MID(A681,FIND("15",A681,FIND("01",A681)+16)+6,2))),"")</f>
        <v/>
      </c>
      <c r="F681" s="5">
        <f>IFERROR(MID(A681,FIND("10",A681,FIND("15",A681,FIND("01",A681)+16)+8)+2,50),"")</f>
        <v/>
      </c>
      <c r="G681" s="5" t="n"/>
    </row>
    <row r="682">
      <c r="A682" s="7" t="n"/>
      <c r="B682" s="8">
        <f>IFERROR(MID(A682,FIND("01",A682)+2,14),"")</f>
        <v/>
      </c>
      <c r="C682" s="7">
        <f>IF(A682="","",IFERROR(VLOOKUP(B682,TblArticles,2,FALSE),"GTIN inconnu"))</f>
        <v/>
      </c>
      <c r="D682" s="8">
        <f>IF(A682="","",IFERROR(VLOOKUP(B682,TblArticles,3,FALSE),""))</f>
        <v/>
      </c>
      <c r="E682" s="9">
        <f>IFERROR(DATE(2000+VALUE(MID(A682,FIND("15",A682,FIND("01",A682)+16)+2,2)),VALUE(MID(A682,FIND("15",A682,FIND("01",A682)+16)+4,2)),VALUE(MID(A682,FIND("15",A682,FIND("01",A682)+16)+6,2))),"")</f>
        <v/>
      </c>
      <c r="F682" s="8">
        <f>IFERROR(MID(A682,FIND("10",A682,FIND("15",A682,FIND("01",A682)+16)+8)+2,50),"")</f>
        <v/>
      </c>
      <c r="G682" s="8" t="n"/>
    </row>
    <row r="683">
      <c r="A683" s="4" t="n"/>
      <c r="B683" s="5">
        <f>IFERROR(MID(A683,FIND("01",A683)+2,14),"")</f>
        <v/>
      </c>
      <c r="C683" s="4">
        <f>IF(A683="","",IFERROR(VLOOKUP(B683,TblArticles,2,FALSE),"GTIN inconnu"))</f>
        <v/>
      </c>
      <c r="D683" s="5">
        <f>IF(A683="","",IFERROR(VLOOKUP(B683,TblArticles,3,FALSE),""))</f>
        <v/>
      </c>
      <c r="E683" s="6">
        <f>IFERROR(DATE(2000+VALUE(MID(A683,FIND("15",A683,FIND("01",A683)+16)+2,2)),VALUE(MID(A683,FIND("15",A683,FIND("01",A683)+16)+4,2)),VALUE(MID(A683,FIND("15",A683,FIND("01",A683)+16)+6,2))),"")</f>
        <v/>
      </c>
      <c r="F683" s="5">
        <f>IFERROR(MID(A683,FIND("10",A683,FIND("15",A683,FIND("01",A683)+16)+8)+2,50),"")</f>
        <v/>
      </c>
      <c r="G683" s="5" t="n"/>
    </row>
    <row r="684">
      <c r="A684" s="7" t="n"/>
      <c r="B684" s="8">
        <f>IFERROR(MID(A684,FIND("01",A684)+2,14),"")</f>
        <v/>
      </c>
      <c r="C684" s="7">
        <f>IF(A684="","",IFERROR(VLOOKUP(B684,TblArticles,2,FALSE),"GTIN inconnu"))</f>
        <v/>
      </c>
      <c r="D684" s="8">
        <f>IF(A684="","",IFERROR(VLOOKUP(B684,TblArticles,3,FALSE),""))</f>
        <v/>
      </c>
      <c r="E684" s="9">
        <f>IFERROR(DATE(2000+VALUE(MID(A684,FIND("15",A684,FIND("01",A684)+16)+2,2)),VALUE(MID(A684,FIND("15",A684,FIND("01",A684)+16)+4,2)),VALUE(MID(A684,FIND("15",A684,FIND("01",A684)+16)+6,2))),"")</f>
        <v/>
      </c>
      <c r="F684" s="8">
        <f>IFERROR(MID(A684,FIND("10",A684,FIND("15",A684,FIND("01",A684)+16)+8)+2,50),"")</f>
        <v/>
      </c>
      <c r="G684" s="8" t="n"/>
    </row>
    <row r="685">
      <c r="A685" s="4" t="n"/>
      <c r="B685" s="5">
        <f>IFERROR(MID(A685,FIND("01",A685)+2,14),"")</f>
        <v/>
      </c>
      <c r="C685" s="4">
        <f>IF(A685="","",IFERROR(VLOOKUP(B685,TblArticles,2,FALSE),"GTIN inconnu"))</f>
        <v/>
      </c>
      <c r="D685" s="5">
        <f>IF(A685="","",IFERROR(VLOOKUP(B685,TblArticles,3,FALSE),""))</f>
        <v/>
      </c>
      <c r="E685" s="6">
        <f>IFERROR(DATE(2000+VALUE(MID(A685,FIND("15",A685,FIND("01",A685)+16)+2,2)),VALUE(MID(A685,FIND("15",A685,FIND("01",A685)+16)+4,2)),VALUE(MID(A685,FIND("15",A685,FIND("01",A685)+16)+6,2))),"")</f>
        <v/>
      </c>
      <c r="F685" s="5">
        <f>IFERROR(MID(A685,FIND("10",A685,FIND("15",A685,FIND("01",A685)+16)+8)+2,50),"")</f>
        <v/>
      </c>
      <c r="G685" s="5" t="n"/>
    </row>
    <row r="686">
      <c r="A686" s="7" t="n"/>
      <c r="B686" s="8">
        <f>IFERROR(MID(A686,FIND("01",A686)+2,14),"")</f>
        <v/>
      </c>
      <c r="C686" s="7">
        <f>IF(A686="","",IFERROR(VLOOKUP(B686,TblArticles,2,FALSE),"GTIN inconnu"))</f>
        <v/>
      </c>
      <c r="D686" s="8">
        <f>IF(A686="","",IFERROR(VLOOKUP(B686,TblArticles,3,FALSE),""))</f>
        <v/>
      </c>
      <c r="E686" s="9">
        <f>IFERROR(DATE(2000+VALUE(MID(A686,FIND("15",A686,FIND("01",A686)+16)+2,2)),VALUE(MID(A686,FIND("15",A686,FIND("01",A686)+16)+4,2)),VALUE(MID(A686,FIND("15",A686,FIND("01",A686)+16)+6,2))),"")</f>
        <v/>
      </c>
      <c r="F686" s="8">
        <f>IFERROR(MID(A686,FIND("10",A686,FIND("15",A686,FIND("01",A686)+16)+8)+2,50),"")</f>
        <v/>
      </c>
      <c r="G686" s="8" t="n"/>
    </row>
    <row r="687">
      <c r="A687" s="4" t="n"/>
      <c r="B687" s="5">
        <f>IFERROR(MID(A687,FIND("01",A687)+2,14),"")</f>
        <v/>
      </c>
      <c r="C687" s="4">
        <f>IF(A687="","",IFERROR(VLOOKUP(B687,TblArticles,2,FALSE),"GTIN inconnu"))</f>
        <v/>
      </c>
      <c r="D687" s="5">
        <f>IF(A687="","",IFERROR(VLOOKUP(B687,TblArticles,3,FALSE),""))</f>
        <v/>
      </c>
      <c r="E687" s="6">
        <f>IFERROR(DATE(2000+VALUE(MID(A687,FIND("15",A687,FIND("01",A687)+16)+2,2)),VALUE(MID(A687,FIND("15",A687,FIND("01",A687)+16)+4,2)),VALUE(MID(A687,FIND("15",A687,FIND("01",A687)+16)+6,2))),"")</f>
        <v/>
      </c>
      <c r="F687" s="5">
        <f>IFERROR(MID(A687,FIND("10",A687,FIND("15",A687,FIND("01",A687)+16)+8)+2,50),"")</f>
        <v/>
      </c>
      <c r="G687" s="5" t="n"/>
    </row>
    <row r="688">
      <c r="A688" s="7" t="n"/>
      <c r="B688" s="8">
        <f>IFERROR(MID(A688,FIND("01",A688)+2,14),"")</f>
        <v/>
      </c>
      <c r="C688" s="7">
        <f>IF(A688="","",IFERROR(VLOOKUP(B688,TblArticles,2,FALSE),"GTIN inconnu"))</f>
        <v/>
      </c>
      <c r="D688" s="8">
        <f>IF(A688="","",IFERROR(VLOOKUP(B688,TblArticles,3,FALSE),""))</f>
        <v/>
      </c>
      <c r="E688" s="9">
        <f>IFERROR(DATE(2000+VALUE(MID(A688,FIND("15",A688,FIND("01",A688)+16)+2,2)),VALUE(MID(A688,FIND("15",A688,FIND("01",A688)+16)+4,2)),VALUE(MID(A688,FIND("15",A688,FIND("01",A688)+16)+6,2))),"")</f>
        <v/>
      </c>
      <c r="F688" s="8">
        <f>IFERROR(MID(A688,FIND("10",A688,FIND("15",A688,FIND("01",A688)+16)+8)+2,50),"")</f>
        <v/>
      </c>
      <c r="G688" s="8" t="n"/>
    </row>
    <row r="689">
      <c r="A689" s="4" t="n"/>
      <c r="B689" s="5">
        <f>IFERROR(MID(A689,FIND("01",A689)+2,14),"")</f>
        <v/>
      </c>
      <c r="C689" s="4">
        <f>IF(A689="","",IFERROR(VLOOKUP(B689,TblArticles,2,FALSE),"GTIN inconnu"))</f>
        <v/>
      </c>
      <c r="D689" s="5">
        <f>IF(A689="","",IFERROR(VLOOKUP(B689,TblArticles,3,FALSE),""))</f>
        <v/>
      </c>
      <c r="E689" s="6">
        <f>IFERROR(DATE(2000+VALUE(MID(A689,FIND("15",A689,FIND("01",A689)+16)+2,2)),VALUE(MID(A689,FIND("15",A689,FIND("01",A689)+16)+4,2)),VALUE(MID(A689,FIND("15",A689,FIND("01",A689)+16)+6,2))),"")</f>
        <v/>
      </c>
      <c r="F689" s="5">
        <f>IFERROR(MID(A689,FIND("10",A689,FIND("15",A689,FIND("01",A689)+16)+8)+2,50),"")</f>
        <v/>
      </c>
      <c r="G689" s="5" t="n"/>
    </row>
    <row r="690">
      <c r="A690" s="7" t="n"/>
      <c r="B690" s="8">
        <f>IFERROR(MID(A690,FIND("01",A690)+2,14),"")</f>
        <v/>
      </c>
      <c r="C690" s="7">
        <f>IF(A690="","",IFERROR(VLOOKUP(B690,TblArticles,2,FALSE),"GTIN inconnu"))</f>
        <v/>
      </c>
      <c r="D690" s="8">
        <f>IF(A690="","",IFERROR(VLOOKUP(B690,TblArticles,3,FALSE),""))</f>
        <v/>
      </c>
      <c r="E690" s="9">
        <f>IFERROR(DATE(2000+VALUE(MID(A690,FIND("15",A690,FIND("01",A690)+16)+2,2)),VALUE(MID(A690,FIND("15",A690,FIND("01",A690)+16)+4,2)),VALUE(MID(A690,FIND("15",A690,FIND("01",A690)+16)+6,2))),"")</f>
        <v/>
      </c>
      <c r="F690" s="8">
        <f>IFERROR(MID(A690,FIND("10",A690,FIND("15",A690,FIND("01",A690)+16)+8)+2,50),"")</f>
        <v/>
      </c>
      <c r="G690" s="8" t="n"/>
    </row>
    <row r="691">
      <c r="A691" s="4" t="n"/>
      <c r="B691" s="5">
        <f>IFERROR(MID(A691,FIND("01",A691)+2,14),"")</f>
        <v/>
      </c>
      <c r="C691" s="4">
        <f>IF(A691="","",IFERROR(VLOOKUP(B691,TblArticles,2,FALSE),"GTIN inconnu"))</f>
        <v/>
      </c>
      <c r="D691" s="5">
        <f>IF(A691="","",IFERROR(VLOOKUP(B691,TblArticles,3,FALSE),""))</f>
        <v/>
      </c>
      <c r="E691" s="6">
        <f>IFERROR(DATE(2000+VALUE(MID(A691,FIND("15",A691,FIND("01",A691)+16)+2,2)),VALUE(MID(A691,FIND("15",A691,FIND("01",A691)+16)+4,2)),VALUE(MID(A691,FIND("15",A691,FIND("01",A691)+16)+6,2))),"")</f>
        <v/>
      </c>
      <c r="F691" s="5">
        <f>IFERROR(MID(A691,FIND("10",A691,FIND("15",A691,FIND("01",A691)+16)+8)+2,50),"")</f>
        <v/>
      </c>
      <c r="G691" s="5" t="n"/>
    </row>
    <row r="692">
      <c r="A692" s="7" t="n"/>
      <c r="B692" s="8">
        <f>IFERROR(MID(A692,FIND("01",A692)+2,14),"")</f>
        <v/>
      </c>
      <c r="C692" s="7">
        <f>IF(A692="","",IFERROR(VLOOKUP(B692,TblArticles,2,FALSE),"GTIN inconnu"))</f>
        <v/>
      </c>
      <c r="D692" s="8">
        <f>IF(A692="","",IFERROR(VLOOKUP(B692,TblArticles,3,FALSE),""))</f>
        <v/>
      </c>
      <c r="E692" s="9">
        <f>IFERROR(DATE(2000+VALUE(MID(A692,FIND("15",A692,FIND("01",A692)+16)+2,2)),VALUE(MID(A692,FIND("15",A692,FIND("01",A692)+16)+4,2)),VALUE(MID(A692,FIND("15",A692,FIND("01",A692)+16)+6,2))),"")</f>
        <v/>
      </c>
      <c r="F692" s="8">
        <f>IFERROR(MID(A692,FIND("10",A692,FIND("15",A692,FIND("01",A692)+16)+8)+2,50),"")</f>
        <v/>
      </c>
      <c r="G692" s="8" t="n"/>
    </row>
    <row r="693">
      <c r="A693" s="4" t="n"/>
      <c r="B693" s="5">
        <f>IFERROR(MID(A693,FIND("01",A693)+2,14),"")</f>
        <v/>
      </c>
      <c r="C693" s="4">
        <f>IF(A693="","",IFERROR(VLOOKUP(B693,TblArticles,2,FALSE),"GTIN inconnu"))</f>
        <v/>
      </c>
      <c r="D693" s="5">
        <f>IF(A693="","",IFERROR(VLOOKUP(B693,TblArticles,3,FALSE),""))</f>
        <v/>
      </c>
      <c r="E693" s="6">
        <f>IFERROR(DATE(2000+VALUE(MID(A693,FIND("15",A693,FIND("01",A693)+16)+2,2)),VALUE(MID(A693,FIND("15",A693,FIND("01",A693)+16)+4,2)),VALUE(MID(A693,FIND("15",A693,FIND("01",A693)+16)+6,2))),"")</f>
        <v/>
      </c>
      <c r="F693" s="5">
        <f>IFERROR(MID(A693,FIND("10",A693,FIND("15",A693,FIND("01",A693)+16)+8)+2,50),"")</f>
        <v/>
      </c>
      <c r="G693" s="5" t="n"/>
    </row>
    <row r="694">
      <c r="A694" s="7" t="n"/>
      <c r="B694" s="8">
        <f>IFERROR(MID(A694,FIND("01",A694)+2,14),"")</f>
        <v/>
      </c>
      <c r="C694" s="7">
        <f>IF(A694="","",IFERROR(VLOOKUP(B694,TblArticles,2,FALSE),"GTIN inconnu"))</f>
        <v/>
      </c>
      <c r="D694" s="8">
        <f>IF(A694="","",IFERROR(VLOOKUP(B694,TblArticles,3,FALSE),""))</f>
        <v/>
      </c>
      <c r="E694" s="9">
        <f>IFERROR(DATE(2000+VALUE(MID(A694,FIND("15",A694,FIND("01",A694)+16)+2,2)),VALUE(MID(A694,FIND("15",A694,FIND("01",A694)+16)+4,2)),VALUE(MID(A694,FIND("15",A694,FIND("01",A694)+16)+6,2))),"")</f>
        <v/>
      </c>
      <c r="F694" s="8">
        <f>IFERROR(MID(A694,FIND("10",A694,FIND("15",A694,FIND("01",A694)+16)+8)+2,50),"")</f>
        <v/>
      </c>
      <c r="G694" s="8" t="n"/>
    </row>
    <row r="695">
      <c r="A695" s="4" t="n"/>
      <c r="B695" s="5">
        <f>IFERROR(MID(A695,FIND("01",A695)+2,14),"")</f>
        <v/>
      </c>
      <c r="C695" s="4">
        <f>IF(A695="","",IFERROR(VLOOKUP(B695,TblArticles,2,FALSE),"GTIN inconnu"))</f>
        <v/>
      </c>
      <c r="D695" s="5">
        <f>IF(A695="","",IFERROR(VLOOKUP(B695,TblArticles,3,FALSE),""))</f>
        <v/>
      </c>
      <c r="E695" s="6">
        <f>IFERROR(DATE(2000+VALUE(MID(A695,FIND("15",A695,FIND("01",A695)+16)+2,2)),VALUE(MID(A695,FIND("15",A695,FIND("01",A695)+16)+4,2)),VALUE(MID(A695,FIND("15",A695,FIND("01",A695)+16)+6,2))),"")</f>
        <v/>
      </c>
      <c r="F695" s="5">
        <f>IFERROR(MID(A695,FIND("10",A695,FIND("15",A695,FIND("01",A695)+16)+8)+2,50),"")</f>
        <v/>
      </c>
      <c r="G695" s="5" t="n"/>
    </row>
    <row r="696">
      <c r="A696" s="7" t="n"/>
      <c r="B696" s="8">
        <f>IFERROR(MID(A696,FIND("01",A696)+2,14),"")</f>
        <v/>
      </c>
      <c r="C696" s="7">
        <f>IF(A696="","",IFERROR(VLOOKUP(B696,TblArticles,2,FALSE),"GTIN inconnu"))</f>
        <v/>
      </c>
      <c r="D696" s="8">
        <f>IF(A696="","",IFERROR(VLOOKUP(B696,TblArticles,3,FALSE),""))</f>
        <v/>
      </c>
      <c r="E696" s="9">
        <f>IFERROR(DATE(2000+VALUE(MID(A696,FIND("15",A696,FIND("01",A696)+16)+2,2)),VALUE(MID(A696,FIND("15",A696,FIND("01",A696)+16)+4,2)),VALUE(MID(A696,FIND("15",A696,FIND("01",A696)+16)+6,2))),"")</f>
        <v/>
      </c>
      <c r="F696" s="8">
        <f>IFERROR(MID(A696,FIND("10",A696,FIND("15",A696,FIND("01",A696)+16)+8)+2,50),"")</f>
        <v/>
      </c>
      <c r="G696" s="8" t="n"/>
    </row>
    <row r="697">
      <c r="A697" s="4" t="n"/>
      <c r="B697" s="5">
        <f>IFERROR(MID(A697,FIND("01",A697)+2,14),"")</f>
        <v/>
      </c>
      <c r="C697" s="4">
        <f>IF(A697="","",IFERROR(VLOOKUP(B697,TblArticles,2,FALSE),"GTIN inconnu"))</f>
        <v/>
      </c>
      <c r="D697" s="5">
        <f>IF(A697="","",IFERROR(VLOOKUP(B697,TblArticles,3,FALSE),""))</f>
        <v/>
      </c>
      <c r="E697" s="6">
        <f>IFERROR(DATE(2000+VALUE(MID(A697,FIND("15",A697,FIND("01",A697)+16)+2,2)),VALUE(MID(A697,FIND("15",A697,FIND("01",A697)+16)+4,2)),VALUE(MID(A697,FIND("15",A697,FIND("01",A697)+16)+6,2))),"")</f>
        <v/>
      </c>
      <c r="F697" s="5">
        <f>IFERROR(MID(A697,FIND("10",A697,FIND("15",A697,FIND("01",A697)+16)+8)+2,50),"")</f>
        <v/>
      </c>
      <c r="G697" s="5" t="n"/>
    </row>
    <row r="698">
      <c r="A698" s="7" t="n"/>
      <c r="B698" s="8">
        <f>IFERROR(MID(A698,FIND("01",A698)+2,14),"")</f>
        <v/>
      </c>
      <c r="C698" s="7">
        <f>IF(A698="","",IFERROR(VLOOKUP(B698,TblArticles,2,FALSE),"GTIN inconnu"))</f>
        <v/>
      </c>
      <c r="D698" s="8">
        <f>IF(A698="","",IFERROR(VLOOKUP(B698,TblArticles,3,FALSE),""))</f>
        <v/>
      </c>
      <c r="E698" s="9">
        <f>IFERROR(DATE(2000+VALUE(MID(A698,FIND("15",A698,FIND("01",A698)+16)+2,2)),VALUE(MID(A698,FIND("15",A698,FIND("01",A698)+16)+4,2)),VALUE(MID(A698,FIND("15",A698,FIND("01",A698)+16)+6,2))),"")</f>
        <v/>
      </c>
      <c r="F698" s="8">
        <f>IFERROR(MID(A698,FIND("10",A698,FIND("15",A698,FIND("01",A698)+16)+8)+2,50),"")</f>
        <v/>
      </c>
      <c r="G698" s="8" t="n"/>
    </row>
    <row r="699">
      <c r="A699" s="4" t="n"/>
      <c r="B699" s="5">
        <f>IFERROR(MID(A699,FIND("01",A699)+2,14),"")</f>
        <v/>
      </c>
      <c r="C699" s="4">
        <f>IF(A699="","",IFERROR(VLOOKUP(B699,TblArticles,2,FALSE),"GTIN inconnu"))</f>
        <v/>
      </c>
      <c r="D699" s="5">
        <f>IF(A699="","",IFERROR(VLOOKUP(B699,TblArticles,3,FALSE),""))</f>
        <v/>
      </c>
      <c r="E699" s="6">
        <f>IFERROR(DATE(2000+VALUE(MID(A699,FIND("15",A699,FIND("01",A699)+16)+2,2)),VALUE(MID(A699,FIND("15",A699,FIND("01",A699)+16)+4,2)),VALUE(MID(A699,FIND("15",A699,FIND("01",A699)+16)+6,2))),"")</f>
        <v/>
      </c>
      <c r="F699" s="5">
        <f>IFERROR(MID(A699,FIND("10",A699,FIND("15",A699,FIND("01",A699)+16)+8)+2,50),"")</f>
        <v/>
      </c>
      <c r="G699" s="5" t="n"/>
    </row>
    <row r="700">
      <c r="A700" s="7" t="n"/>
      <c r="B700" s="8">
        <f>IFERROR(MID(A700,FIND("01",A700)+2,14),"")</f>
        <v/>
      </c>
      <c r="C700" s="7">
        <f>IF(A700="","",IFERROR(VLOOKUP(B700,TblArticles,2,FALSE),"GTIN inconnu"))</f>
        <v/>
      </c>
      <c r="D700" s="8">
        <f>IF(A700="","",IFERROR(VLOOKUP(B700,TblArticles,3,FALSE),""))</f>
        <v/>
      </c>
      <c r="E700" s="9">
        <f>IFERROR(DATE(2000+VALUE(MID(A700,FIND("15",A700,FIND("01",A700)+16)+2,2)),VALUE(MID(A700,FIND("15",A700,FIND("01",A700)+16)+4,2)),VALUE(MID(A700,FIND("15",A700,FIND("01",A700)+16)+6,2))),"")</f>
        <v/>
      </c>
      <c r="F700" s="8">
        <f>IFERROR(MID(A700,FIND("10",A700,FIND("15",A700,FIND("01",A700)+16)+8)+2,50),"")</f>
        <v/>
      </c>
      <c r="G700" s="8" t="n"/>
    </row>
    <row r="701">
      <c r="A701" s="4" t="n"/>
      <c r="B701" s="5">
        <f>IFERROR(MID(A701,FIND("01",A701)+2,14),"")</f>
        <v/>
      </c>
      <c r="C701" s="4">
        <f>IF(A701="","",IFERROR(VLOOKUP(B701,TblArticles,2,FALSE),"GTIN inconnu"))</f>
        <v/>
      </c>
      <c r="D701" s="5">
        <f>IF(A701="","",IFERROR(VLOOKUP(B701,TblArticles,3,FALSE),""))</f>
        <v/>
      </c>
      <c r="E701" s="6">
        <f>IFERROR(DATE(2000+VALUE(MID(A701,FIND("15",A701,FIND("01",A701)+16)+2,2)),VALUE(MID(A701,FIND("15",A701,FIND("01",A701)+16)+4,2)),VALUE(MID(A701,FIND("15",A701,FIND("01",A701)+16)+6,2))),"")</f>
        <v/>
      </c>
      <c r="F701" s="5">
        <f>IFERROR(MID(A701,FIND("10",A701,FIND("15",A701,FIND("01",A701)+16)+8)+2,50),"")</f>
        <v/>
      </c>
      <c r="G701" s="5" t="n"/>
    </row>
    <row r="702">
      <c r="A702" s="7" t="n"/>
      <c r="B702" s="8">
        <f>IFERROR(MID(A702,FIND("01",A702)+2,14),"")</f>
        <v/>
      </c>
      <c r="C702" s="7">
        <f>IF(A702="","",IFERROR(VLOOKUP(B702,TblArticles,2,FALSE),"GTIN inconnu"))</f>
        <v/>
      </c>
      <c r="D702" s="8">
        <f>IF(A702="","",IFERROR(VLOOKUP(B702,TblArticles,3,FALSE),""))</f>
        <v/>
      </c>
      <c r="E702" s="9">
        <f>IFERROR(DATE(2000+VALUE(MID(A702,FIND("15",A702,FIND("01",A702)+16)+2,2)),VALUE(MID(A702,FIND("15",A702,FIND("01",A702)+16)+4,2)),VALUE(MID(A702,FIND("15",A702,FIND("01",A702)+16)+6,2))),"")</f>
        <v/>
      </c>
      <c r="F702" s="8">
        <f>IFERROR(MID(A702,FIND("10",A702,FIND("15",A702,FIND("01",A702)+16)+8)+2,50),"")</f>
        <v/>
      </c>
      <c r="G702" s="8" t="n"/>
    </row>
    <row r="703">
      <c r="A703" s="4" t="n"/>
      <c r="B703" s="5">
        <f>IFERROR(MID(A703,FIND("01",A703)+2,14),"")</f>
        <v/>
      </c>
      <c r="C703" s="4">
        <f>IF(A703="","",IFERROR(VLOOKUP(B703,TblArticles,2,FALSE),"GTIN inconnu"))</f>
        <v/>
      </c>
      <c r="D703" s="5">
        <f>IF(A703="","",IFERROR(VLOOKUP(B703,TblArticles,3,FALSE),""))</f>
        <v/>
      </c>
      <c r="E703" s="6">
        <f>IFERROR(DATE(2000+VALUE(MID(A703,FIND("15",A703,FIND("01",A703)+16)+2,2)),VALUE(MID(A703,FIND("15",A703,FIND("01",A703)+16)+4,2)),VALUE(MID(A703,FIND("15",A703,FIND("01",A703)+16)+6,2))),"")</f>
        <v/>
      </c>
      <c r="F703" s="5">
        <f>IFERROR(MID(A703,FIND("10",A703,FIND("15",A703,FIND("01",A703)+16)+8)+2,50),"")</f>
        <v/>
      </c>
      <c r="G703" s="5" t="n"/>
    </row>
    <row r="704">
      <c r="A704" s="7" t="n"/>
      <c r="B704" s="8">
        <f>IFERROR(MID(A704,FIND("01",A704)+2,14),"")</f>
        <v/>
      </c>
      <c r="C704" s="7">
        <f>IF(A704="","",IFERROR(VLOOKUP(B704,TblArticles,2,FALSE),"GTIN inconnu"))</f>
        <v/>
      </c>
      <c r="D704" s="8">
        <f>IF(A704="","",IFERROR(VLOOKUP(B704,TblArticles,3,FALSE),""))</f>
        <v/>
      </c>
      <c r="E704" s="9">
        <f>IFERROR(DATE(2000+VALUE(MID(A704,FIND("15",A704,FIND("01",A704)+16)+2,2)),VALUE(MID(A704,FIND("15",A704,FIND("01",A704)+16)+4,2)),VALUE(MID(A704,FIND("15",A704,FIND("01",A704)+16)+6,2))),"")</f>
        <v/>
      </c>
      <c r="F704" s="8">
        <f>IFERROR(MID(A704,FIND("10",A704,FIND("15",A704,FIND("01",A704)+16)+8)+2,50),"")</f>
        <v/>
      </c>
      <c r="G704" s="8" t="n"/>
    </row>
    <row r="705">
      <c r="A705" s="4" t="n"/>
      <c r="B705" s="5">
        <f>IFERROR(MID(A705,FIND("01",A705)+2,14),"")</f>
        <v/>
      </c>
      <c r="C705" s="4">
        <f>IF(A705="","",IFERROR(VLOOKUP(B705,TblArticles,2,FALSE),"GTIN inconnu"))</f>
        <v/>
      </c>
      <c r="D705" s="5">
        <f>IF(A705="","",IFERROR(VLOOKUP(B705,TblArticles,3,FALSE),""))</f>
        <v/>
      </c>
      <c r="E705" s="6">
        <f>IFERROR(DATE(2000+VALUE(MID(A705,FIND("15",A705,FIND("01",A705)+16)+2,2)),VALUE(MID(A705,FIND("15",A705,FIND("01",A705)+16)+4,2)),VALUE(MID(A705,FIND("15",A705,FIND("01",A705)+16)+6,2))),"")</f>
        <v/>
      </c>
      <c r="F705" s="5">
        <f>IFERROR(MID(A705,FIND("10",A705,FIND("15",A705,FIND("01",A705)+16)+8)+2,50),"")</f>
        <v/>
      </c>
      <c r="G705" s="5" t="n"/>
    </row>
    <row r="706">
      <c r="A706" s="7" t="n"/>
      <c r="B706" s="8">
        <f>IFERROR(MID(A706,FIND("01",A706)+2,14),"")</f>
        <v/>
      </c>
      <c r="C706" s="7">
        <f>IF(A706="","",IFERROR(VLOOKUP(B706,TblArticles,2,FALSE),"GTIN inconnu"))</f>
        <v/>
      </c>
      <c r="D706" s="8">
        <f>IF(A706="","",IFERROR(VLOOKUP(B706,TblArticles,3,FALSE),""))</f>
        <v/>
      </c>
      <c r="E706" s="9">
        <f>IFERROR(DATE(2000+VALUE(MID(A706,FIND("15",A706,FIND("01",A706)+16)+2,2)),VALUE(MID(A706,FIND("15",A706,FIND("01",A706)+16)+4,2)),VALUE(MID(A706,FIND("15",A706,FIND("01",A706)+16)+6,2))),"")</f>
        <v/>
      </c>
      <c r="F706" s="8">
        <f>IFERROR(MID(A706,FIND("10",A706,FIND("15",A706,FIND("01",A706)+16)+8)+2,50),"")</f>
        <v/>
      </c>
      <c r="G706" s="8" t="n"/>
    </row>
    <row r="707">
      <c r="A707" s="4" t="n"/>
      <c r="B707" s="5">
        <f>IFERROR(MID(A707,FIND("01",A707)+2,14),"")</f>
        <v/>
      </c>
      <c r="C707" s="4">
        <f>IF(A707="","",IFERROR(VLOOKUP(B707,TblArticles,2,FALSE),"GTIN inconnu"))</f>
        <v/>
      </c>
      <c r="D707" s="5">
        <f>IF(A707="","",IFERROR(VLOOKUP(B707,TblArticles,3,FALSE),""))</f>
        <v/>
      </c>
      <c r="E707" s="6">
        <f>IFERROR(DATE(2000+VALUE(MID(A707,FIND("15",A707,FIND("01",A707)+16)+2,2)),VALUE(MID(A707,FIND("15",A707,FIND("01",A707)+16)+4,2)),VALUE(MID(A707,FIND("15",A707,FIND("01",A707)+16)+6,2))),"")</f>
        <v/>
      </c>
      <c r="F707" s="5">
        <f>IFERROR(MID(A707,FIND("10",A707,FIND("15",A707,FIND("01",A707)+16)+8)+2,50),"")</f>
        <v/>
      </c>
      <c r="G707" s="5" t="n"/>
    </row>
    <row r="708">
      <c r="A708" s="7" t="n"/>
      <c r="B708" s="8">
        <f>IFERROR(MID(A708,FIND("01",A708)+2,14),"")</f>
        <v/>
      </c>
      <c r="C708" s="7">
        <f>IF(A708="","",IFERROR(VLOOKUP(B708,TblArticles,2,FALSE),"GTIN inconnu"))</f>
        <v/>
      </c>
      <c r="D708" s="8">
        <f>IF(A708="","",IFERROR(VLOOKUP(B708,TblArticles,3,FALSE),""))</f>
        <v/>
      </c>
      <c r="E708" s="9">
        <f>IFERROR(DATE(2000+VALUE(MID(A708,FIND("15",A708,FIND("01",A708)+16)+2,2)),VALUE(MID(A708,FIND("15",A708,FIND("01",A708)+16)+4,2)),VALUE(MID(A708,FIND("15",A708,FIND("01",A708)+16)+6,2))),"")</f>
        <v/>
      </c>
      <c r="F708" s="8">
        <f>IFERROR(MID(A708,FIND("10",A708,FIND("15",A708,FIND("01",A708)+16)+8)+2,50),"")</f>
        <v/>
      </c>
      <c r="G708" s="8" t="n"/>
    </row>
    <row r="709">
      <c r="A709" s="4" t="n"/>
      <c r="B709" s="5">
        <f>IFERROR(MID(A709,FIND("01",A709)+2,14),"")</f>
        <v/>
      </c>
      <c r="C709" s="4">
        <f>IF(A709="","",IFERROR(VLOOKUP(B709,TblArticles,2,FALSE),"GTIN inconnu"))</f>
        <v/>
      </c>
      <c r="D709" s="5">
        <f>IF(A709="","",IFERROR(VLOOKUP(B709,TblArticles,3,FALSE),""))</f>
        <v/>
      </c>
      <c r="E709" s="6">
        <f>IFERROR(DATE(2000+VALUE(MID(A709,FIND("15",A709,FIND("01",A709)+16)+2,2)),VALUE(MID(A709,FIND("15",A709,FIND("01",A709)+16)+4,2)),VALUE(MID(A709,FIND("15",A709,FIND("01",A709)+16)+6,2))),"")</f>
        <v/>
      </c>
      <c r="F709" s="5">
        <f>IFERROR(MID(A709,FIND("10",A709,FIND("15",A709,FIND("01",A709)+16)+8)+2,50),"")</f>
        <v/>
      </c>
      <c r="G709" s="5" t="n"/>
    </row>
    <row r="710">
      <c r="A710" s="7" t="n"/>
      <c r="B710" s="8">
        <f>IFERROR(MID(A710,FIND("01",A710)+2,14),"")</f>
        <v/>
      </c>
      <c r="C710" s="7">
        <f>IF(A710="","",IFERROR(VLOOKUP(B710,TblArticles,2,FALSE),"GTIN inconnu"))</f>
        <v/>
      </c>
      <c r="D710" s="8">
        <f>IF(A710="","",IFERROR(VLOOKUP(B710,TblArticles,3,FALSE),""))</f>
        <v/>
      </c>
      <c r="E710" s="9">
        <f>IFERROR(DATE(2000+VALUE(MID(A710,FIND("15",A710,FIND("01",A710)+16)+2,2)),VALUE(MID(A710,FIND("15",A710,FIND("01",A710)+16)+4,2)),VALUE(MID(A710,FIND("15",A710,FIND("01",A710)+16)+6,2))),"")</f>
        <v/>
      </c>
      <c r="F710" s="8">
        <f>IFERROR(MID(A710,FIND("10",A710,FIND("15",A710,FIND("01",A710)+16)+8)+2,50),"")</f>
        <v/>
      </c>
      <c r="G710" s="8" t="n"/>
    </row>
    <row r="711">
      <c r="A711" s="4" t="n"/>
      <c r="B711" s="5">
        <f>IFERROR(MID(A711,FIND("01",A711)+2,14),"")</f>
        <v/>
      </c>
      <c r="C711" s="4">
        <f>IF(A711="","",IFERROR(VLOOKUP(B711,TblArticles,2,FALSE),"GTIN inconnu"))</f>
        <v/>
      </c>
      <c r="D711" s="5">
        <f>IF(A711="","",IFERROR(VLOOKUP(B711,TblArticles,3,FALSE),""))</f>
        <v/>
      </c>
      <c r="E711" s="6">
        <f>IFERROR(DATE(2000+VALUE(MID(A711,FIND("15",A711,FIND("01",A711)+16)+2,2)),VALUE(MID(A711,FIND("15",A711,FIND("01",A711)+16)+4,2)),VALUE(MID(A711,FIND("15",A711,FIND("01",A711)+16)+6,2))),"")</f>
        <v/>
      </c>
      <c r="F711" s="5">
        <f>IFERROR(MID(A711,FIND("10",A711,FIND("15",A711,FIND("01",A711)+16)+8)+2,50),"")</f>
        <v/>
      </c>
      <c r="G711" s="5" t="n"/>
    </row>
    <row r="712">
      <c r="A712" s="7" t="n"/>
      <c r="B712" s="8">
        <f>IFERROR(MID(A712,FIND("01",A712)+2,14),"")</f>
        <v/>
      </c>
      <c r="C712" s="7">
        <f>IF(A712="","",IFERROR(VLOOKUP(B712,TblArticles,2,FALSE),"GTIN inconnu"))</f>
        <v/>
      </c>
      <c r="D712" s="8">
        <f>IF(A712="","",IFERROR(VLOOKUP(B712,TblArticles,3,FALSE),""))</f>
        <v/>
      </c>
      <c r="E712" s="9">
        <f>IFERROR(DATE(2000+VALUE(MID(A712,FIND("15",A712,FIND("01",A712)+16)+2,2)),VALUE(MID(A712,FIND("15",A712,FIND("01",A712)+16)+4,2)),VALUE(MID(A712,FIND("15",A712,FIND("01",A712)+16)+6,2))),"")</f>
        <v/>
      </c>
      <c r="F712" s="8">
        <f>IFERROR(MID(A712,FIND("10",A712,FIND("15",A712,FIND("01",A712)+16)+8)+2,50),"")</f>
        <v/>
      </c>
      <c r="G712" s="8" t="n"/>
    </row>
    <row r="713">
      <c r="A713" s="4" t="n"/>
      <c r="B713" s="5">
        <f>IFERROR(MID(A713,FIND("01",A713)+2,14),"")</f>
        <v/>
      </c>
      <c r="C713" s="4">
        <f>IF(A713="","",IFERROR(VLOOKUP(B713,TblArticles,2,FALSE),"GTIN inconnu"))</f>
        <v/>
      </c>
      <c r="D713" s="5">
        <f>IF(A713="","",IFERROR(VLOOKUP(B713,TblArticles,3,FALSE),""))</f>
        <v/>
      </c>
      <c r="E713" s="6">
        <f>IFERROR(DATE(2000+VALUE(MID(A713,FIND("15",A713,FIND("01",A713)+16)+2,2)),VALUE(MID(A713,FIND("15",A713,FIND("01",A713)+16)+4,2)),VALUE(MID(A713,FIND("15",A713,FIND("01",A713)+16)+6,2))),"")</f>
        <v/>
      </c>
      <c r="F713" s="5">
        <f>IFERROR(MID(A713,FIND("10",A713,FIND("15",A713,FIND("01",A713)+16)+8)+2,50),"")</f>
        <v/>
      </c>
      <c r="G713" s="5" t="n"/>
    </row>
    <row r="714">
      <c r="A714" s="7" t="n"/>
      <c r="B714" s="8">
        <f>IFERROR(MID(A714,FIND("01",A714)+2,14),"")</f>
        <v/>
      </c>
      <c r="C714" s="7">
        <f>IF(A714="","",IFERROR(VLOOKUP(B714,TblArticles,2,FALSE),"GTIN inconnu"))</f>
        <v/>
      </c>
      <c r="D714" s="8">
        <f>IF(A714="","",IFERROR(VLOOKUP(B714,TblArticles,3,FALSE),""))</f>
        <v/>
      </c>
      <c r="E714" s="9">
        <f>IFERROR(DATE(2000+VALUE(MID(A714,FIND("15",A714,FIND("01",A714)+16)+2,2)),VALUE(MID(A714,FIND("15",A714,FIND("01",A714)+16)+4,2)),VALUE(MID(A714,FIND("15",A714,FIND("01",A714)+16)+6,2))),"")</f>
        <v/>
      </c>
      <c r="F714" s="8">
        <f>IFERROR(MID(A714,FIND("10",A714,FIND("15",A714,FIND("01",A714)+16)+8)+2,50),"")</f>
        <v/>
      </c>
      <c r="G714" s="8" t="n"/>
    </row>
    <row r="715">
      <c r="A715" s="4" t="n"/>
      <c r="B715" s="5">
        <f>IFERROR(MID(A715,FIND("01",A715)+2,14),"")</f>
        <v/>
      </c>
      <c r="C715" s="4">
        <f>IF(A715="","",IFERROR(VLOOKUP(B715,TblArticles,2,FALSE),"GTIN inconnu"))</f>
        <v/>
      </c>
      <c r="D715" s="5">
        <f>IF(A715="","",IFERROR(VLOOKUP(B715,TblArticles,3,FALSE),""))</f>
        <v/>
      </c>
      <c r="E715" s="6">
        <f>IFERROR(DATE(2000+VALUE(MID(A715,FIND("15",A715,FIND("01",A715)+16)+2,2)),VALUE(MID(A715,FIND("15",A715,FIND("01",A715)+16)+4,2)),VALUE(MID(A715,FIND("15",A715,FIND("01",A715)+16)+6,2))),"")</f>
        <v/>
      </c>
      <c r="F715" s="5">
        <f>IFERROR(MID(A715,FIND("10",A715,FIND("15",A715,FIND("01",A715)+16)+8)+2,50),"")</f>
        <v/>
      </c>
      <c r="G715" s="5" t="n"/>
    </row>
    <row r="716">
      <c r="A716" s="7" t="n"/>
      <c r="B716" s="8">
        <f>IFERROR(MID(A716,FIND("01",A716)+2,14),"")</f>
        <v/>
      </c>
      <c r="C716" s="7">
        <f>IF(A716="","",IFERROR(VLOOKUP(B716,TblArticles,2,FALSE),"GTIN inconnu"))</f>
        <v/>
      </c>
      <c r="D716" s="8">
        <f>IF(A716="","",IFERROR(VLOOKUP(B716,TblArticles,3,FALSE),""))</f>
        <v/>
      </c>
      <c r="E716" s="9">
        <f>IFERROR(DATE(2000+VALUE(MID(A716,FIND("15",A716,FIND("01",A716)+16)+2,2)),VALUE(MID(A716,FIND("15",A716,FIND("01",A716)+16)+4,2)),VALUE(MID(A716,FIND("15",A716,FIND("01",A716)+16)+6,2))),"")</f>
        <v/>
      </c>
      <c r="F716" s="8">
        <f>IFERROR(MID(A716,FIND("10",A716,FIND("15",A716,FIND("01",A716)+16)+8)+2,50),"")</f>
        <v/>
      </c>
      <c r="G716" s="8" t="n"/>
    </row>
    <row r="717">
      <c r="A717" s="4" t="n"/>
      <c r="B717" s="5">
        <f>IFERROR(MID(A717,FIND("01",A717)+2,14),"")</f>
        <v/>
      </c>
      <c r="C717" s="4">
        <f>IF(A717="","",IFERROR(VLOOKUP(B717,TblArticles,2,FALSE),"GTIN inconnu"))</f>
        <v/>
      </c>
      <c r="D717" s="5">
        <f>IF(A717="","",IFERROR(VLOOKUP(B717,TblArticles,3,FALSE),""))</f>
        <v/>
      </c>
      <c r="E717" s="6">
        <f>IFERROR(DATE(2000+VALUE(MID(A717,FIND("15",A717,FIND("01",A717)+16)+2,2)),VALUE(MID(A717,FIND("15",A717,FIND("01",A717)+16)+4,2)),VALUE(MID(A717,FIND("15",A717,FIND("01",A717)+16)+6,2))),"")</f>
        <v/>
      </c>
      <c r="F717" s="5">
        <f>IFERROR(MID(A717,FIND("10",A717,FIND("15",A717,FIND("01",A717)+16)+8)+2,50),"")</f>
        <v/>
      </c>
      <c r="G717" s="5" t="n"/>
    </row>
    <row r="718">
      <c r="A718" s="7" t="n"/>
      <c r="B718" s="8">
        <f>IFERROR(MID(A718,FIND("01",A718)+2,14),"")</f>
        <v/>
      </c>
      <c r="C718" s="7">
        <f>IF(A718="","",IFERROR(VLOOKUP(B718,TblArticles,2,FALSE),"GTIN inconnu"))</f>
        <v/>
      </c>
      <c r="D718" s="8">
        <f>IF(A718="","",IFERROR(VLOOKUP(B718,TblArticles,3,FALSE),""))</f>
        <v/>
      </c>
      <c r="E718" s="9">
        <f>IFERROR(DATE(2000+VALUE(MID(A718,FIND("15",A718,FIND("01",A718)+16)+2,2)),VALUE(MID(A718,FIND("15",A718,FIND("01",A718)+16)+4,2)),VALUE(MID(A718,FIND("15",A718,FIND("01",A718)+16)+6,2))),"")</f>
        <v/>
      </c>
      <c r="F718" s="8">
        <f>IFERROR(MID(A718,FIND("10",A718,FIND("15",A718,FIND("01",A718)+16)+8)+2,50),"")</f>
        <v/>
      </c>
      <c r="G718" s="8" t="n"/>
    </row>
    <row r="719">
      <c r="A719" s="4" t="n"/>
      <c r="B719" s="5">
        <f>IFERROR(MID(A719,FIND("01",A719)+2,14),"")</f>
        <v/>
      </c>
      <c r="C719" s="4">
        <f>IF(A719="","",IFERROR(VLOOKUP(B719,TblArticles,2,FALSE),"GTIN inconnu"))</f>
        <v/>
      </c>
      <c r="D719" s="5">
        <f>IF(A719="","",IFERROR(VLOOKUP(B719,TblArticles,3,FALSE),""))</f>
        <v/>
      </c>
      <c r="E719" s="6">
        <f>IFERROR(DATE(2000+VALUE(MID(A719,FIND("15",A719,FIND("01",A719)+16)+2,2)),VALUE(MID(A719,FIND("15",A719,FIND("01",A719)+16)+4,2)),VALUE(MID(A719,FIND("15",A719,FIND("01",A719)+16)+6,2))),"")</f>
        <v/>
      </c>
      <c r="F719" s="5">
        <f>IFERROR(MID(A719,FIND("10",A719,FIND("15",A719,FIND("01",A719)+16)+8)+2,50),"")</f>
        <v/>
      </c>
      <c r="G719" s="5" t="n"/>
    </row>
    <row r="720">
      <c r="A720" s="7" t="n"/>
      <c r="B720" s="8">
        <f>IFERROR(MID(A720,FIND("01",A720)+2,14),"")</f>
        <v/>
      </c>
      <c r="C720" s="7">
        <f>IF(A720="","",IFERROR(VLOOKUP(B720,TblArticles,2,FALSE),"GTIN inconnu"))</f>
        <v/>
      </c>
      <c r="D720" s="8">
        <f>IF(A720="","",IFERROR(VLOOKUP(B720,TblArticles,3,FALSE),""))</f>
        <v/>
      </c>
      <c r="E720" s="9">
        <f>IFERROR(DATE(2000+VALUE(MID(A720,FIND("15",A720,FIND("01",A720)+16)+2,2)),VALUE(MID(A720,FIND("15",A720,FIND("01",A720)+16)+4,2)),VALUE(MID(A720,FIND("15",A720,FIND("01",A720)+16)+6,2))),"")</f>
        <v/>
      </c>
      <c r="F720" s="8">
        <f>IFERROR(MID(A720,FIND("10",A720,FIND("15",A720,FIND("01",A720)+16)+8)+2,50),"")</f>
        <v/>
      </c>
      <c r="G720" s="8" t="n"/>
    </row>
    <row r="721">
      <c r="A721" s="4" t="n"/>
      <c r="B721" s="5">
        <f>IFERROR(MID(A721,FIND("01",A721)+2,14),"")</f>
        <v/>
      </c>
      <c r="C721" s="4">
        <f>IF(A721="","",IFERROR(VLOOKUP(B721,TblArticles,2,FALSE),"GTIN inconnu"))</f>
        <v/>
      </c>
      <c r="D721" s="5">
        <f>IF(A721="","",IFERROR(VLOOKUP(B721,TblArticles,3,FALSE),""))</f>
        <v/>
      </c>
      <c r="E721" s="6">
        <f>IFERROR(DATE(2000+VALUE(MID(A721,FIND("15",A721,FIND("01",A721)+16)+2,2)),VALUE(MID(A721,FIND("15",A721,FIND("01",A721)+16)+4,2)),VALUE(MID(A721,FIND("15",A721,FIND("01",A721)+16)+6,2))),"")</f>
        <v/>
      </c>
      <c r="F721" s="5">
        <f>IFERROR(MID(A721,FIND("10",A721,FIND("15",A721,FIND("01",A721)+16)+8)+2,50),"")</f>
        <v/>
      </c>
      <c r="G721" s="5" t="n"/>
    </row>
    <row r="722">
      <c r="A722" s="7" t="n"/>
      <c r="B722" s="8">
        <f>IFERROR(MID(A722,FIND("01",A722)+2,14),"")</f>
        <v/>
      </c>
      <c r="C722" s="7">
        <f>IF(A722="","",IFERROR(VLOOKUP(B722,TblArticles,2,FALSE),"GTIN inconnu"))</f>
        <v/>
      </c>
      <c r="D722" s="8">
        <f>IF(A722="","",IFERROR(VLOOKUP(B722,TblArticles,3,FALSE),""))</f>
        <v/>
      </c>
      <c r="E722" s="9">
        <f>IFERROR(DATE(2000+VALUE(MID(A722,FIND("15",A722,FIND("01",A722)+16)+2,2)),VALUE(MID(A722,FIND("15",A722,FIND("01",A722)+16)+4,2)),VALUE(MID(A722,FIND("15",A722,FIND("01",A722)+16)+6,2))),"")</f>
        <v/>
      </c>
      <c r="F722" s="8">
        <f>IFERROR(MID(A722,FIND("10",A722,FIND("15",A722,FIND("01",A722)+16)+8)+2,50),"")</f>
        <v/>
      </c>
      <c r="G722" s="8" t="n"/>
    </row>
    <row r="723">
      <c r="A723" s="4" t="n"/>
      <c r="B723" s="5">
        <f>IFERROR(MID(A723,FIND("01",A723)+2,14),"")</f>
        <v/>
      </c>
      <c r="C723" s="4">
        <f>IF(A723="","",IFERROR(VLOOKUP(B723,TblArticles,2,FALSE),"GTIN inconnu"))</f>
        <v/>
      </c>
      <c r="D723" s="5">
        <f>IF(A723="","",IFERROR(VLOOKUP(B723,TblArticles,3,FALSE),""))</f>
        <v/>
      </c>
      <c r="E723" s="6">
        <f>IFERROR(DATE(2000+VALUE(MID(A723,FIND("15",A723,FIND("01",A723)+16)+2,2)),VALUE(MID(A723,FIND("15",A723,FIND("01",A723)+16)+4,2)),VALUE(MID(A723,FIND("15",A723,FIND("01",A723)+16)+6,2))),"")</f>
        <v/>
      </c>
      <c r="F723" s="5">
        <f>IFERROR(MID(A723,FIND("10",A723,FIND("15",A723,FIND("01",A723)+16)+8)+2,50),"")</f>
        <v/>
      </c>
      <c r="G723" s="5" t="n"/>
    </row>
    <row r="724">
      <c r="A724" s="7" t="n"/>
      <c r="B724" s="8">
        <f>IFERROR(MID(A724,FIND("01",A724)+2,14),"")</f>
        <v/>
      </c>
      <c r="C724" s="7">
        <f>IF(A724="","",IFERROR(VLOOKUP(B724,TblArticles,2,FALSE),"GTIN inconnu"))</f>
        <v/>
      </c>
      <c r="D724" s="8">
        <f>IF(A724="","",IFERROR(VLOOKUP(B724,TblArticles,3,FALSE),""))</f>
        <v/>
      </c>
      <c r="E724" s="9">
        <f>IFERROR(DATE(2000+VALUE(MID(A724,FIND("15",A724,FIND("01",A724)+16)+2,2)),VALUE(MID(A724,FIND("15",A724,FIND("01",A724)+16)+4,2)),VALUE(MID(A724,FIND("15",A724,FIND("01",A724)+16)+6,2))),"")</f>
        <v/>
      </c>
      <c r="F724" s="8">
        <f>IFERROR(MID(A724,FIND("10",A724,FIND("15",A724,FIND("01",A724)+16)+8)+2,50),"")</f>
        <v/>
      </c>
      <c r="G724" s="8" t="n"/>
    </row>
    <row r="725">
      <c r="A725" s="4" t="n"/>
      <c r="B725" s="5">
        <f>IFERROR(MID(A725,FIND("01",A725)+2,14),"")</f>
        <v/>
      </c>
      <c r="C725" s="4">
        <f>IF(A725="","",IFERROR(VLOOKUP(B725,TblArticles,2,FALSE),"GTIN inconnu"))</f>
        <v/>
      </c>
      <c r="D725" s="5">
        <f>IF(A725="","",IFERROR(VLOOKUP(B725,TblArticles,3,FALSE),""))</f>
        <v/>
      </c>
      <c r="E725" s="6">
        <f>IFERROR(DATE(2000+VALUE(MID(A725,FIND("15",A725,FIND("01",A725)+16)+2,2)),VALUE(MID(A725,FIND("15",A725,FIND("01",A725)+16)+4,2)),VALUE(MID(A725,FIND("15",A725,FIND("01",A725)+16)+6,2))),"")</f>
        <v/>
      </c>
      <c r="F725" s="5">
        <f>IFERROR(MID(A725,FIND("10",A725,FIND("15",A725,FIND("01",A725)+16)+8)+2,50),"")</f>
        <v/>
      </c>
      <c r="G725" s="5" t="n"/>
    </row>
    <row r="726">
      <c r="A726" s="7" t="n"/>
      <c r="B726" s="8">
        <f>IFERROR(MID(A726,FIND("01",A726)+2,14),"")</f>
        <v/>
      </c>
      <c r="C726" s="7">
        <f>IF(A726="","",IFERROR(VLOOKUP(B726,TblArticles,2,FALSE),"GTIN inconnu"))</f>
        <v/>
      </c>
      <c r="D726" s="8">
        <f>IF(A726="","",IFERROR(VLOOKUP(B726,TblArticles,3,FALSE),""))</f>
        <v/>
      </c>
      <c r="E726" s="9">
        <f>IFERROR(DATE(2000+VALUE(MID(A726,FIND("15",A726,FIND("01",A726)+16)+2,2)),VALUE(MID(A726,FIND("15",A726,FIND("01",A726)+16)+4,2)),VALUE(MID(A726,FIND("15",A726,FIND("01",A726)+16)+6,2))),"")</f>
        <v/>
      </c>
      <c r="F726" s="8">
        <f>IFERROR(MID(A726,FIND("10",A726,FIND("15",A726,FIND("01",A726)+16)+8)+2,50),"")</f>
        <v/>
      </c>
      <c r="G726" s="8" t="n"/>
    </row>
    <row r="727">
      <c r="A727" s="4" t="n"/>
      <c r="B727" s="5">
        <f>IFERROR(MID(A727,FIND("01",A727)+2,14),"")</f>
        <v/>
      </c>
      <c r="C727" s="4">
        <f>IF(A727="","",IFERROR(VLOOKUP(B727,TblArticles,2,FALSE),"GTIN inconnu"))</f>
        <v/>
      </c>
      <c r="D727" s="5">
        <f>IF(A727="","",IFERROR(VLOOKUP(B727,TblArticles,3,FALSE),""))</f>
        <v/>
      </c>
      <c r="E727" s="6">
        <f>IFERROR(DATE(2000+VALUE(MID(A727,FIND("15",A727,FIND("01",A727)+16)+2,2)),VALUE(MID(A727,FIND("15",A727,FIND("01",A727)+16)+4,2)),VALUE(MID(A727,FIND("15",A727,FIND("01",A727)+16)+6,2))),"")</f>
        <v/>
      </c>
      <c r="F727" s="5">
        <f>IFERROR(MID(A727,FIND("10",A727,FIND("15",A727,FIND("01",A727)+16)+8)+2,50),"")</f>
        <v/>
      </c>
      <c r="G727" s="5" t="n"/>
    </row>
    <row r="728">
      <c r="A728" s="7" t="n"/>
      <c r="B728" s="8">
        <f>IFERROR(MID(A728,FIND("01",A728)+2,14),"")</f>
        <v/>
      </c>
      <c r="C728" s="7">
        <f>IF(A728="","",IFERROR(VLOOKUP(B728,TblArticles,2,FALSE),"GTIN inconnu"))</f>
        <v/>
      </c>
      <c r="D728" s="8">
        <f>IF(A728="","",IFERROR(VLOOKUP(B728,TblArticles,3,FALSE),""))</f>
        <v/>
      </c>
      <c r="E728" s="9">
        <f>IFERROR(DATE(2000+VALUE(MID(A728,FIND("15",A728,FIND("01",A728)+16)+2,2)),VALUE(MID(A728,FIND("15",A728,FIND("01",A728)+16)+4,2)),VALUE(MID(A728,FIND("15",A728,FIND("01",A728)+16)+6,2))),"")</f>
        <v/>
      </c>
      <c r="F728" s="8">
        <f>IFERROR(MID(A728,FIND("10",A728,FIND("15",A728,FIND("01",A728)+16)+8)+2,50),"")</f>
        <v/>
      </c>
      <c r="G728" s="8" t="n"/>
    </row>
    <row r="729">
      <c r="A729" s="4" t="n"/>
      <c r="B729" s="5">
        <f>IFERROR(MID(A729,FIND("01",A729)+2,14),"")</f>
        <v/>
      </c>
      <c r="C729" s="4">
        <f>IF(A729="","",IFERROR(VLOOKUP(B729,TblArticles,2,FALSE),"GTIN inconnu"))</f>
        <v/>
      </c>
      <c r="D729" s="5">
        <f>IF(A729="","",IFERROR(VLOOKUP(B729,TblArticles,3,FALSE),""))</f>
        <v/>
      </c>
      <c r="E729" s="6">
        <f>IFERROR(DATE(2000+VALUE(MID(A729,FIND("15",A729,FIND("01",A729)+16)+2,2)),VALUE(MID(A729,FIND("15",A729,FIND("01",A729)+16)+4,2)),VALUE(MID(A729,FIND("15",A729,FIND("01",A729)+16)+6,2))),"")</f>
        <v/>
      </c>
      <c r="F729" s="5">
        <f>IFERROR(MID(A729,FIND("10",A729,FIND("15",A729,FIND("01",A729)+16)+8)+2,50),"")</f>
        <v/>
      </c>
      <c r="G729" s="5" t="n"/>
    </row>
    <row r="730">
      <c r="A730" s="7" t="n"/>
      <c r="B730" s="8">
        <f>IFERROR(MID(A730,FIND("01",A730)+2,14),"")</f>
        <v/>
      </c>
      <c r="C730" s="7">
        <f>IF(A730="","",IFERROR(VLOOKUP(B730,TblArticles,2,FALSE),"GTIN inconnu"))</f>
        <v/>
      </c>
      <c r="D730" s="8">
        <f>IF(A730="","",IFERROR(VLOOKUP(B730,TblArticles,3,FALSE),""))</f>
        <v/>
      </c>
      <c r="E730" s="9">
        <f>IFERROR(DATE(2000+VALUE(MID(A730,FIND("15",A730,FIND("01",A730)+16)+2,2)),VALUE(MID(A730,FIND("15",A730,FIND("01",A730)+16)+4,2)),VALUE(MID(A730,FIND("15",A730,FIND("01",A730)+16)+6,2))),"")</f>
        <v/>
      </c>
      <c r="F730" s="8">
        <f>IFERROR(MID(A730,FIND("10",A730,FIND("15",A730,FIND("01",A730)+16)+8)+2,50),"")</f>
        <v/>
      </c>
      <c r="G730" s="8" t="n"/>
    </row>
    <row r="731">
      <c r="A731" s="4" t="n"/>
      <c r="B731" s="5">
        <f>IFERROR(MID(A731,FIND("01",A731)+2,14),"")</f>
        <v/>
      </c>
      <c r="C731" s="4">
        <f>IF(A731="","",IFERROR(VLOOKUP(B731,TblArticles,2,FALSE),"GTIN inconnu"))</f>
        <v/>
      </c>
      <c r="D731" s="5">
        <f>IF(A731="","",IFERROR(VLOOKUP(B731,TblArticles,3,FALSE),""))</f>
        <v/>
      </c>
      <c r="E731" s="6">
        <f>IFERROR(DATE(2000+VALUE(MID(A731,FIND("15",A731,FIND("01",A731)+16)+2,2)),VALUE(MID(A731,FIND("15",A731,FIND("01",A731)+16)+4,2)),VALUE(MID(A731,FIND("15",A731,FIND("01",A731)+16)+6,2))),"")</f>
        <v/>
      </c>
      <c r="F731" s="5">
        <f>IFERROR(MID(A731,FIND("10",A731,FIND("15",A731,FIND("01",A731)+16)+8)+2,50),"")</f>
        <v/>
      </c>
      <c r="G731" s="5" t="n"/>
    </row>
    <row r="732">
      <c r="A732" s="7" t="n"/>
      <c r="B732" s="8">
        <f>IFERROR(MID(A732,FIND("01",A732)+2,14),"")</f>
        <v/>
      </c>
      <c r="C732" s="7">
        <f>IF(A732="","",IFERROR(VLOOKUP(B732,TblArticles,2,FALSE),"GTIN inconnu"))</f>
        <v/>
      </c>
      <c r="D732" s="8">
        <f>IF(A732="","",IFERROR(VLOOKUP(B732,TblArticles,3,FALSE),""))</f>
        <v/>
      </c>
      <c r="E732" s="9">
        <f>IFERROR(DATE(2000+VALUE(MID(A732,FIND("15",A732,FIND("01",A732)+16)+2,2)),VALUE(MID(A732,FIND("15",A732,FIND("01",A732)+16)+4,2)),VALUE(MID(A732,FIND("15",A732,FIND("01",A732)+16)+6,2))),"")</f>
        <v/>
      </c>
      <c r="F732" s="8">
        <f>IFERROR(MID(A732,FIND("10",A732,FIND("15",A732,FIND("01",A732)+16)+8)+2,50),"")</f>
        <v/>
      </c>
      <c r="G732" s="8" t="n"/>
    </row>
    <row r="733">
      <c r="A733" s="4" t="n"/>
      <c r="B733" s="5">
        <f>IFERROR(MID(A733,FIND("01",A733)+2,14),"")</f>
        <v/>
      </c>
      <c r="C733" s="4">
        <f>IF(A733="","",IFERROR(VLOOKUP(B733,TblArticles,2,FALSE),"GTIN inconnu"))</f>
        <v/>
      </c>
      <c r="D733" s="5">
        <f>IF(A733="","",IFERROR(VLOOKUP(B733,TblArticles,3,FALSE),""))</f>
        <v/>
      </c>
      <c r="E733" s="6">
        <f>IFERROR(DATE(2000+VALUE(MID(A733,FIND("15",A733,FIND("01",A733)+16)+2,2)),VALUE(MID(A733,FIND("15",A733,FIND("01",A733)+16)+4,2)),VALUE(MID(A733,FIND("15",A733,FIND("01",A733)+16)+6,2))),"")</f>
        <v/>
      </c>
      <c r="F733" s="5">
        <f>IFERROR(MID(A733,FIND("10",A733,FIND("15",A733,FIND("01",A733)+16)+8)+2,50),"")</f>
        <v/>
      </c>
      <c r="G733" s="5" t="n"/>
    </row>
    <row r="734">
      <c r="A734" s="7" t="n"/>
      <c r="B734" s="8">
        <f>IFERROR(MID(A734,FIND("01",A734)+2,14),"")</f>
        <v/>
      </c>
      <c r="C734" s="7">
        <f>IF(A734="","",IFERROR(VLOOKUP(B734,TblArticles,2,FALSE),"GTIN inconnu"))</f>
        <v/>
      </c>
      <c r="D734" s="8">
        <f>IF(A734="","",IFERROR(VLOOKUP(B734,TblArticles,3,FALSE),""))</f>
        <v/>
      </c>
      <c r="E734" s="9">
        <f>IFERROR(DATE(2000+VALUE(MID(A734,FIND("15",A734,FIND("01",A734)+16)+2,2)),VALUE(MID(A734,FIND("15",A734,FIND("01",A734)+16)+4,2)),VALUE(MID(A734,FIND("15",A734,FIND("01",A734)+16)+6,2))),"")</f>
        <v/>
      </c>
      <c r="F734" s="8">
        <f>IFERROR(MID(A734,FIND("10",A734,FIND("15",A734,FIND("01",A734)+16)+8)+2,50),"")</f>
        <v/>
      </c>
      <c r="G734" s="8" t="n"/>
    </row>
    <row r="735">
      <c r="A735" s="4" t="n"/>
      <c r="B735" s="5">
        <f>IFERROR(MID(A735,FIND("01",A735)+2,14),"")</f>
        <v/>
      </c>
      <c r="C735" s="4">
        <f>IF(A735="","",IFERROR(VLOOKUP(B735,TblArticles,2,FALSE),"GTIN inconnu"))</f>
        <v/>
      </c>
      <c r="D735" s="5">
        <f>IF(A735="","",IFERROR(VLOOKUP(B735,TblArticles,3,FALSE),""))</f>
        <v/>
      </c>
      <c r="E735" s="6">
        <f>IFERROR(DATE(2000+VALUE(MID(A735,FIND("15",A735,FIND("01",A735)+16)+2,2)),VALUE(MID(A735,FIND("15",A735,FIND("01",A735)+16)+4,2)),VALUE(MID(A735,FIND("15",A735,FIND("01",A735)+16)+6,2))),"")</f>
        <v/>
      </c>
      <c r="F735" s="5">
        <f>IFERROR(MID(A735,FIND("10",A735,FIND("15",A735,FIND("01",A735)+16)+8)+2,50),"")</f>
        <v/>
      </c>
      <c r="G735" s="5" t="n"/>
    </row>
    <row r="736">
      <c r="A736" s="7" t="n"/>
      <c r="B736" s="8">
        <f>IFERROR(MID(A736,FIND("01",A736)+2,14),"")</f>
        <v/>
      </c>
      <c r="C736" s="7">
        <f>IF(A736="","",IFERROR(VLOOKUP(B736,TblArticles,2,FALSE),"GTIN inconnu"))</f>
        <v/>
      </c>
      <c r="D736" s="8">
        <f>IF(A736="","",IFERROR(VLOOKUP(B736,TblArticles,3,FALSE),""))</f>
        <v/>
      </c>
      <c r="E736" s="9">
        <f>IFERROR(DATE(2000+VALUE(MID(A736,FIND("15",A736,FIND("01",A736)+16)+2,2)),VALUE(MID(A736,FIND("15",A736,FIND("01",A736)+16)+4,2)),VALUE(MID(A736,FIND("15",A736,FIND("01",A736)+16)+6,2))),"")</f>
        <v/>
      </c>
      <c r="F736" s="8">
        <f>IFERROR(MID(A736,FIND("10",A736,FIND("15",A736,FIND("01",A736)+16)+8)+2,50),"")</f>
        <v/>
      </c>
      <c r="G736" s="8" t="n"/>
    </row>
    <row r="737">
      <c r="A737" s="4" t="n"/>
      <c r="B737" s="5">
        <f>IFERROR(MID(A737,FIND("01",A737)+2,14),"")</f>
        <v/>
      </c>
      <c r="C737" s="4">
        <f>IF(A737="","",IFERROR(VLOOKUP(B737,TblArticles,2,FALSE),"GTIN inconnu"))</f>
        <v/>
      </c>
      <c r="D737" s="5">
        <f>IF(A737="","",IFERROR(VLOOKUP(B737,TblArticles,3,FALSE),""))</f>
        <v/>
      </c>
      <c r="E737" s="6">
        <f>IFERROR(DATE(2000+VALUE(MID(A737,FIND("15",A737,FIND("01",A737)+16)+2,2)),VALUE(MID(A737,FIND("15",A737,FIND("01",A737)+16)+4,2)),VALUE(MID(A737,FIND("15",A737,FIND("01",A737)+16)+6,2))),"")</f>
        <v/>
      </c>
      <c r="F737" s="5">
        <f>IFERROR(MID(A737,FIND("10",A737,FIND("15",A737,FIND("01",A737)+16)+8)+2,50),"")</f>
        <v/>
      </c>
      <c r="G737" s="5" t="n"/>
    </row>
    <row r="738">
      <c r="A738" s="7" t="n"/>
      <c r="B738" s="8">
        <f>IFERROR(MID(A738,FIND("01",A738)+2,14),"")</f>
        <v/>
      </c>
      <c r="C738" s="7">
        <f>IF(A738="","",IFERROR(VLOOKUP(B738,TblArticles,2,FALSE),"GTIN inconnu"))</f>
        <v/>
      </c>
      <c r="D738" s="8">
        <f>IF(A738="","",IFERROR(VLOOKUP(B738,TblArticles,3,FALSE),""))</f>
        <v/>
      </c>
      <c r="E738" s="9">
        <f>IFERROR(DATE(2000+VALUE(MID(A738,FIND("15",A738,FIND("01",A738)+16)+2,2)),VALUE(MID(A738,FIND("15",A738,FIND("01",A738)+16)+4,2)),VALUE(MID(A738,FIND("15",A738,FIND("01",A738)+16)+6,2))),"")</f>
        <v/>
      </c>
      <c r="F738" s="8">
        <f>IFERROR(MID(A738,FIND("10",A738,FIND("15",A738,FIND("01",A738)+16)+8)+2,50),"")</f>
        <v/>
      </c>
      <c r="G738" s="8" t="n"/>
    </row>
    <row r="739">
      <c r="A739" s="4" t="n"/>
      <c r="B739" s="5">
        <f>IFERROR(MID(A739,FIND("01",A739)+2,14),"")</f>
        <v/>
      </c>
      <c r="C739" s="4">
        <f>IF(A739="","",IFERROR(VLOOKUP(B739,TblArticles,2,FALSE),"GTIN inconnu"))</f>
        <v/>
      </c>
      <c r="D739" s="5">
        <f>IF(A739="","",IFERROR(VLOOKUP(B739,TblArticles,3,FALSE),""))</f>
        <v/>
      </c>
      <c r="E739" s="6">
        <f>IFERROR(DATE(2000+VALUE(MID(A739,FIND("15",A739,FIND("01",A739)+16)+2,2)),VALUE(MID(A739,FIND("15",A739,FIND("01",A739)+16)+4,2)),VALUE(MID(A739,FIND("15",A739,FIND("01",A739)+16)+6,2))),"")</f>
        <v/>
      </c>
      <c r="F739" s="5">
        <f>IFERROR(MID(A739,FIND("10",A739,FIND("15",A739,FIND("01",A739)+16)+8)+2,50),"")</f>
        <v/>
      </c>
      <c r="G739" s="5" t="n"/>
    </row>
    <row r="740">
      <c r="A740" s="7" t="n"/>
      <c r="B740" s="8">
        <f>IFERROR(MID(A740,FIND("01",A740)+2,14),"")</f>
        <v/>
      </c>
      <c r="C740" s="7">
        <f>IF(A740="","",IFERROR(VLOOKUP(B740,TblArticles,2,FALSE),"GTIN inconnu"))</f>
        <v/>
      </c>
      <c r="D740" s="8">
        <f>IF(A740="","",IFERROR(VLOOKUP(B740,TblArticles,3,FALSE),""))</f>
        <v/>
      </c>
      <c r="E740" s="9">
        <f>IFERROR(DATE(2000+VALUE(MID(A740,FIND("15",A740,FIND("01",A740)+16)+2,2)),VALUE(MID(A740,FIND("15",A740,FIND("01",A740)+16)+4,2)),VALUE(MID(A740,FIND("15",A740,FIND("01",A740)+16)+6,2))),"")</f>
        <v/>
      </c>
      <c r="F740" s="8">
        <f>IFERROR(MID(A740,FIND("10",A740,FIND("15",A740,FIND("01",A740)+16)+8)+2,50),"")</f>
        <v/>
      </c>
      <c r="G740" s="8" t="n"/>
    </row>
    <row r="741">
      <c r="A741" s="4" t="n"/>
      <c r="B741" s="5">
        <f>IFERROR(MID(A741,FIND("01",A741)+2,14),"")</f>
        <v/>
      </c>
      <c r="C741" s="4">
        <f>IF(A741="","",IFERROR(VLOOKUP(B741,TblArticles,2,FALSE),"GTIN inconnu"))</f>
        <v/>
      </c>
      <c r="D741" s="5">
        <f>IF(A741="","",IFERROR(VLOOKUP(B741,TblArticles,3,FALSE),""))</f>
        <v/>
      </c>
      <c r="E741" s="6">
        <f>IFERROR(DATE(2000+VALUE(MID(A741,FIND("15",A741,FIND("01",A741)+16)+2,2)),VALUE(MID(A741,FIND("15",A741,FIND("01",A741)+16)+4,2)),VALUE(MID(A741,FIND("15",A741,FIND("01",A741)+16)+6,2))),"")</f>
        <v/>
      </c>
      <c r="F741" s="5">
        <f>IFERROR(MID(A741,FIND("10",A741,FIND("15",A741,FIND("01",A741)+16)+8)+2,50),"")</f>
        <v/>
      </c>
      <c r="G741" s="5" t="n"/>
    </row>
    <row r="742">
      <c r="A742" s="7" t="n"/>
      <c r="B742" s="8">
        <f>IFERROR(MID(A742,FIND("01",A742)+2,14),"")</f>
        <v/>
      </c>
      <c r="C742" s="7">
        <f>IF(A742="","",IFERROR(VLOOKUP(B742,TblArticles,2,FALSE),"GTIN inconnu"))</f>
        <v/>
      </c>
      <c r="D742" s="8">
        <f>IF(A742="","",IFERROR(VLOOKUP(B742,TblArticles,3,FALSE),""))</f>
        <v/>
      </c>
      <c r="E742" s="9">
        <f>IFERROR(DATE(2000+VALUE(MID(A742,FIND("15",A742,FIND("01",A742)+16)+2,2)),VALUE(MID(A742,FIND("15",A742,FIND("01",A742)+16)+4,2)),VALUE(MID(A742,FIND("15",A742,FIND("01",A742)+16)+6,2))),"")</f>
        <v/>
      </c>
      <c r="F742" s="8">
        <f>IFERROR(MID(A742,FIND("10",A742,FIND("15",A742,FIND("01",A742)+16)+8)+2,50),"")</f>
        <v/>
      </c>
      <c r="G742" s="8" t="n"/>
    </row>
    <row r="743">
      <c r="A743" s="4" t="n"/>
      <c r="B743" s="5">
        <f>IFERROR(MID(A743,FIND("01",A743)+2,14),"")</f>
        <v/>
      </c>
      <c r="C743" s="4">
        <f>IF(A743="","",IFERROR(VLOOKUP(B743,TblArticles,2,FALSE),"GTIN inconnu"))</f>
        <v/>
      </c>
      <c r="D743" s="5">
        <f>IF(A743="","",IFERROR(VLOOKUP(B743,TblArticles,3,FALSE),""))</f>
        <v/>
      </c>
      <c r="E743" s="6">
        <f>IFERROR(DATE(2000+VALUE(MID(A743,FIND("15",A743,FIND("01",A743)+16)+2,2)),VALUE(MID(A743,FIND("15",A743,FIND("01",A743)+16)+4,2)),VALUE(MID(A743,FIND("15",A743,FIND("01",A743)+16)+6,2))),"")</f>
        <v/>
      </c>
      <c r="F743" s="5">
        <f>IFERROR(MID(A743,FIND("10",A743,FIND("15",A743,FIND("01",A743)+16)+8)+2,50),"")</f>
        <v/>
      </c>
      <c r="G743" s="5" t="n"/>
    </row>
    <row r="744">
      <c r="A744" s="7" t="n"/>
      <c r="B744" s="8">
        <f>IFERROR(MID(A744,FIND("01",A744)+2,14),"")</f>
        <v/>
      </c>
      <c r="C744" s="7">
        <f>IF(A744="","",IFERROR(VLOOKUP(B744,TblArticles,2,FALSE),"GTIN inconnu"))</f>
        <v/>
      </c>
      <c r="D744" s="8">
        <f>IF(A744="","",IFERROR(VLOOKUP(B744,TblArticles,3,FALSE),""))</f>
        <v/>
      </c>
      <c r="E744" s="9">
        <f>IFERROR(DATE(2000+VALUE(MID(A744,FIND("15",A744,FIND("01",A744)+16)+2,2)),VALUE(MID(A744,FIND("15",A744,FIND("01",A744)+16)+4,2)),VALUE(MID(A744,FIND("15",A744,FIND("01",A744)+16)+6,2))),"")</f>
        <v/>
      </c>
      <c r="F744" s="8">
        <f>IFERROR(MID(A744,FIND("10",A744,FIND("15",A744,FIND("01",A744)+16)+8)+2,50),"")</f>
        <v/>
      </c>
      <c r="G744" s="8" t="n"/>
    </row>
    <row r="745">
      <c r="A745" s="4" t="n"/>
      <c r="B745" s="5">
        <f>IFERROR(MID(A745,FIND("01",A745)+2,14),"")</f>
        <v/>
      </c>
      <c r="C745" s="4">
        <f>IF(A745="","",IFERROR(VLOOKUP(B745,TblArticles,2,FALSE),"GTIN inconnu"))</f>
        <v/>
      </c>
      <c r="D745" s="5">
        <f>IF(A745="","",IFERROR(VLOOKUP(B745,TblArticles,3,FALSE),""))</f>
        <v/>
      </c>
      <c r="E745" s="6">
        <f>IFERROR(DATE(2000+VALUE(MID(A745,FIND("15",A745,FIND("01",A745)+16)+2,2)),VALUE(MID(A745,FIND("15",A745,FIND("01",A745)+16)+4,2)),VALUE(MID(A745,FIND("15",A745,FIND("01",A745)+16)+6,2))),"")</f>
        <v/>
      </c>
      <c r="F745" s="5">
        <f>IFERROR(MID(A745,FIND("10",A745,FIND("15",A745,FIND("01",A745)+16)+8)+2,50),"")</f>
        <v/>
      </c>
      <c r="G745" s="5" t="n"/>
    </row>
    <row r="746">
      <c r="A746" s="7" t="n"/>
      <c r="B746" s="8">
        <f>IFERROR(MID(A746,FIND("01",A746)+2,14),"")</f>
        <v/>
      </c>
      <c r="C746" s="7">
        <f>IF(A746="","",IFERROR(VLOOKUP(B746,TblArticles,2,FALSE),"GTIN inconnu"))</f>
        <v/>
      </c>
      <c r="D746" s="8">
        <f>IF(A746="","",IFERROR(VLOOKUP(B746,TblArticles,3,FALSE),""))</f>
        <v/>
      </c>
      <c r="E746" s="9">
        <f>IFERROR(DATE(2000+VALUE(MID(A746,FIND("15",A746,FIND("01",A746)+16)+2,2)),VALUE(MID(A746,FIND("15",A746,FIND("01",A746)+16)+4,2)),VALUE(MID(A746,FIND("15",A746,FIND("01",A746)+16)+6,2))),"")</f>
        <v/>
      </c>
      <c r="F746" s="8">
        <f>IFERROR(MID(A746,FIND("10",A746,FIND("15",A746,FIND("01",A746)+16)+8)+2,50),"")</f>
        <v/>
      </c>
      <c r="G746" s="8" t="n"/>
    </row>
    <row r="747">
      <c r="A747" s="4" t="n"/>
      <c r="B747" s="5">
        <f>IFERROR(MID(A747,FIND("01",A747)+2,14),"")</f>
        <v/>
      </c>
      <c r="C747" s="4">
        <f>IF(A747="","",IFERROR(VLOOKUP(B747,TblArticles,2,FALSE),"GTIN inconnu"))</f>
        <v/>
      </c>
      <c r="D747" s="5">
        <f>IF(A747="","",IFERROR(VLOOKUP(B747,TblArticles,3,FALSE),""))</f>
        <v/>
      </c>
      <c r="E747" s="6">
        <f>IFERROR(DATE(2000+VALUE(MID(A747,FIND("15",A747,FIND("01",A747)+16)+2,2)),VALUE(MID(A747,FIND("15",A747,FIND("01",A747)+16)+4,2)),VALUE(MID(A747,FIND("15",A747,FIND("01",A747)+16)+6,2))),"")</f>
        <v/>
      </c>
      <c r="F747" s="5">
        <f>IFERROR(MID(A747,FIND("10",A747,FIND("15",A747,FIND("01",A747)+16)+8)+2,50),"")</f>
        <v/>
      </c>
      <c r="G747" s="5" t="n"/>
    </row>
    <row r="748">
      <c r="A748" s="7" t="n"/>
      <c r="B748" s="8">
        <f>IFERROR(MID(A748,FIND("01",A748)+2,14),"")</f>
        <v/>
      </c>
      <c r="C748" s="7">
        <f>IF(A748="","",IFERROR(VLOOKUP(B748,TblArticles,2,FALSE),"GTIN inconnu"))</f>
        <v/>
      </c>
      <c r="D748" s="8">
        <f>IF(A748="","",IFERROR(VLOOKUP(B748,TblArticles,3,FALSE),""))</f>
        <v/>
      </c>
      <c r="E748" s="9">
        <f>IFERROR(DATE(2000+VALUE(MID(A748,FIND("15",A748,FIND("01",A748)+16)+2,2)),VALUE(MID(A748,FIND("15",A748,FIND("01",A748)+16)+4,2)),VALUE(MID(A748,FIND("15",A748,FIND("01",A748)+16)+6,2))),"")</f>
        <v/>
      </c>
      <c r="F748" s="8">
        <f>IFERROR(MID(A748,FIND("10",A748,FIND("15",A748,FIND("01",A748)+16)+8)+2,50),"")</f>
        <v/>
      </c>
      <c r="G748" s="8" t="n"/>
    </row>
    <row r="749">
      <c r="A749" s="4" t="n"/>
      <c r="B749" s="5">
        <f>IFERROR(MID(A749,FIND("01",A749)+2,14),"")</f>
        <v/>
      </c>
      <c r="C749" s="4">
        <f>IF(A749="","",IFERROR(VLOOKUP(B749,TblArticles,2,FALSE),"GTIN inconnu"))</f>
        <v/>
      </c>
      <c r="D749" s="5">
        <f>IF(A749="","",IFERROR(VLOOKUP(B749,TblArticles,3,FALSE),""))</f>
        <v/>
      </c>
      <c r="E749" s="6">
        <f>IFERROR(DATE(2000+VALUE(MID(A749,FIND("15",A749,FIND("01",A749)+16)+2,2)),VALUE(MID(A749,FIND("15",A749,FIND("01",A749)+16)+4,2)),VALUE(MID(A749,FIND("15",A749,FIND("01",A749)+16)+6,2))),"")</f>
        <v/>
      </c>
      <c r="F749" s="5">
        <f>IFERROR(MID(A749,FIND("10",A749,FIND("15",A749,FIND("01",A749)+16)+8)+2,50),"")</f>
        <v/>
      </c>
      <c r="G749" s="5" t="n"/>
    </row>
    <row r="750">
      <c r="A750" s="7" t="n"/>
      <c r="B750" s="8">
        <f>IFERROR(MID(A750,FIND("01",A750)+2,14),"")</f>
        <v/>
      </c>
      <c r="C750" s="7">
        <f>IF(A750="","",IFERROR(VLOOKUP(B750,TblArticles,2,FALSE),"GTIN inconnu"))</f>
        <v/>
      </c>
      <c r="D750" s="8">
        <f>IF(A750="","",IFERROR(VLOOKUP(B750,TblArticles,3,FALSE),""))</f>
        <v/>
      </c>
      <c r="E750" s="9">
        <f>IFERROR(DATE(2000+VALUE(MID(A750,FIND("15",A750,FIND("01",A750)+16)+2,2)),VALUE(MID(A750,FIND("15",A750,FIND("01",A750)+16)+4,2)),VALUE(MID(A750,FIND("15",A750,FIND("01",A750)+16)+6,2))),"")</f>
        <v/>
      </c>
      <c r="F750" s="8">
        <f>IFERROR(MID(A750,FIND("10",A750,FIND("15",A750,FIND("01",A750)+16)+8)+2,50),"")</f>
        <v/>
      </c>
      <c r="G750" s="8" t="n"/>
    </row>
    <row r="751">
      <c r="A751" s="4" t="n"/>
      <c r="B751" s="5">
        <f>IFERROR(MID(A751,FIND("01",A751)+2,14),"")</f>
        <v/>
      </c>
      <c r="C751" s="4">
        <f>IF(A751="","",IFERROR(VLOOKUP(B751,TblArticles,2,FALSE),"GTIN inconnu"))</f>
        <v/>
      </c>
      <c r="D751" s="5">
        <f>IF(A751="","",IFERROR(VLOOKUP(B751,TblArticles,3,FALSE),""))</f>
        <v/>
      </c>
      <c r="E751" s="6">
        <f>IFERROR(DATE(2000+VALUE(MID(A751,FIND("15",A751,FIND("01",A751)+16)+2,2)),VALUE(MID(A751,FIND("15",A751,FIND("01",A751)+16)+4,2)),VALUE(MID(A751,FIND("15",A751,FIND("01",A751)+16)+6,2))),"")</f>
        <v/>
      </c>
      <c r="F751" s="5">
        <f>IFERROR(MID(A751,FIND("10",A751,FIND("15",A751,FIND("01",A751)+16)+8)+2,50),"")</f>
        <v/>
      </c>
      <c r="G751" s="5" t="n"/>
    </row>
    <row r="752">
      <c r="A752" s="7" t="n"/>
      <c r="B752" s="8">
        <f>IFERROR(MID(A752,FIND("01",A752)+2,14),"")</f>
        <v/>
      </c>
      <c r="C752" s="7">
        <f>IF(A752="","",IFERROR(VLOOKUP(B752,TblArticles,2,FALSE),"GTIN inconnu"))</f>
        <v/>
      </c>
      <c r="D752" s="8">
        <f>IF(A752="","",IFERROR(VLOOKUP(B752,TblArticles,3,FALSE),""))</f>
        <v/>
      </c>
      <c r="E752" s="9">
        <f>IFERROR(DATE(2000+VALUE(MID(A752,FIND("15",A752,FIND("01",A752)+16)+2,2)),VALUE(MID(A752,FIND("15",A752,FIND("01",A752)+16)+4,2)),VALUE(MID(A752,FIND("15",A752,FIND("01",A752)+16)+6,2))),"")</f>
        <v/>
      </c>
      <c r="F752" s="8">
        <f>IFERROR(MID(A752,FIND("10",A752,FIND("15",A752,FIND("01",A752)+16)+8)+2,50),"")</f>
        <v/>
      </c>
      <c r="G752" s="8" t="n"/>
    </row>
    <row r="753">
      <c r="A753" s="4" t="n"/>
      <c r="B753" s="5">
        <f>IFERROR(MID(A753,FIND("01",A753)+2,14),"")</f>
        <v/>
      </c>
      <c r="C753" s="4">
        <f>IF(A753="","",IFERROR(VLOOKUP(B753,TblArticles,2,FALSE),"GTIN inconnu"))</f>
        <v/>
      </c>
      <c r="D753" s="5">
        <f>IF(A753="","",IFERROR(VLOOKUP(B753,TblArticles,3,FALSE),""))</f>
        <v/>
      </c>
      <c r="E753" s="6">
        <f>IFERROR(DATE(2000+VALUE(MID(A753,FIND("15",A753,FIND("01",A753)+16)+2,2)),VALUE(MID(A753,FIND("15",A753,FIND("01",A753)+16)+4,2)),VALUE(MID(A753,FIND("15",A753,FIND("01",A753)+16)+6,2))),"")</f>
        <v/>
      </c>
      <c r="F753" s="5">
        <f>IFERROR(MID(A753,FIND("10",A753,FIND("15",A753,FIND("01",A753)+16)+8)+2,50),"")</f>
        <v/>
      </c>
      <c r="G753" s="5" t="n"/>
    </row>
    <row r="754">
      <c r="A754" s="7" t="n"/>
      <c r="B754" s="8">
        <f>IFERROR(MID(A754,FIND("01",A754)+2,14),"")</f>
        <v/>
      </c>
      <c r="C754" s="7">
        <f>IF(A754="","",IFERROR(VLOOKUP(B754,TblArticles,2,FALSE),"GTIN inconnu"))</f>
        <v/>
      </c>
      <c r="D754" s="8">
        <f>IF(A754="","",IFERROR(VLOOKUP(B754,TblArticles,3,FALSE),""))</f>
        <v/>
      </c>
      <c r="E754" s="9">
        <f>IFERROR(DATE(2000+VALUE(MID(A754,FIND("15",A754,FIND("01",A754)+16)+2,2)),VALUE(MID(A754,FIND("15",A754,FIND("01",A754)+16)+4,2)),VALUE(MID(A754,FIND("15",A754,FIND("01",A754)+16)+6,2))),"")</f>
        <v/>
      </c>
      <c r="F754" s="8">
        <f>IFERROR(MID(A754,FIND("10",A754,FIND("15",A754,FIND("01",A754)+16)+8)+2,50),"")</f>
        <v/>
      </c>
      <c r="G754" s="8" t="n"/>
    </row>
    <row r="755">
      <c r="A755" s="4" t="n"/>
      <c r="B755" s="5">
        <f>IFERROR(MID(A755,FIND("01",A755)+2,14),"")</f>
        <v/>
      </c>
      <c r="C755" s="4">
        <f>IF(A755="","",IFERROR(VLOOKUP(B755,TblArticles,2,FALSE),"GTIN inconnu"))</f>
        <v/>
      </c>
      <c r="D755" s="5">
        <f>IF(A755="","",IFERROR(VLOOKUP(B755,TblArticles,3,FALSE),""))</f>
        <v/>
      </c>
      <c r="E755" s="6">
        <f>IFERROR(DATE(2000+VALUE(MID(A755,FIND("15",A755,FIND("01",A755)+16)+2,2)),VALUE(MID(A755,FIND("15",A755,FIND("01",A755)+16)+4,2)),VALUE(MID(A755,FIND("15",A755,FIND("01",A755)+16)+6,2))),"")</f>
        <v/>
      </c>
      <c r="F755" s="5">
        <f>IFERROR(MID(A755,FIND("10",A755,FIND("15",A755,FIND("01",A755)+16)+8)+2,50),"")</f>
        <v/>
      </c>
      <c r="G755" s="5" t="n"/>
    </row>
    <row r="756">
      <c r="A756" s="7" t="n"/>
      <c r="B756" s="8">
        <f>IFERROR(MID(A756,FIND("01",A756)+2,14),"")</f>
        <v/>
      </c>
      <c r="C756" s="7">
        <f>IF(A756="","",IFERROR(VLOOKUP(B756,TblArticles,2,FALSE),"GTIN inconnu"))</f>
        <v/>
      </c>
      <c r="D756" s="8">
        <f>IF(A756="","",IFERROR(VLOOKUP(B756,TblArticles,3,FALSE),""))</f>
        <v/>
      </c>
      <c r="E756" s="9">
        <f>IFERROR(DATE(2000+VALUE(MID(A756,FIND("15",A756,FIND("01",A756)+16)+2,2)),VALUE(MID(A756,FIND("15",A756,FIND("01",A756)+16)+4,2)),VALUE(MID(A756,FIND("15",A756,FIND("01",A756)+16)+6,2))),"")</f>
        <v/>
      </c>
      <c r="F756" s="8">
        <f>IFERROR(MID(A756,FIND("10",A756,FIND("15",A756,FIND("01",A756)+16)+8)+2,50),"")</f>
        <v/>
      </c>
      <c r="G756" s="8" t="n"/>
    </row>
    <row r="757">
      <c r="A757" s="4" t="n"/>
      <c r="B757" s="5">
        <f>IFERROR(MID(A757,FIND("01",A757)+2,14),"")</f>
        <v/>
      </c>
      <c r="C757" s="4">
        <f>IF(A757="","",IFERROR(VLOOKUP(B757,TblArticles,2,FALSE),"GTIN inconnu"))</f>
        <v/>
      </c>
      <c r="D757" s="5">
        <f>IF(A757="","",IFERROR(VLOOKUP(B757,TblArticles,3,FALSE),""))</f>
        <v/>
      </c>
      <c r="E757" s="6">
        <f>IFERROR(DATE(2000+VALUE(MID(A757,FIND("15",A757,FIND("01",A757)+16)+2,2)),VALUE(MID(A757,FIND("15",A757,FIND("01",A757)+16)+4,2)),VALUE(MID(A757,FIND("15",A757,FIND("01",A757)+16)+6,2))),"")</f>
        <v/>
      </c>
      <c r="F757" s="5">
        <f>IFERROR(MID(A757,FIND("10",A757,FIND("15",A757,FIND("01",A757)+16)+8)+2,50),"")</f>
        <v/>
      </c>
      <c r="G757" s="5" t="n"/>
    </row>
    <row r="758">
      <c r="A758" s="7" t="n"/>
      <c r="B758" s="8">
        <f>IFERROR(MID(A758,FIND("01",A758)+2,14),"")</f>
        <v/>
      </c>
      <c r="C758" s="7">
        <f>IF(A758="","",IFERROR(VLOOKUP(B758,TblArticles,2,FALSE),"GTIN inconnu"))</f>
        <v/>
      </c>
      <c r="D758" s="8">
        <f>IF(A758="","",IFERROR(VLOOKUP(B758,TblArticles,3,FALSE),""))</f>
        <v/>
      </c>
      <c r="E758" s="9">
        <f>IFERROR(DATE(2000+VALUE(MID(A758,FIND("15",A758,FIND("01",A758)+16)+2,2)),VALUE(MID(A758,FIND("15",A758,FIND("01",A758)+16)+4,2)),VALUE(MID(A758,FIND("15",A758,FIND("01",A758)+16)+6,2))),"")</f>
        <v/>
      </c>
      <c r="F758" s="8">
        <f>IFERROR(MID(A758,FIND("10",A758,FIND("15",A758,FIND("01",A758)+16)+8)+2,50),"")</f>
        <v/>
      </c>
      <c r="G758" s="8" t="n"/>
    </row>
    <row r="759">
      <c r="A759" s="4" t="n"/>
      <c r="B759" s="5">
        <f>IFERROR(MID(A759,FIND("01",A759)+2,14),"")</f>
        <v/>
      </c>
      <c r="C759" s="4">
        <f>IF(A759="","",IFERROR(VLOOKUP(B759,TblArticles,2,FALSE),"GTIN inconnu"))</f>
        <v/>
      </c>
      <c r="D759" s="5">
        <f>IF(A759="","",IFERROR(VLOOKUP(B759,TblArticles,3,FALSE),""))</f>
        <v/>
      </c>
      <c r="E759" s="6">
        <f>IFERROR(DATE(2000+VALUE(MID(A759,FIND("15",A759,FIND("01",A759)+16)+2,2)),VALUE(MID(A759,FIND("15",A759,FIND("01",A759)+16)+4,2)),VALUE(MID(A759,FIND("15",A759,FIND("01",A759)+16)+6,2))),"")</f>
        <v/>
      </c>
      <c r="F759" s="5">
        <f>IFERROR(MID(A759,FIND("10",A759,FIND("15",A759,FIND("01",A759)+16)+8)+2,50),"")</f>
        <v/>
      </c>
      <c r="G759" s="5" t="n"/>
    </row>
    <row r="760">
      <c r="A760" s="7" t="n"/>
      <c r="B760" s="8">
        <f>IFERROR(MID(A760,FIND("01",A760)+2,14),"")</f>
        <v/>
      </c>
      <c r="C760" s="7">
        <f>IF(A760="","",IFERROR(VLOOKUP(B760,TblArticles,2,FALSE),"GTIN inconnu"))</f>
        <v/>
      </c>
      <c r="D760" s="8">
        <f>IF(A760="","",IFERROR(VLOOKUP(B760,TblArticles,3,FALSE),""))</f>
        <v/>
      </c>
      <c r="E760" s="9">
        <f>IFERROR(DATE(2000+VALUE(MID(A760,FIND("15",A760,FIND("01",A760)+16)+2,2)),VALUE(MID(A760,FIND("15",A760,FIND("01",A760)+16)+4,2)),VALUE(MID(A760,FIND("15",A760,FIND("01",A760)+16)+6,2))),"")</f>
        <v/>
      </c>
      <c r="F760" s="8">
        <f>IFERROR(MID(A760,FIND("10",A760,FIND("15",A760,FIND("01",A760)+16)+8)+2,50),"")</f>
        <v/>
      </c>
      <c r="G760" s="8" t="n"/>
    </row>
    <row r="761">
      <c r="A761" s="4" t="n"/>
      <c r="B761" s="5">
        <f>IFERROR(MID(A761,FIND("01",A761)+2,14),"")</f>
        <v/>
      </c>
      <c r="C761" s="4">
        <f>IF(A761="","",IFERROR(VLOOKUP(B761,TblArticles,2,FALSE),"GTIN inconnu"))</f>
        <v/>
      </c>
      <c r="D761" s="5">
        <f>IF(A761="","",IFERROR(VLOOKUP(B761,TblArticles,3,FALSE),""))</f>
        <v/>
      </c>
      <c r="E761" s="6">
        <f>IFERROR(DATE(2000+VALUE(MID(A761,FIND("15",A761,FIND("01",A761)+16)+2,2)),VALUE(MID(A761,FIND("15",A761,FIND("01",A761)+16)+4,2)),VALUE(MID(A761,FIND("15",A761,FIND("01",A761)+16)+6,2))),"")</f>
        <v/>
      </c>
      <c r="F761" s="5">
        <f>IFERROR(MID(A761,FIND("10",A761,FIND("15",A761,FIND("01",A761)+16)+8)+2,50),"")</f>
        <v/>
      </c>
      <c r="G761" s="5" t="n"/>
    </row>
    <row r="762">
      <c r="A762" s="7" t="n"/>
      <c r="B762" s="8">
        <f>IFERROR(MID(A762,FIND("01",A762)+2,14),"")</f>
        <v/>
      </c>
      <c r="C762" s="7">
        <f>IF(A762="","",IFERROR(VLOOKUP(B762,TblArticles,2,FALSE),"GTIN inconnu"))</f>
        <v/>
      </c>
      <c r="D762" s="8">
        <f>IF(A762="","",IFERROR(VLOOKUP(B762,TblArticles,3,FALSE),""))</f>
        <v/>
      </c>
      <c r="E762" s="9">
        <f>IFERROR(DATE(2000+VALUE(MID(A762,FIND("15",A762,FIND("01",A762)+16)+2,2)),VALUE(MID(A762,FIND("15",A762,FIND("01",A762)+16)+4,2)),VALUE(MID(A762,FIND("15",A762,FIND("01",A762)+16)+6,2))),"")</f>
        <v/>
      </c>
      <c r="F762" s="8">
        <f>IFERROR(MID(A762,FIND("10",A762,FIND("15",A762,FIND("01",A762)+16)+8)+2,50),"")</f>
        <v/>
      </c>
      <c r="G762" s="8" t="n"/>
    </row>
    <row r="763">
      <c r="A763" s="4" t="n"/>
      <c r="B763" s="5">
        <f>IFERROR(MID(A763,FIND("01",A763)+2,14),"")</f>
        <v/>
      </c>
      <c r="C763" s="4">
        <f>IF(A763="","",IFERROR(VLOOKUP(B763,TblArticles,2,FALSE),"GTIN inconnu"))</f>
        <v/>
      </c>
      <c r="D763" s="5">
        <f>IF(A763="","",IFERROR(VLOOKUP(B763,TblArticles,3,FALSE),""))</f>
        <v/>
      </c>
      <c r="E763" s="6">
        <f>IFERROR(DATE(2000+VALUE(MID(A763,FIND("15",A763,FIND("01",A763)+16)+2,2)),VALUE(MID(A763,FIND("15",A763,FIND("01",A763)+16)+4,2)),VALUE(MID(A763,FIND("15",A763,FIND("01",A763)+16)+6,2))),"")</f>
        <v/>
      </c>
      <c r="F763" s="5">
        <f>IFERROR(MID(A763,FIND("10",A763,FIND("15",A763,FIND("01",A763)+16)+8)+2,50),"")</f>
        <v/>
      </c>
      <c r="G763" s="5" t="n"/>
    </row>
    <row r="764">
      <c r="A764" s="7" t="n"/>
      <c r="B764" s="8">
        <f>IFERROR(MID(A764,FIND("01",A764)+2,14),"")</f>
        <v/>
      </c>
      <c r="C764" s="7">
        <f>IF(A764="","",IFERROR(VLOOKUP(B764,TblArticles,2,FALSE),"GTIN inconnu"))</f>
        <v/>
      </c>
      <c r="D764" s="8">
        <f>IF(A764="","",IFERROR(VLOOKUP(B764,TblArticles,3,FALSE),""))</f>
        <v/>
      </c>
      <c r="E764" s="9">
        <f>IFERROR(DATE(2000+VALUE(MID(A764,FIND("15",A764,FIND("01",A764)+16)+2,2)),VALUE(MID(A764,FIND("15",A764,FIND("01",A764)+16)+4,2)),VALUE(MID(A764,FIND("15",A764,FIND("01",A764)+16)+6,2))),"")</f>
        <v/>
      </c>
      <c r="F764" s="8">
        <f>IFERROR(MID(A764,FIND("10",A764,FIND("15",A764,FIND("01",A764)+16)+8)+2,50),"")</f>
        <v/>
      </c>
      <c r="G764" s="8" t="n"/>
    </row>
    <row r="765">
      <c r="A765" s="4" t="n"/>
      <c r="B765" s="5">
        <f>IFERROR(MID(A765,FIND("01",A765)+2,14),"")</f>
        <v/>
      </c>
      <c r="C765" s="4">
        <f>IF(A765="","",IFERROR(VLOOKUP(B765,TblArticles,2,FALSE),"GTIN inconnu"))</f>
        <v/>
      </c>
      <c r="D765" s="5">
        <f>IF(A765="","",IFERROR(VLOOKUP(B765,TblArticles,3,FALSE),""))</f>
        <v/>
      </c>
      <c r="E765" s="6">
        <f>IFERROR(DATE(2000+VALUE(MID(A765,FIND("15",A765,FIND("01",A765)+16)+2,2)),VALUE(MID(A765,FIND("15",A765,FIND("01",A765)+16)+4,2)),VALUE(MID(A765,FIND("15",A765,FIND("01",A765)+16)+6,2))),"")</f>
        <v/>
      </c>
      <c r="F765" s="5">
        <f>IFERROR(MID(A765,FIND("10",A765,FIND("15",A765,FIND("01",A765)+16)+8)+2,50),"")</f>
        <v/>
      </c>
      <c r="G765" s="5" t="n"/>
    </row>
    <row r="766">
      <c r="A766" s="7" t="n"/>
      <c r="B766" s="8">
        <f>IFERROR(MID(A766,FIND("01",A766)+2,14),"")</f>
        <v/>
      </c>
      <c r="C766" s="7">
        <f>IF(A766="","",IFERROR(VLOOKUP(B766,TblArticles,2,FALSE),"GTIN inconnu"))</f>
        <v/>
      </c>
      <c r="D766" s="8">
        <f>IF(A766="","",IFERROR(VLOOKUP(B766,TblArticles,3,FALSE),""))</f>
        <v/>
      </c>
      <c r="E766" s="9">
        <f>IFERROR(DATE(2000+VALUE(MID(A766,FIND("15",A766,FIND("01",A766)+16)+2,2)),VALUE(MID(A766,FIND("15",A766,FIND("01",A766)+16)+4,2)),VALUE(MID(A766,FIND("15",A766,FIND("01",A766)+16)+6,2))),"")</f>
        <v/>
      </c>
      <c r="F766" s="8">
        <f>IFERROR(MID(A766,FIND("10",A766,FIND("15",A766,FIND("01",A766)+16)+8)+2,50),"")</f>
        <v/>
      </c>
      <c r="G766" s="8" t="n"/>
    </row>
    <row r="767">
      <c r="A767" s="4" t="n"/>
      <c r="B767" s="5">
        <f>IFERROR(MID(A767,FIND("01",A767)+2,14),"")</f>
        <v/>
      </c>
      <c r="C767" s="4">
        <f>IF(A767="","",IFERROR(VLOOKUP(B767,TblArticles,2,FALSE),"GTIN inconnu"))</f>
        <v/>
      </c>
      <c r="D767" s="5">
        <f>IF(A767="","",IFERROR(VLOOKUP(B767,TblArticles,3,FALSE),""))</f>
        <v/>
      </c>
      <c r="E767" s="6">
        <f>IFERROR(DATE(2000+VALUE(MID(A767,FIND("15",A767,FIND("01",A767)+16)+2,2)),VALUE(MID(A767,FIND("15",A767,FIND("01",A767)+16)+4,2)),VALUE(MID(A767,FIND("15",A767,FIND("01",A767)+16)+6,2))),"")</f>
        <v/>
      </c>
      <c r="F767" s="5">
        <f>IFERROR(MID(A767,FIND("10",A767,FIND("15",A767,FIND("01",A767)+16)+8)+2,50),"")</f>
        <v/>
      </c>
      <c r="G767" s="5" t="n"/>
    </row>
    <row r="768">
      <c r="A768" s="7" t="n"/>
      <c r="B768" s="8">
        <f>IFERROR(MID(A768,FIND("01",A768)+2,14),"")</f>
        <v/>
      </c>
      <c r="C768" s="7">
        <f>IF(A768="","",IFERROR(VLOOKUP(B768,TblArticles,2,FALSE),"GTIN inconnu"))</f>
        <v/>
      </c>
      <c r="D768" s="8">
        <f>IF(A768="","",IFERROR(VLOOKUP(B768,TblArticles,3,FALSE),""))</f>
        <v/>
      </c>
      <c r="E768" s="9">
        <f>IFERROR(DATE(2000+VALUE(MID(A768,FIND("15",A768,FIND("01",A768)+16)+2,2)),VALUE(MID(A768,FIND("15",A768,FIND("01",A768)+16)+4,2)),VALUE(MID(A768,FIND("15",A768,FIND("01",A768)+16)+6,2))),"")</f>
        <v/>
      </c>
      <c r="F768" s="8">
        <f>IFERROR(MID(A768,FIND("10",A768,FIND("15",A768,FIND("01",A768)+16)+8)+2,50),"")</f>
        <v/>
      </c>
      <c r="G768" s="8" t="n"/>
    </row>
    <row r="769">
      <c r="A769" s="4" t="n"/>
      <c r="B769" s="5">
        <f>IFERROR(MID(A769,FIND("01",A769)+2,14),"")</f>
        <v/>
      </c>
      <c r="C769" s="4">
        <f>IF(A769="","",IFERROR(VLOOKUP(B769,TblArticles,2,FALSE),"GTIN inconnu"))</f>
        <v/>
      </c>
      <c r="D769" s="5">
        <f>IF(A769="","",IFERROR(VLOOKUP(B769,TblArticles,3,FALSE),""))</f>
        <v/>
      </c>
      <c r="E769" s="6">
        <f>IFERROR(DATE(2000+VALUE(MID(A769,FIND("15",A769,FIND("01",A769)+16)+2,2)),VALUE(MID(A769,FIND("15",A769,FIND("01",A769)+16)+4,2)),VALUE(MID(A769,FIND("15",A769,FIND("01",A769)+16)+6,2))),"")</f>
        <v/>
      </c>
      <c r="F769" s="5">
        <f>IFERROR(MID(A769,FIND("10",A769,FIND("15",A769,FIND("01",A769)+16)+8)+2,50),"")</f>
        <v/>
      </c>
      <c r="G769" s="5" t="n"/>
    </row>
    <row r="770">
      <c r="A770" s="7" t="n"/>
      <c r="B770" s="8">
        <f>IFERROR(MID(A770,FIND("01",A770)+2,14),"")</f>
        <v/>
      </c>
      <c r="C770" s="7">
        <f>IF(A770="","",IFERROR(VLOOKUP(B770,TblArticles,2,FALSE),"GTIN inconnu"))</f>
        <v/>
      </c>
      <c r="D770" s="8">
        <f>IF(A770="","",IFERROR(VLOOKUP(B770,TblArticles,3,FALSE),""))</f>
        <v/>
      </c>
      <c r="E770" s="9">
        <f>IFERROR(DATE(2000+VALUE(MID(A770,FIND("15",A770,FIND("01",A770)+16)+2,2)),VALUE(MID(A770,FIND("15",A770,FIND("01",A770)+16)+4,2)),VALUE(MID(A770,FIND("15",A770,FIND("01",A770)+16)+6,2))),"")</f>
        <v/>
      </c>
      <c r="F770" s="8">
        <f>IFERROR(MID(A770,FIND("10",A770,FIND("15",A770,FIND("01",A770)+16)+8)+2,50),"")</f>
        <v/>
      </c>
      <c r="G770" s="8" t="n"/>
    </row>
    <row r="771">
      <c r="A771" s="4" t="n"/>
      <c r="B771" s="5">
        <f>IFERROR(MID(A771,FIND("01",A771)+2,14),"")</f>
        <v/>
      </c>
      <c r="C771" s="4">
        <f>IF(A771="","",IFERROR(VLOOKUP(B771,TblArticles,2,FALSE),"GTIN inconnu"))</f>
        <v/>
      </c>
      <c r="D771" s="5">
        <f>IF(A771="","",IFERROR(VLOOKUP(B771,TblArticles,3,FALSE),""))</f>
        <v/>
      </c>
      <c r="E771" s="6">
        <f>IFERROR(DATE(2000+VALUE(MID(A771,FIND("15",A771,FIND("01",A771)+16)+2,2)),VALUE(MID(A771,FIND("15",A771,FIND("01",A771)+16)+4,2)),VALUE(MID(A771,FIND("15",A771,FIND("01",A771)+16)+6,2))),"")</f>
        <v/>
      </c>
      <c r="F771" s="5">
        <f>IFERROR(MID(A771,FIND("10",A771,FIND("15",A771,FIND("01",A771)+16)+8)+2,50),"")</f>
        <v/>
      </c>
      <c r="G771" s="5" t="n"/>
    </row>
    <row r="772">
      <c r="A772" s="7" t="n"/>
      <c r="B772" s="8">
        <f>IFERROR(MID(A772,FIND("01",A772)+2,14),"")</f>
        <v/>
      </c>
      <c r="C772" s="7">
        <f>IF(A772="","",IFERROR(VLOOKUP(B772,TblArticles,2,FALSE),"GTIN inconnu"))</f>
        <v/>
      </c>
      <c r="D772" s="8">
        <f>IF(A772="","",IFERROR(VLOOKUP(B772,TblArticles,3,FALSE),""))</f>
        <v/>
      </c>
      <c r="E772" s="9">
        <f>IFERROR(DATE(2000+VALUE(MID(A772,FIND("15",A772,FIND("01",A772)+16)+2,2)),VALUE(MID(A772,FIND("15",A772,FIND("01",A772)+16)+4,2)),VALUE(MID(A772,FIND("15",A772,FIND("01",A772)+16)+6,2))),"")</f>
        <v/>
      </c>
      <c r="F772" s="8">
        <f>IFERROR(MID(A772,FIND("10",A772,FIND("15",A772,FIND("01",A772)+16)+8)+2,50),"")</f>
        <v/>
      </c>
      <c r="G772" s="8" t="n"/>
    </row>
    <row r="773">
      <c r="A773" s="4" t="n"/>
      <c r="B773" s="5">
        <f>IFERROR(MID(A773,FIND("01",A773)+2,14),"")</f>
        <v/>
      </c>
      <c r="C773" s="4">
        <f>IF(A773="","",IFERROR(VLOOKUP(B773,TblArticles,2,FALSE),"GTIN inconnu"))</f>
        <v/>
      </c>
      <c r="D773" s="5">
        <f>IF(A773="","",IFERROR(VLOOKUP(B773,TblArticles,3,FALSE),""))</f>
        <v/>
      </c>
      <c r="E773" s="6">
        <f>IFERROR(DATE(2000+VALUE(MID(A773,FIND("15",A773,FIND("01",A773)+16)+2,2)),VALUE(MID(A773,FIND("15",A773,FIND("01",A773)+16)+4,2)),VALUE(MID(A773,FIND("15",A773,FIND("01",A773)+16)+6,2))),"")</f>
        <v/>
      </c>
      <c r="F773" s="5">
        <f>IFERROR(MID(A773,FIND("10",A773,FIND("15",A773,FIND("01",A773)+16)+8)+2,50),"")</f>
        <v/>
      </c>
      <c r="G773" s="5" t="n"/>
    </row>
    <row r="774">
      <c r="A774" s="7" t="n"/>
      <c r="B774" s="8">
        <f>IFERROR(MID(A774,FIND("01",A774)+2,14),"")</f>
        <v/>
      </c>
      <c r="C774" s="7">
        <f>IF(A774="","",IFERROR(VLOOKUP(B774,TblArticles,2,FALSE),"GTIN inconnu"))</f>
        <v/>
      </c>
      <c r="D774" s="8">
        <f>IF(A774="","",IFERROR(VLOOKUP(B774,TblArticles,3,FALSE),""))</f>
        <v/>
      </c>
      <c r="E774" s="9">
        <f>IFERROR(DATE(2000+VALUE(MID(A774,FIND("15",A774,FIND("01",A774)+16)+2,2)),VALUE(MID(A774,FIND("15",A774,FIND("01",A774)+16)+4,2)),VALUE(MID(A774,FIND("15",A774,FIND("01",A774)+16)+6,2))),"")</f>
        <v/>
      </c>
      <c r="F774" s="8">
        <f>IFERROR(MID(A774,FIND("10",A774,FIND("15",A774,FIND("01",A774)+16)+8)+2,50),"")</f>
        <v/>
      </c>
      <c r="G774" s="8" t="n"/>
    </row>
    <row r="775">
      <c r="A775" s="4" t="n"/>
      <c r="B775" s="5">
        <f>IFERROR(MID(A775,FIND("01",A775)+2,14),"")</f>
        <v/>
      </c>
      <c r="C775" s="4">
        <f>IF(A775="","",IFERROR(VLOOKUP(B775,TblArticles,2,FALSE),"GTIN inconnu"))</f>
        <v/>
      </c>
      <c r="D775" s="5">
        <f>IF(A775="","",IFERROR(VLOOKUP(B775,TblArticles,3,FALSE),""))</f>
        <v/>
      </c>
      <c r="E775" s="6">
        <f>IFERROR(DATE(2000+VALUE(MID(A775,FIND("15",A775,FIND("01",A775)+16)+2,2)),VALUE(MID(A775,FIND("15",A775,FIND("01",A775)+16)+4,2)),VALUE(MID(A775,FIND("15",A775,FIND("01",A775)+16)+6,2))),"")</f>
        <v/>
      </c>
      <c r="F775" s="5">
        <f>IFERROR(MID(A775,FIND("10",A775,FIND("15",A775,FIND("01",A775)+16)+8)+2,50),"")</f>
        <v/>
      </c>
      <c r="G775" s="5" t="n"/>
    </row>
    <row r="776">
      <c r="A776" s="7" t="n"/>
      <c r="B776" s="8">
        <f>IFERROR(MID(A776,FIND("01",A776)+2,14),"")</f>
        <v/>
      </c>
      <c r="C776" s="7">
        <f>IF(A776="","",IFERROR(VLOOKUP(B776,TblArticles,2,FALSE),"GTIN inconnu"))</f>
        <v/>
      </c>
      <c r="D776" s="8">
        <f>IF(A776="","",IFERROR(VLOOKUP(B776,TblArticles,3,FALSE),""))</f>
        <v/>
      </c>
      <c r="E776" s="9">
        <f>IFERROR(DATE(2000+VALUE(MID(A776,FIND("15",A776,FIND("01",A776)+16)+2,2)),VALUE(MID(A776,FIND("15",A776,FIND("01",A776)+16)+4,2)),VALUE(MID(A776,FIND("15",A776,FIND("01",A776)+16)+6,2))),"")</f>
        <v/>
      </c>
      <c r="F776" s="8">
        <f>IFERROR(MID(A776,FIND("10",A776,FIND("15",A776,FIND("01",A776)+16)+8)+2,50),"")</f>
        <v/>
      </c>
      <c r="G776" s="8" t="n"/>
    </row>
    <row r="777">
      <c r="A777" s="4" t="n"/>
      <c r="B777" s="5">
        <f>IFERROR(MID(A777,FIND("01",A777)+2,14),"")</f>
        <v/>
      </c>
      <c r="C777" s="4">
        <f>IF(A777="","",IFERROR(VLOOKUP(B777,TblArticles,2,FALSE),"GTIN inconnu"))</f>
        <v/>
      </c>
      <c r="D777" s="5">
        <f>IF(A777="","",IFERROR(VLOOKUP(B777,TblArticles,3,FALSE),""))</f>
        <v/>
      </c>
      <c r="E777" s="6">
        <f>IFERROR(DATE(2000+VALUE(MID(A777,FIND("15",A777,FIND("01",A777)+16)+2,2)),VALUE(MID(A777,FIND("15",A777,FIND("01",A777)+16)+4,2)),VALUE(MID(A777,FIND("15",A777,FIND("01",A777)+16)+6,2))),"")</f>
        <v/>
      </c>
      <c r="F777" s="5">
        <f>IFERROR(MID(A777,FIND("10",A777,FIND("15",A777,FIND("01",A777)+16)+8)+2,50),"")</f>
        <v/>
      </c>
      <c r="G777" s="5" t="n"/>
    </row>
    <row r="778">
      <c r="A778" s="7" t="n"/>
      <c r="B778" s="8">
        <f>IFERROR(MID(A778,FIND("01",A778)+2,14),"")</f>
        <v/>
      </c>
      <c r="C778" s="7">
        <f>IF(A778="","",IFERROR(VLOOKUP(B778,TblArticles,2,FALSE),"GTIN inconnu"))</f>
        <v/>
      </c>
      <c r="D778" s="8">
        <f>IF(A778="","",IFERROR(VLOOKUP(B778,TblArticles,3,FALSE),""))</f>
        <v/>
      </c>
      <c r="E778" s="9">
        <f>IFERROR(DATE(2000+VALUE(MID(A778,FIND("15",A778,FIND("01",A778)+16)+2,2)),VALUE(MID(A778,FIND("15",A778,FIND("01",A778)+16)+4,2)),VALUE(MID(A778,FIND("15",A778,FIND("01",A778)+16)+6,2))),"")</f>
        <v/>
      </c>
      <c r="F778" s="8">
        <f>IFERROR(MID(A778,FIND("10",A778,FIND("15",A778,FIND("01",A778)+16)+8)+2,50),"")</f>
        <v/>
      </c>
      <c r="G778" s="8" t="n"/>
    </row>
    <row r="779">
      <c r="A779" s="4" t="n"/>
      <c r="B779" s="5">
        <f>IFERROR(MID(A779,FIND("01",A779)+2,14),"")</f>
        <v/>
      </c>
      <c r="C779" s="4">
        <f>IF(A779="","",IFERROR(VLOOKUP(B779,TblArticles,2,FALSE),"GTIN inconnu"))</f>
        <v/>
      </c>
      <c r="D779" s="5">
        <f>IF(A779="","",IFERROR(VLOOKUP(B779,TblArticles,3,FALSE),""))</f>
        <v/>
      </c>
      <c r="E779" s="6">
        <f>IFERROR(DATE(2000+VALUE(MID(A779,FIND("15",A779,FIND("01",A779)+16)+2,2)),VALUE(MID(A779,FIND("15",A779,FIND("01",A779)+16)+4,2)),VALUE(MID(A779,FIND("15",A779,FIND("01",A779)+16)+6,2))),"")</f>
        <v/>
      </c>
      <c r="F779" s="5">
        <f>IFERROR(MID(A779,FIND("10",A779,FIND("15",A779,FIND("01",A779)+16)+8)+2,50),"")</f>
        <v/>
      </c>
      <c r="G779" s="5" t="n"/>
    </row>
    <row r="780">
      <c r="A780" s="7" t="n"/>
      <c r="B780" s="8">
        <f>IFERROR(MID(A780,FIND("01",A780)+2,14),"")</f>
        <v/>
      </c>
      <c r="C780" s="7">
        <f>IF(A780="","",IFERROR(VLOOKUP(B780,TblArticles,2,FALSE),"GTIN inconnu"))</f>
        <v/>
      </c>
      <c r="D780" s="8">
        <f>IF(A780="","",IFERROR(VLOOKUP(B780,TblArticles,3,FALSE),""))</f>
        <v/>
      </c>
      <c r="E780" s="9">
        <f>IFERROR(DATE(2000+VALUE(MID(A780,FIND("15",A780,FIND("01",A780)+16)+2,2)),VALUE(MID(A780,FIND("15",A780,FIND("01",A780)+16)+4,2)),VALUE(MID(A780,FIND("15",A780,FIND("01",A780)+16)+6,2))),"")</f>
        <v/>
      </c>
      <c r="F780" s="8">
        <f>IFERROR(MID(A780,FIND("10",A780,FIND("15",A780,FIND("01",A780)+16)+8)+2,50),"")</f>
        <v/>
      </c>
      <c r="G780" s="8" t="n"/>
    </row>
    <row r="781">
      <c r="A781" s="4" t="n"/>
      <c r="B781" s="5">
        <f>IFERROR(MID(A781,FIND("01",A781)+2,14),"")</f>
        <v/>
      </c>
      <c r="C781" s="4">
        <f>IF(A781="","",IFERROR(VLOOKUP(B781,TblArticles,2,FALSE),"GTIN inconnu"))</f>
        <v/>
      </c>
      <c r="D781" s="5">
        <f>IF(A781="","",IFERROR(VLOOKUP(B781,TblArticles,3,FALSE),""))</f>
        <v/>
      </c>
      <c r="E781" s="6">
        <f>IFERROR(DATE(2000+VALUE(MID(A781,FIND("15",A781,FIND("01",A781)+16)+2,2)),VALUE(MID(A781,FIND("15",A781,FIND("01",A781)+16)+4,2)),VALUE(MID(A781,FIND("15",A781,FIND("01",A781)+16)+6,2))),"")</f>
        <v/>
      </c>
      <c r="F781" s="5">
        <f>IFERROR(MID(A781,FIND("10",A781,FIND("15",A781,FIND("01",A781)+16)+8)+2,50),"")</f>
        <v/>
      </c>
      <c r="G781" s="5" t="n"/>
    </row>
    <row r="782">
      <c r="A782" s="7" t="n"/>
      <c r="B782" s="8">
        <f>IFERROR(MID(A782,FIND("01",A782)+2,14),"")</f>
        <v/>
      </c>
      <c r="C782" s="7">
        <f>IF(A782="","",IFERROR(VLOOKUP(B782,TblArticles,2,FALSE),"GTIN inconnu"))</f>
        <v/>
      </c>
      <c r="D782" s="8">
        <f>IF(A782="","",IFERROR(VLOOKUP(B782,TblArticles,3,FALSE),""))</f>
        <v/>
      </c>
      <c r="E782" s="9">
        <f>IFERROR(DATE(2000+VALUE(MID(A782,FIND("15",A782,FIND("01",A782)+16)+2,2)),VALUE(MID(A782,FIND("15",A782,FIND("01",A782)+16)+4,2)),VALUE(MID(A782,FIND("15",A782,FIND("01",A782)+16)+6,2))),"")</f>
        <v/>
      </c>
      <c r="F782" s="8">
        <f>IFERROR(MID(A782,FIND("10",A782,FIND("15",A782,FIND("01",A782)+16)+8)+2,50),"")</f>
        <v/>
      </c>
      <c r="G782" s="8" t="n"/>
    </row>
    <row r="783">
      <c r="A783" s="4" t="n"/>
      <c r="B783" s="5">
        <f>IFERROR(MID(A783,FIND("01",A783)+2,14),"")</f>
        <v/>
      </c>
      <c r="C783" s="4">
        <f>IF(A783="","",IFERROR(VLOOKUP(B783,TblArticles,2,FALSE),"GTIN inconnu"))</f>
        <v/>
      </c>
      <c r="D783" s="5">
        <f>IF(A783="","",IFERROR(VLOOKUP(B783,TblArticles,3,FALSE),""))</f>
        <v/>
      </c>
      <c r="E783" s="6">
        <f>IFERROR(DATE(2000+VALUE(MID(A783,FIND("15",A783,FIND("01",A783)+16)+2,2)),VALUE(MID(A783,FIND("15",A783,FIND("01",A783)+16)+4,2)),VALUE(MID(A783,FIND("15",A783,FIND("01",A783)+16)+6,2))),"")</f>
        <v/>
      </c>
      <c r="F783" s="5">
        <f>IFERROR(MID(A783,FIND("10",A783,FIND("15",A783,FIND("01",A783)+16)+8)+2,50),"")</f>
        <v/>
      </c>
      <c r="G783" s="5" t="n"/>
    </row>
    <row r="784">
      <c r="A784" s="7" t="n"/>
      <c r="B784" s="8">
        <f>IFERROR(MID(A784,FIND("01",A784)+2,14),"")</f>
        <v/>
      </c>
      <c r="C784" s="7">
        <f>IF(A784="","",IFERROR(VLOOKUP(B784,TblArticles,2,FALSE),"GTIN inconnu"))</f>
        <v/>
      </c>
      <c r="D784" s="8">
        <f>IF(A784="","",IFERROR(VLOOKUP(B784,TblArticles,3,FALSE),""))</f>
        <v/>
      </c>
      <c r="E784" s="9">
        <f>IFERROR(DATE(2000+VALUE(MID(A784,FIND("15",A784,FIND("01",A784)+16)+2,2)),VALUE(MID(A784,FIND("15",A784,FIND("01",A784)+16)+4,2)),VALUE(MID(A784,FIND("15",A784,FIND("01",A784)+16)+6,2))),"")</f>
        <v/>
      </c>
      <c r="F784" s="8">
        <f>IFERROR(MID(A784,FIND("10",A784,FIND("15",A784,FIND("01",A784)+16)+8)+2,50),"")</f>
        <v/>
      </c>
      <c r="G784" s="8" t="n"/>
    </row>
    <row r="785">
      <c r="A785" s="4" t="n"/>
      <c r="B785" s="5">
        <f>IFERROR(MID(A785,FIND("01",A785)+2,14),"")</f>
        <v/>
      </c>
      <c r="C785" s="4">
        <f>IF(A785="","",IFERROR(VLOOKUP(B785,TblArticles,2,FALSE),"GTIN inconnu"))</f>
        <v/>
      </c>
      <c r="D785" s="5">
        <f>IF(A785="","",IFERROR(VLOOKUP(B785,TblArticles,3,FALSE),""))</f>
        <v/>
      </c>
      <c r="E785" s="6">
        <f>IFERROR(DATE(2000+VALUE(MID(A785,FIND("15",A785,FIND("01",A785)+16)+2,2)),VALUE(MID(A785,FIND("15",A785,FIND("01",A785)+16)+4,2)),VALUE(MID(A785,FIND("15",A785,FIND("01",A785)+16)+6,2))),"")</f>
        <v/>
      </c>
      <c r="F785" s="5">
        <f>IFERROR(MID(A785,FIND("10",A785,FIND("15",A785,FIND("01",A785)+16)+8)+2,50),"")</f>
        <v/>
      </c>
      <c r="G785" s="5" t="n"/>
    </row>
    <row r="786">
      <c r="A786" s="7" t="n"/>
      <c r="B786" s="8">
        <f>IFERROR(MID(A786,FIND("01",A786)+2,14),"")</f>
        <v/>
      </c>
      <c r="C786" s="7">
        <f>IF(A786="","",IFERROR(VLOOKUP(B786,TblArticles,2,FALSE),"GTIN inconnu"))</f>
        <v/>
      </c>
      <c r="D786" s="8">
        <f>IF(A786="","",IFERROR(VLOOKUP(B786,TblArticles,3,FALSE),""))</f>
        <v/>
      </c>
      <c r="E786" s="9">
        <f>IFERROR(DATE(2000+VALUE(MID(A786,FIND("15",A786,FIND("01",A786)+16)+2,2)),VALUE(MID(A786,FIND("15",A786,FIND("01",A786)+16)+4,2)),VALUE(MID(A786,FIND("15",A786,FIND("01",A786)+16)+6,2))),"")</f>
        <v/>
      </c>
      <c r="F786" s="8">
        <f>IFERROR(MID(A786,FIND("10",A786,FIND("15",A786,FIND("01",A786)+16)+8)+2,50),"")</f>
        <v/>
      </c>
      <c r="G786" s="8" t="n"/>
    </row>
    <row r="787">
      <c r="A787" s="4" t="n"/>
      <c r="B787" s="5">
        <f>IFERROR(MID(A787,FIND("01",A787)+2,14),"")</f>
        <v/>
      </c>
      <c r="C787" s="4">
        <f>IF(A787="","",IFERROR(VLOOKUP(B787,TblArticles,2,FALSE),"GTIN inconnu"))</f>
        <v/>
      </c>
      <c r="D787" s="5">
        <f>IF(A787="","",IFERROR(VLOOKUP(B787,TblArticles,3,FALSE),""))</f>
        <v/>
      </c>
      <c r="E787" s="6">
        <f>IFERROR(DATE(2000+VALUE(MID(A787,FIND("15",A787,FIND("01",A787)+16)+2,2)),VALUE(MID(A787,FIND("15",A787,FIND("01",A787)+16)+4,2)),VALUE(MID(A787,FIND("15",A787,FIND("01",A787)+16)+6,2))),"")</f>
        <v/>
      </c>
      <c r="F787" s="5">
        <f>IFERROR(MID(A787,FIND("10",A787,FIND("15",A787,FIND("01",A787)+16)+8)+2,50),"")</f>
        <v/>
      </c>
      <c r="G787" s="5" t="n"/>
    </row>
    <row r="788">
      <c r="A788" s="7" t="n"/>
      <c r="B788" s="8">
        <f>IFERROR(MID(A788,FIND("01",A788)+2,14),"")</f>
        <v/>
      </c>
      <c r="C788" s="7">
        <f>IF(A788="","",IFERROR(VLOOKUP(B788,TblArticles,2,FALSE),"GTIN inconnu"))</f>
        <v/>
      </c>
      <c r="D788" s="8">
        <f>IF(A788="","",IFERROR(VLOOKUP(B788,TblArticles,3,FALSE),""))</f>
        <v/>
      </c>
      <c r="E788" s="9">
        <f>IFERROR(DATE(2000+VALUE(MID(A788,FIND("15",A788,FIND("01",A788)+16)+2,2)),VALUE(MID(A788,FIND("15",A788,FIND("01",A788)+16)+4,2)),VALUE(MID(A788,FIND("15",A788,FIND("01",A788)+16)+6,2))),"")</f>
        <v/>
      </c>
      <c r="F788" s="8">
        <f>IFERROR(MID(A788,FIND("10",A788,FIND("15",A788,FIND("01",A788)+16)+8)+2,50),"")</f>
        <v/>
      </c>
      <c r="G788" s="8" t="n"/>
    </row>
    <row r="789">
      <c r="A789" s="4" t="n"/>
      <c r="B789" s="5">
        <f>IFERROR(MID(A789,FIND("01",A789)+2,14),"")</f>
        <v/>
      </c>
      <c r="C789" s="4">
        <f>IF(A789="","",IFERROR(VLOOKUP(B789,TblArticles,2,FALSE),"GTIN inconnu"))</f>
        <v/>
      </c>
      <c r="D789" s="5">
        <f>IF(A789="","",IFERROR(VLOOKUP(B789,TblArticles,3,FALSE),""))</f>
        <v/>
      </c>
      <c r="E789" s="6">
        <f>IFERROR(DATE(2000+VALUE(MID(A789,FIND("15",A789,FIND("01",A789)+16)+2,2)),VALUE(MID(A789,FIND("15",A789,FIND("01",A789)+16)+4,2)),VALUE(MID(A789,FIND("15",A789,FIND("01",A789)+16)+6,2))),"")</f>
        <v/>
      </c>
      <c r="F789" s="5">
        <f>IFERROR(MID(A789,FIND("10",A789,FIND("15",A789,FIND("01",A789)+16)+8)+2,50),"")</f>
        <v/>
      </c>
      <c r="G789" s="5" t="n"/>
    </row>
    <row r="790">
      <c r="A790" s="7" t="n"/>
      <c r="B790" s="8">
        <f>IFERROR(MID(A790,FIND("01",A790)+2,14),"")</f>
        <v/>
      </c>
      <c r="C790" s="7">
        <f>IF(A790="","",IFERROR(VLOOKUP(B790,TblArticles,2,FALSE),"GTIN inconnu"))</f>
        <v/>
      </c>
      <c r="D790" s="8">
        <f>IF(A790="","",IFERROR(VLOOKUP(B790,TblArticles,3,FALSE),""))</f>
        <v/>
      </c>
      <c r="E790" s="9">
        <f>IFERROR(DATE(2000+VALUE(MID(A790,FIND("15",A790,FIND("01",A790)+16)+2,2)),VALUE(MID(A790,FIND("15",A790,FIND("01",A790)+16)+4,2)),VALUE(MID(A790,FIND("15",A790,FIND("01",A790)+16)+6,2))),"")</f>
        <v/>
      </c>
      <c r="F790" s="8">
        <f>IFERROR(MID(A790,FIND("10",A790,FIND("15",A790,FIND("01",A790)+16)+8)+2,50),"")</f>
        <v/>
      </c>
      <c r="G790" s="8" t="n"/>
    </row>
    <row r="791">
      <c r="A791" s="4" t="n"/>
      <c r="B791" s="5">
        <f>IFERROR(MID(A791,FIND("01",A791)+2,14),"")</f>
        <v/>
      </c>
      <c r="C791" s="4">
        <f>IF(A791="","",IFERROR(VLOOKUP(B791,TblArticles,2,FALSE),"GTIN inconnu"))</f>
        <v/>
      </c>
      <c r="D791" s="5">
        <f>IF(A791="","",IFERROR(VLOOKUP(B791,TblArticles,3,FALSE),""))</f>
        <v/>
      </c>
      <c r="E791" s="6">
        <f>IFERROR(DATE(2000+VALUE(MID(A791,FIND("15",A791,FIND("01",A791)+16)+2,2)),VALUE(MID(A791,FIND("15",A791,FIND("01",A791)+16)+4,2)),VALUE(MID(A791,FIND("15",A791,FIND("01",A791)+16)+6,2))),"")</f>
        <v/>
      </c>
      <c r="F791" s="5">
        <f>IFERROR(MID(A791,FIND("10",A791,FIND("15",A791,FIND("01",A791)+16)+8)+2,50),"")</f>
        <v/>
      </c>
      <c r="G791" s="5" t="n"/>
    </row>
    <row r="792">
      <c r="A792" s="7" t="n"/>
      <c r="B792" s="8">
        <f>IFERROR(MID(A792,FIND("01",A792)+2,14),"")</f>
        <v/>
      </c>
      <c r="C792" s="7">
        <f>IF(A792="","",IFERROR(VLOOKUP(B792,TblArticles,2,FALSE),"GTIN inconnu"))</f>
        <v/>
      </c>
      <c r="D792" s="8">
        <f>IF(A792="","",IFERROR(VLOOKUP(B792,TblArticles,3,FALSE),""))</f>
        <v/>
      </c>
      <c r="E792" s="9">
        <f>IFERROR(DATE(2000+VALUE(MID(A792,FIND("15",A792,FIND("01",A792)+16)+2,2)),VALUE(MID(A792,FIND("15",A792,FIND("01",A792)+16)+4,2)),VALUE(MID(A792,FIND("15",A792,FIND("01",A792)+16)+6,2))),"")</f>
        <v/>
      </c>
      <c r="F792" s="8">
        <f>IFERROR(MID(A792,FIND("10",A792,FIND("15",A792,FIND("01",A792)+16)+8)+2,50),"")</f>
        <v/>
      </c>
      <c r="G792" s="8" t="n"/>
    </row>
    <row r="793">
      <c r="A793" s="4" t="n"/>
      <c r="B793" s="5">
        <f>IFERROR(MID(A793,FIND("01",A793)+2,14),"")</f>
        <v/>
      </c>
      <c r="C793" s="4">
        <f>IF(A793="","",IFERROR(VLOOKUP(B793,TblArticles,2,FALSE),"GTIN inconnu"))</f>
        <v/>
      </c>
      <c r="D793" s="5">
        <f>IF(A793="","",IFERROR(VLOOKUP(B793,TblArticles,3,FALSE),""))</f>
        <v/>
      </c>
      <c r="E793" s="6">
        <f>IFERROR(DATE(2000+VALUE(MID(A793,FIND("15",A793,FIND("01",A793)+16)+2,2)),VALUE(MID(A793,FIND("15",A793,FIND("01",A793)+16)+4,2)),VALUE(MID(A793,FIND("15",A793,FIND("01",A793)+16)+6,2))),"")</f>
        <v/>
      </c>
      <c r="F793" s="5">
        <f>IFERROR(MID(A793,FIND("10",A793,FIND("15",A793,FIND("01",A793)+16)+8)+2,50),"")</f>
        <v/>
      </c>
      <c r="G793" s="5" t="n"/>
    </row>
    <row r="794">
      <c r="A794" s="7" t="n"/>
      <c r="B794" s="8">
        <f>IFERROR(MID(A794,FIND("01",A794)+2,14),"")</f>
        <v/>
      </c>
      <c r="C794" s="7">
        <f>IF(A794="","",IFERROR(VLOOKUP(B794,TblArticles,2,FALSE),"GTIN inconnu"))</f>
        <v/>
      </c>
      <c r="D794" s="8">
        <f>IF(A794="","",IFERROR(VLOOKUP(B794,TblArticles,3,FALSE),""))</f>
        <v/>
      </c>
      <c r="E794" s="9">
        <f>IFERROR(DATE(2000+VALUE(MID(A794,FIND("15",A794,FIND("01",A794)+16)+2,2)),VALUE(MID(A794,FIND("15",A794,FIND("01",A794)+16)+4,2)),VALUE(MID(A794,FIND("15",A794,FIND("01",A794)+16)+6,2))),"")</f>
        <v/>
      </c>
      <c r="F794" s="8">
        <f>IFERROR(MID(A794,FIND("10",A794,FIND("15",A794,FIND("01",A794)+16)+8)+2,50),"")</f>
        <v/>
      </c>
      <c r="G794" s="8" t="n"/>
    </row>
    <row r="795">
      <c r="A795" s="4" t="n"/>
      <c r="B795" s="5">
        <f>IFERROR(MID(A795,FIND("01",A795)+2,14),"")</f>
        <v/>
      </c>
      <c r="C795" s="4">
        <f>IF(A795="","",IFERROR(VLOOKUP(B795,TblArticles,2,FALSE),"GTIN inconnu"))</f>
        <v/>
      </c>
      <c r="D795" s="5">
        <f>IF(A795="","",IFERROR(VLOOKUP(B795,TblArticles,3,FALSE),""))</f>
        <v/>
      </c>
      <c r="E795" s="6">
        <f>IFERROR(DATE(2000+VALUE(MID(A795,FIND("15",A795,FIND("01",A795)+16)+2,2)),VALUE(MID(A795,FIND("15",A795,FIND("01",A795)+16)+4,2)),VALUE(MID(A795,FIND("15",A795,FIND("01",A795)+16)+6,2))),"")</f>
        <v/>
      </c>
      <c r="F795" s="5">
        <f>IFERROR(MID(A795,FIND("10",A795,FIND("15",A795,FIND("01",A795)+16)+8)+2,50),"")</f>
        <v/>
      </c>
      <c r="G795" s="5" t="n"/>
    </row>
    <row r="796">
      <c r="A796" s="7" t="n"/>
      <c r="B796" s="8">
        <f>IFERROR(MID(A796,FIND("01",A796)+2,14),"")</f>
        <v/>
      </c>
      <c r="C796" s="7">
        <f>IF(A796="","",IFERROR(VLOOKUP(B796,TblArticles,2,FALSE),"GTIN inconnu"))</f>
        <v/>
      </c>
      <c r="D796" s="8">
        <f>IF(A796="","",IFERROR(VLOOKUP(B796,TblArticles,3,FALSE),""))</f>
        <v/>
      </c>
      <c r="E796" s="9">
        <f>IFERROR(DATE(2000+VALUE(MID(A796,FIND("15",A796,FIND("01",A796)+16)+2,2)),VALUE(MID(A796,FIND("15",A796,FIND("01",A796)+16)+4,2)),VALUE(MID(A796,FIND("15",A796,FIND("01",A796)+16)+6,2))),"")</f>
        <v/>
      </c>
      <c r="F796" s="8">
        <f>IFERROR(MID(A796,FIND("10",A796,FIND("15",A796,FIND("01",A796)+16)+8)+2,50),"")</f>
        <v/>
      </c>
      <c r="G796" s="8" t="n"/>
    </row>
    <row r="797">
      <c r="A797" s="4" t="n"/>
      <c r="B797" s="5">
        <f>IFERROR(MID(A797,FIND("01",A797)+2,14),"")</f>
        <v/>
      </c>
      <c r="C797" s="4">
        <f>IF(A797="","",IFERROR(VLOOKUP(B797,TblArticles,2,FALSE),"GTIN inconnu"))</f>
        <v/>
      </c>
      <c r="D797" s="5">
        <f>IF(A797="","",IFERROR(VLOOKUP(B797,TblArticles,3,FALSE),""))</f>
        <v/>
      </c>
      <c r="E797" s="6">
        <f>IFERROR(DATE(2000+VALUE(MID(A797,FIND("15",A797,FIND("01",A797)+16)+2,2)),VALUE(MID(A797,FIND("15",A797,FIND("01",A797)+16)+4,2)),VALUE(MID(A797,FIND("15",A797,FIND("01",A797)+16)+6,2))),"")</f>
        <v/>
      </c>
      <c r="F797" s="5">
        <f>IFERROR(MID(A797,FIND("10",A797,FIND("15",A797,FIND("01",A797)+16)+8)+2,50),"")</f>
        <v/>
      </c>
      <c r="G797" s="5" t="n"/>
    </row>
    <row r="798">
      <c r="A798" s="7" t="n"/>
      <c r="B798" s="8">
        <f>IFERROR(MID(A798,FIND("01",A798)+2,14),"")</f>
        <v/>
      </c>
      <c r="C798" s="7">
        <f>IF(A798="","",IFERROR(VLOOKUP(B798,TblArticles,2,FALSE),"GTIN inconnu"))</f>
        <v/>
      </c>
      <c r="D798" s="8">
        <f>IF(A798="","",IFERROR(VLOOKUP(B798,TblArticles,3,FALSE),""))</f>
        <v/>
      </c>
      <c r="E798" s="9">
        <f>IFERROR(DATE(2000+VALUE(MID(A798,FIND("15",A798,FIND("01",A798)+16)+2,2)),VALUE(MID(A798,FIND("15",A798,FIND("01",A798)+16)+4,2)),VALUE(MID(A798,FIND("15",A798,FIND("01",A798)+16)+6,2))),"")</f>
        <v/>
      </c>
      <c r="F798" s="8">
        <f>IFERROR(MID(A798,FIND("10",A798,FIND("15",A798,FIND("01",A798)+16)+8)+2,50),"")</f>
        <v/>
      </c>
      <c r="G798" s="8" t="n"/>
    </row>
    <row r="799">
      <c r="A799" s="4" t="n"/>
      <c r="B799" s="5">
        <f>IFERROR(MID(A799,FIND("01",A799)+2,14),"")</f>
        <v/>
      </c>
      <c r="C799" s="4">
        <f>IF(A799="","",IFERROR(VLOOKUP(B799,TblArticles,2,FALSE),"GTIN inconnu"))</f>
        <v/>
      </c>
      <c r="D799" s="5">
        <f>IF(A799="","",IFERROR(VLOOKUP(B799,TblArticles,3,FALSE),""))</f>
        <v/>
      </c>
      <c r="E799" s="6">
        <f>IFERROR(DATE(2000+VALUE(MID(A799,FIND("15",A799,FIND("01",A799)+16)+2,2)),VALUE(MID(A799,FIND("15",A799,FIND("01",A799)+16)+4,2)),VALUE(MID(A799,FIND("15",A799,FIND("01",A799)+16)+6,2))),"")</f>
        <v/>
      </c>
      <c r="F799" s="5">
        <f>IFERROR(MID(A799,FIND("10",A799,FIND("15",A799,FIND("01",A799)+16)+8)+2,50),"")</f>
        <v/>
      </c>
      <c r="G799" s="5" t="n"/>
    </row>
    <row r="800">
      <c r="A800" s="7" t="n"/>
      <c r="B800" s="8">
        <f>IFERROR(MID(A800,FIND("01",A800)+2,14),"")</f>
        <v/>
      </c>
      <c r="C800" s="7">
        <f>IF(A800="","",IFERROR(VLOOKUP(B800,TblArticles,2,FALSE),"GTIN inconnu"))</f>
        <v/>
      </c>
      <c r="D800" s="8">
        <f>IF(A800="","",IFERROR(VLOOKUP(B800,TblArticles,3,FALSE),""))</f>
        <v/>
      </c>
      <c r="E800" s="9">
        <f>IFERROR(DATE(2000+VALUE(MID(A800,FIND("15",A800,FIND("01",A800)+16)+2,2)),VALUE(MID(A800,FIND("15",A800,FIND("01",A800)+16)+4,2)),VALUE(MID(A800,FIND("15",A800,FIND("01",A800)+16)+6,2))),"")</f>
        <v/>
      </c>
      <c r="F800" s="8">
        <f>IFERROR(MID(A800,FIND("10",A800,FIND("15",A800,FIND("01",A800)+16)+8)+2,50),"")</f>
        <v/>
      </c>
      <c r="G800" s="8" t="n"/>
    </row>
    <row r="801">
      <c r="A801" s="4" t="n"/>
      <c r="B801" s="5">
        <f>IFERROR(MID(A801,FIND("01",A801)+2,14),"")</f>
        <v/>
      </c>
      <c r="C801" s="4">
        <f>IF(A801="","",IFERROR(VLOOKUP(B801,TblArticles,2,FALSE),"GTIN inconnu"))</f>
        <v/>
      </c>
      <c r="D801" s="5">
        <f>IF(A801="","",IFERROR(VLOOKUP(B801,TblArticles,3,FALSE),""))</f>
        <v/>
      </c>
      <c r="E801" s="6">
        <f>IFERROR(DATE(2000+VALUE(MID(A801,FIND("15",A801,FIND("01",A801)+16)+2,2)),VALUE(MID(A801,FIND("15",A801,FIND("01",A801)+16)+4,2)),VALUE(MID(A801,FIND("15",A801,FIND("01",A801)+16)+6,2))),"")</f>
        <v/>
      </c>
      <c r="F801" s="5">
        <f>IFERROR(MID(A801,FIND("10",A801,FIND("15",A801,FIND("01",A801)+16)+8)+2,50),"")</f>
        <v/>
      </c>
      <c r="G801" s="5" t="n"/>
    </row>
    <row r="802">
      <c r="A802" s="7" t="n"/>
      <c r="B802" s="8">
        <f>IFERROR(MID(A802,FIND("01",A802)+2,14),"")</f>
        <v/>
      </c>
      <c r="C802" s="7">
        <f>IF(A802="","",IFERROR(VLOOKUP(B802,TblArticles,2,FALSE),"GTIN inconnu"))</f>
        <v/>
      </c>
      <c r="D802" s="8">
        <f>IF(A802="","",IFERROR(VLOOKUP(B802,TblArticles,3,FALSE),""))</f>
        <v/>
      </c>
      <c r="E802" s="9">
        <f>IFERROR(DATE(2000+VALUE(MID(A802,FIND("15",A802,FIND("01",A802)+16)+2,2)),VALUE(MID(A802,FIND("15",A802,FIND("01",A802)+16)+4,2)),VALUE(MID(A802,FIND("15",A802,FIND("01",A802)+16)+6,2))),"")</f>
        <v/>
      </c>
      <c r="F802" s="8">
        <f>IFERROR(MID(A802,FIND("10",A802,FIND("15",A802,FIND("01",A802)+16)+8)+2,50),"")</f>
        <v/>
      </c>
      <c r="G802" s="8" t="n"/>
    </row>
    <row r="803">
      <c r="A803" s="4" t="n"/>
      <c r="B803" s="5">
        <f>IFERROR(MID(A803,FIND("01",A803)+2,14),"")</f>
        <v/>
      </c>
      <c r="C803" s="4">
        <f>IF(A803="","",IFERROR(VLOOKUP(B803,TblArticles,2,FALSE),"GTIN inconnu"))</f>
        <v/>
      </c>
      <c r="D803" s="5">
        <f>IF(A803="","",IFERROR(VLOOKUP(B803,TblArticles,3,FALSE),""))</f>
        <v/>
      </c>
      <c r="E803" s="6">
        <f>IFERROR(DATE(2000+VALUE(MID(A803,FIND("15",A803,FIND("01",A803)+16)+2,2)),VALUE(MID(A803,FIND("15",A803,FIND("01",A803)+16)+4,2)),VALUE(MID(A803,FIND("15",A803,FIND("01",A803)+16)+6,2))),"")</f>
        <v/>
      </c>
      <c r="F803" s="5">
        <f>IFERROR(MID(A803,FIND("10",A803,FIND("15",A803,FIND("01",A803)+16)+8)+2,50),"")</f>
        <v/>
      </c>
      <c r="G803" s="5" t="n"/>
    </row>
    <row r="804">
      <c r="A804" s="7" t="n"/>
      <c r="B804" s="8">
        <f>IFERROR(MID(A804,FIND("01",A804)+2,14),"")</f>
        <v/>
      </c>
      <c r="C804" s="7">
        <f>IF(A804="","",IFERROR(VLOOKUP(B804,TblArticles,2,FALSE),"GTIN inconnu"))</f>
        <v/>
      </c>
      <c r="D804" s="8">
        <f>IF(A804="","",IFERROR(VLOOKUP(B804,TblArticles,3,FALSE),""))</f>
        <v/>
      </c>
      <c r="E804" s="9">
        <f>IFERROR(DATE(2000+VALUE(MID(A804,FIND("15",A804,FIND("01",A804)+16)+2,2)),VALUE(MID(A804,FIND("15",A804,FIND("01",A804)+16)+4,2)),VALUE(MID(A804,FIND("15",A804,FIND("01",A804)+16)+6,2))),"")</f>
        <v/>
      </c>
      <c r="F804" s="8">
        <f>IFERROR(MID(A804,FIND("10",A804,FIND("15",A804,FIND("01",A804)+16)+8)+2,50),"")</f>
        <v/>
      </c>
      <c r="G804" s="8" t="n"/>
    </row>
    <row r="805">
      <c r="A805" s="4" t="n"/>
      <c r="B805" s="5">
        <f>IFERROR(MID(A805,FIND("01",A805)+2,14),"")</f>
        <v/>
      </c>
      <c r="C805" s="4">
        <f>IF(A805="","",IFERROR(VLOOKUP(B805,TblArticles,2,FALSE),"GTIN inconnu"))</f>
        <v/>
      </c>
      <c r="D805" s="5">
        <f>IF(A805="","",IFERROR(VLOOKUP(B805,TblArticles,3,FALSE),""))</f>
        <v/>
      </c>
      <c r="E805" s="6">
        <f>IFERROR(DATE(2000+VALUE(MID(A805,FIND("15",A805,FIND("01",A805)+16)+2,2)),VALUE(MID(A805,FIND("15",A805,FIND("01",A805)+16)+4,2)),VALUE(MID(A805,FIND("15",A805,FIND("01",A805)+16)+6,2))),"")</f>
        <v/>
      </c>
      <c r="F805" s="5">
        <f>IFERROR(MID(A805,FIND("10",A805,FIND("15",A805,FIND("01",A805)+16)+8)+2,50),"")</f>
        <v/>
      </c>
      <c r="G805" s="5" t="n"/>
    </row>
    <row r="806">
      <c r="A806" s="7" t="n"/>
      <c r="B806" s="8">
        <f>IFERROR(MID(A806,FIND("01",A806)+2,14),"")</f>
        <v/>
      </c>
      <c r="C806" s="7">
        <f>IF(A806="","",IFERROR(VLOOKUP(B806,TblArticles,2,FALSE),"GTIN inconnu"))</f>
        <v/>
      </c>
      <c r="D806" s="8">
        <f>IF(A806="","",IFERROR(VLOOKUP(B806,TblArticles,3,FALSE),""))</f>
        <v/>
      </c>
      <c r="E806" s="9">
        <f>IFERROR(DATE(2000+VALUE(MID(A806,FIND("15",A806,FIND("01",A806)+16)+2,2)),VALUE(MID(A806,FIND("15",A806,FIND("01",A806)+16)+4,2)),VALUE(MID(A806,FIND("15",A806,FIND("01",A806)+16)+6,2))),"")</f>
        <v/>
      </c>
      <c r="F806" s="8">
        <f>IFERROR(MID(A806,FIND("10",A806,FIND("15",A806,FIND("01",A806)+16)+8)+2,50),"")</f>
        <v/>
      </c>
      <c r="G806" s="8" t="n"/>
    </row>
    <row r="807">
      <c r="A807" s="4" t="n"/>
      <c r="B807" s="5">
        <f>IFERROR(MID(A807,FIND("01",A807)+2,14),"")</f>
        <v/>
      </c>
      <c r="C807" s="4">
        <f>IF(A807="","",IFERROR(VLOOKUP(B807,TblArticles,2,FALSE),"GTIN inconnu"))</f>
        <v/>
      </c>
      <c r="D807" s="5">
        <f>IF(A807="","",IFERROR(VLOOKUP(B807,TblArticles,3,FALSE),""))</f>
        <v/>
      </c>
      <c r="E807" s="6">
        <f>IFERROR(DATE(2000+VALUE(MID(A807,FIND("15",A807,FIND("01",A807)+16)+2,2)),VALUE(MID(A807,FIND("15",A807,FIND("01",A807)+16)+4,2)),VALUE(MID(A807,FIND("15",A807,FIND("01",A807)+16)+6,2))),"")</f>
        <v/>
      </c>
      <c r="F807" s="5">
        <f>IFERROR(MID(A807,FIND("10",A807,FIND("15",A807,FIND("01",A807)+16)+8)+2,50),"")</f>
        <v/>
      </c>
      <c r="G807" s="5" t="n"/>
    </row>
    <row r="808">
      <c r="A808" s="7" t="n"/>
      <c r="B808" s="8">
        <f>IFERROR(MID(A808,FIND("01",A808)+2,14),"")</f>
        <v/>
      </c>
      <c r="C808" s="7">
        <f>IF(A808="","",IFERROR(VLOOKUP(B808,TblArticles,2,FALSE),"GTIN inconnu"))</f>
        <v/>
      </c>
      <c r="D808" s="8">
        <f>IF(A808="","",IFERROR(VLOOKUP(B808,TblArticles,3,FALSE),""))</f>
        <v/>
      </c>
      <c r="E808" s="9">
        <f>IFERROR(DATE(2000+VALUE(MID(A808,FIND("15",A808,FIND("01",A808)+16)+2,2)),VALUE(MID(A808,FIND("15",A808,FIND("01",A808)+16)+4,2)),VALUE(MID(A808,FIND("15",A808,FIND("01",A808)+16)+6,2))),"")</f>
        <v/>
      </c>
      <c r="F808" s="8">
        <f>IFERROR(MID(A808,FIND("10",A808,FIND("15",A808,FIND("01",A808)+16)+8)+2,50),"")</f>
        <v/>
      </c>
      <c r="G808" s="8" t="n"/>
    </row>
    <row r="809">
      <c r="A809" s="4" t="n"/>
      <c r="B809" s="5">
        <f>IFERROR(MID(A809,FIND("01",A809)+2,14),"")</f>
        <v/>
      </c>
      <c r="C809" s="4">
        <f>IF(A809="","",IFERROR(VLOOKUP(B809,TblArticles,2,FALSE),"GTIN inconnu"))</f>
        <v/>
      </c>
      <c r="D809" s="5">
        <f>IF(A809="","",IFERROR(VLOOKUP(B809,TblArticles,3,FALSE),""))</f>
        <v/>
      </c>
      <c r="E809" s="6">
        <f>IFERROR(DATE(2000+VALUE(MID(A809,FIND("15",A809,FIND("01",A809)+16)+2,2)),VALUE(MID(A809,FIND("15",A809,FIND("01",A809)+16)+4,2)),VALUE(MID(A809,FIND("15",A809,FIND("01",A809)+16)+6,2))),"")</f>
        <v/>
      </c>
      <c r="F809" s="5">
        <f>IFERROR(MID(A809,FIND("10",A809,FIND("15",A809,FIND("01",A809)+16)+8)+2,50),"")</f>
        <v/>
      </c>
      <c r="G809" s="5" t="n"/>
    </row>
    <row r="810">
      <c r="A810" s="7" t="n"/>
      <c r="B810" s="8">
        <f>IFERROR(MID(A810,FIND("01",A810)+2,14),"")</f>
        <v/>
      </c>
      <c r="C810" s="7">
        <f>IF(A810="","",IFERROR(VLOOKUP(B810,TblArticles,2,FALSE),"GTIN inconnu"))</f>
        <v/>
      </c>
      <c r="D810" s="8">
        <f>IF(A810="","",IFERROR(VLOOKUP(B810,TblArticles,3,FALSE),""))</f>
        <v/>
      </c>
      <c r="E810" s="9">
        <f>IFERROR(DATE(2000+VALUE(MID(A810,FIND("15",A810,FIND("01",A810)+16)+2,2)),VALUE(MID(A810,FIND("15",A810,FIND("01",A810)+16)+4,2)),VALUE(MID(A810,FIND("15",A810,FIND("01",A810)+16)+6,2))),"")</f>
        <v/>
      </c>
      <c r="F810" s="8">
        <f>IFERROR(MID(A810,FIND("10",A810,FIND("15",A810,FIND("01",A810)+16)+8)+2,50),"")</f>
        <v/>
      </c>
      <c r="G810" s="8" t="n"/>
    </row>
    <row r="811">
      <c r="A811" s="4" t="n"/>
      <c r="B811" s="5">
        <f>IFERROR(MID(A811,FIND("01",A811)+2,14),"")</f>
        <v/>
      </c>
      <c r="C811" s="4">
        <f>IF(A811="","",IFERROR(VLOOKUP(B811,TblArticles,2,FALSE),"GTIN inconnu"))</f>
        <v/>
      </c>
      <c r="D811" s="5">
        <f>IF(A811="","",IFERROR(VLOOKUP(B811,TblArticles,3,FALSE),""))</f>
        <v/>
      </c>
      <c r="E811" s="6">
        <f>IFERROR(DATE(2000+VALUE(MID(A811,FIND("15",A811,FIND("01",A811)+16)+2,2)),VALUE(MID(A811,FIND("15",A811,FIND("01",A811)+16)+4,2)),VALUE(MID(A811,FIND("15",A811,FIND("01",A811)+16)+6,2))),"")</f>
        <v/>
      </c>
      <c r="F811" s="5">
        <f>IFERROR(MID(A811,FIND("10",A811,FIND("15",A811,FIND("01",A811)+16)+8)+2,50),"")</f>
        <v/>
      </c>
      <c r="G811" s="5" t="n"/>
    </row>
    <row r="812">
      <c r="A812" s="7" t="n"/>
      <c r="B812" s="8">
        <f>IFERROR(MID(A812,FIND("01",A812)+2,14),"")</f>
        <v/>
      </c>
      <c r="C812" s="7">
        <f>IF(A812="","",IFERROR(VLOOKUP(B812,TblArticles,2,FALSE),"GTIN inconnu"))</f>
        <v/>
      </c>
      <c r="D812" s="8">
        <f>IF(A812="","",IFERROR(VLOOKUP(B812,TblArticles,3,FALSE),""))</f>
        <v/>
      </c>
      <c r="E812" s="9">
        <f>IFERROR(DATE(2000+VALUE(MID(A812,FIND("15",A812,FIND("01",A812)+16)+2,2)),VALUE(MID(A812,FIND("15",A812,FIND("01",A812)+16)+4,2)),VALUE(MID(A812,FIND("15",A812,FIND("01",A812)+16)+6,2))),"")</f>
        <v/>
      </c>
      <c r="F812" s="8">
        <f>IFERROR(MID(A812,FIND("10",A812,FIND("15",A812,FIND("01",A812)+16)+8)+2,50),"")</f>
        <v/>
      </c>
      <c r="G812" s="8" t="n"/>
    </row>
    <row r="813">
      <c r="A813" s="4" t="n"/>
      <c r="B813" s="5">
        <f>IFERROR(MID(A813,FIND("01",A813)+2,14),"")</f>
        <v/>
      </c>
      <c r="C813" s="4">
        <f>IF(A813="","",IFERROR(VLOOKUP(B813,TblArticles,2,FALSE),"GTIN inconnu"))</f>
        <v/>
      </c>
      <c r="D813" s="5">
        <f>IF(A813="","",IFERROR(VLOOKUP(B813,TblArticles,3,FALSE),""))</f>
        <v/>
      </c>
      <c r="E813" s="6">
        <f>IFERROR(DATE(2000+VALUE(MID(A813,FIND("15",A813,FIND("01",A813)+16)+2,2)),VALUE(MID(A813,FIND("15",A813,FIND("01",A813)+16)+4,2)),VALUE(MID(A813,FIND("15",A813,FIND("01",A813)+16)+6,2))),"")</f>
        <v/>
      </c>
      <c r="F813" s="5">
        <f>IFERROR(MID(A813,FIND("10",A813,FIND("15",A813,FIND("01",A813)+16)+8)+2,50),"")</f>
        <v/>
      </c>
      <c r="G813" s="5" t="n"/>
    </row>
    <row r="814">
      <c r="A814" s="7" t="n"/>
      <c r="B814" s="8">
        <f>IFERROR(MID(A814,FIND("01",A814)+2,14),"")</f>
        <v/>
      </c>
      <c r="C814" s="7">
        <f>IF(A814="","",IFERROR(VLOOKUP(B814,TblArticles,2,FALSE),"GTIN inconnu"))</f>
        <v/>
      </c>
      <c r="D814" s="8">
        <f>IF(A814="","",IFERROR(VLOOKUP(B814,TblArticles,3,FALSE),""))</f>
        <v/>
      </c>
      <c r="E814" s="9">
        <f>IFERROR(DATE(2000+VALUE(MID(A814,FIND("15",A814,FIND("01",A814)+16)+2,2)),VALUE(MID(A814,FIND("15",A814,FIND("01",A814)+16)+4,2)),VALUE(MID(A814,FIND("15",A814,FIND("01",A814)+16)+6,2))),"")</f>
        <v/>
      </c>
      <c r="F814" s="8">
        <f>IFERROR(MID(A814,FIND("10",A814,FIND("15",A814,FIND("01",A814)+16)+8)+2,50),"")</f>
        <v/>
      </c>
      <c r="G814" s="8" t="n"/>
    </row>
    <row r="815">
      <c r="A815" s="4" t="n"/>
      <c r="B815" s="5">
        <f>IFERROR(MID(A815,FIND("01",A815)+2,14),"")</f>
        <v/>
      </c>
      <c r="C815" s="4">
        <f>IF(A815="","",IFERROR(VLOOKUP(B815,TblArticles,2,FALSE),"GTIN inconnu"))</f>
        <v/>
      </c>
      <c r="D815" s="5">
        <f>IF(A815="","",IFERROR(VLOOKUP(B815,TblArticles,3,FALSE),""))</f>
        <v/>
      </c>
      <c r="E815" s="6">
        <f>IFERROR(DATE(2000+VALUE(MID(A815,FIND("15",A815,FIND("01",A815)+16)+2,2)),VALUE(MID(A815,FIND("15",A815,FIND("01",A815)+16)+4,2)),VALUE(MID(A815,FIND("15",A815,FIND("01",A815)+16)+6,2))),"")</f>
        <v/>
      </c>
      <c r="F815" s="5">
        <f>IFERROR(MID(A815,FIND("10",A815,FIND("15",A815,FIND("01",A815)+16)+8)+2,50),"")</f>
        <v/>
      </c>
      <c r="G815" s="5" t="n"/>
    </row>
    <row r="816">
      <c r="A816" s="7" t="n"/>
      <c r="B816" s="8">
        <f>IFERROR(MID(A816,FIND("01",A816)+2,14),"")</f>
        <v/>
      </c>
      <c r="C816" s="7">
        <f>IF(A816="","",IFERROR(VLOOKUP(B816,TblArticles,2,FALSE),"GTIN inconnu"))</f>
        <v/>
      </c>
      <c r="D816" s="8">
        <f>IF(A816="","",IFERROR(VLOOKUP(B816,TblArticles,3,FALSE),""))</f>
        <v/>
      </c>
      <c r="E816" s="9">
        <f>IFERROR(DATE(2000+VALUE(MID(A816,FIND("15",A816,FIND("01",A816)+16)+2,2)),VALUE(MID(A816,FIND("15",A816,FIND("01",A816)+16)+4,2)),VALUE(MID(A816,FIND("15",A816,FIND("01",A816)+16)+6,2))),"")</f>
        <v/>
      </c>
      <c r="F816" s="8">
        <f>IFERROR(MID(A816,FIND("10",A816,FIND("15",A816,FIND("01",A816)+16)+8)+2,50),"")</f>
        <v/>
      </c>
      <c r="G816" s="8" t="n"/>
    </row>
    <row r="817">
      <c r="A817" s="4" t="n"/>
      <c r="B817" s="5">
        <f>IFERROR(MID(A817,FIND("01",A817)+2,14),"")</f>
        <v/>
      </c>
      <c r="C817" s="4">
        <f>IF(A817="","",IFERROR(VLOOKUP(B817,TblArticles,2,FALSE),"GTIN inconnu"))</f>
        <v/>
      </c>
      <c r="D817" s="5">
        <f>IF(A817="","",IFERROR(VLOOKUP(B817,TblArticles,3,FALSE),""))</f>
        <v/>
      </c>
      <c r="E817" s="6">
        <f>IFERROR(DATE(2000+VALUE(MID(A817,FIND("15",A817,FIND("01",A817)+16)+2,2)),VALUE(MID(A817,FIND("15",A817,FIND("01",A817)+16)+4,2)),VALUE(MID(A817,FIND("15",A817,FIND("01",A817)+16)+6,2))),"")</f>
        <v/>
      </c>
      <c r="F817" s="5">
        <f>IFERROR(MID(A817,FIND("10",A817,FIND("15",A817,FIND("01",A817)+16)+8)+2,50),"")</f>
        <v/>
      </c>
      <c r="G817" s="5" t="n"/>
    </row>
    <row r="818">
      <c r="A818" s="7" t="n"/>
      <c r="B818" s="8">
        <f>IFERROR(MID(A818,FIND("01",A818)+2,14),"")</f>
        <v/>
      </c>
      <c r="C818" s="7">
        <f>IF(A818="","",IFERROR(VLOOKUP(B818,TblArticles,2,FALSE),"GTIN inconnu"))</f>
        <v/>
      </c>
      <c r="D818" s="8">
        <f>IF(A818="","",IFERROR(VLOOKUP(B818,TblArticles,3,FALSE),""))</f>
        <v/>
      </c>
      <c r="E818" s="9">
        <f>IFERROR(DATE(2000+VALUE(MID(A818,FIND("15",A818,FIND("01",A818)+16)+2,2)),VALUE(MID(A818,FIND("15",A818,FIND("01",A818)+16)+4,2)),VALUE(MID(A818,FIND("15",A818,FIND("01",A818)+16)+6,2))),"")</f>
        <v/>
      </c>
      <c r="F818" s="8">
        <f>IFERROR(MID(A818,FIND("10",A818,FIND("15",A818,FIND("01",A818)+16)+8)+2,50),"")</f>
        <v/>
      </c>
      <c r="G818" s="8" t="n"/>
    </row>
    <row r="819">
      <c r="A819" s="4" t="n"/>
      <c r="B819" s="5">
        <f>IFERROR(MID(A819,FIND("01",A819)+2,14),"")</f>
        <v/>
      </c>
      <c r="C819" s="4">
        <f>IF(A819="","",IFERROR(VLOOKUP(B819,TblArticles,2,FALSE),"GTIN inconnu"))</f>
        <v/>
      </c>
      <c r="D819" s="5">
        <f>IF(A819="","",IFERROR(VLOOKUP(B819,TblArticles,3,FALSE),""))</f>
        <v/>
      </c>
      <c r="E819" s="6">
        <f>IFERROR(DATE(2000+VALUE(MID(A819,FIND("15",A819,FIND("01",A819)+16)+2,2)),VALUE(MID(A819,FIND("15",A819,FIND("01",A819)+16)+4,2)),VALUE(MID(A819,FIND("15",A819,FIND("01",A819)+16)+6,2))),"")</f>
        <v/>
      </c>
      <c r="F819" s="5">
        <f>IFERROR(MID(A819,FIND("10",A819,FIND("15",A819,FIND("01",A819)+16)+8)+2,50),"")</f>
        <v/>
      </c>
      <c r="G819" s="5" t="n"/>
    </row>
    <row r="820">
      <c r="A820" s="7" t="n"/>
      <c r="B820" s="8">
        <f>IFERROR(MID(A820,FIND("01",A820)+2,14),"")</f>
        <v/>
      </c>
      <c r="C820" s="7">
        <f>IF(A820="","",IFERROR(VLOOKUP(B820,TblArticles,2,FALSE),"GTIN inconnu"))</f>
        <v/>
      </c>
      <c r="D820" s="8">
        <f>IF(A820="","",IFERROR(VLOOKUP(B820,TblArticles,3,FALSE),""))</f>
        <v/>
      </c>
      <c r="E820" s="9">
        <f>IFERROR(DATE(2000+VALUE(MID(A820,FIND("15",A820,FIND("01",A820)+16)+2,2)),VALUE(MID(A820,FIND("15",A820,FIND("01",A820)+16)+4,2)),VALUE(MID(A820,FIND("15",A820,FIND("01",A820)+16)+6,2))),"")</f>
        <v/>
      </c>
      <c r="F820" s="8">
        <f>IFERROR(MID(A820,FIND("10",A820,FIND("15",A820,FIND("01",A820)+16)+8)+2,50),"")</f>
        <v/>
      </c>
      <c r="G820" s="8" t="n"/>
    </row>
    <row r="821">
      <c r="A821" s="4" t="n"/>
      <c r="B821" s="5">
        <f>IFERROR(MID(A821,FIND("01",A821)+2,14),"")</f>
        <v/>
      </c>
      <c r="C821" s="4">
        <f>IF(A821="","",IFERROR(VLOOKUP(B821,TblArticles,2,FALSE),"GTIN inconnu"))</f>
        <v/>
      </c>
      <c r="D821" s="5">
        <f>IF(A821="","",IFERROR(VLOOKUP(B821,TblArticles,3,FALSE),""))</f>
        <v/>
      </c>
      <c r="E821" s="6">
        <f>IFERROR(DATE(2000+VALUE(MID(A821,FIND("15",A821,FIND("01",A821)+16)+2,2)),VALUE(MID(A821,FIND("15",A821,FIND("01",A821)+16)+4,2)),VALUE(MID(A821,FIND("15",A821,FIND("01",A821)+16)+6,2))),"")</f>
        <v/>
      </c>
      <c r="F821" s="5">
        <f>IFERROR(MID(A821,FIND("10",A821,FIND("15",A821,FIND("01",A821)+16)+8)+2,50),"")</f>
        <v/>
      </c>
      <c r="G821" s="5" t="n"/>
    </row>
    <row r="822">
      <c r="A822" s="7" t="n"/>
      <c r="B822" s="8">
        <f>IFERROR(MID(A822,FIND("01",A822)+2,14),"")</f>
        <v/>
      </c>
      <c r="C822" s="7">
        <f>IF(A822="","",IFERROR(VLOOKUP(B822,TblArticles,2,FALSE),"GTIN inconnu"))</f>
        <v/>
      </c>
      <c r="D822" s="8">
        <f>IF(A822="","",IFERROR(VLOOKUP(B822,TblArticles,3,FALSE),""))</f>
        <v/>
      </c>
      <c r="E822" s="9">
        <f>IFERROR(DATE(2000+VALUE(MID(A822,FIND("15",A822,FIND("01",A822)+16)+2,2)),VALUE(MID(A822,FIND("15",A822,FIND("01",A822)+16)+4,2)),VALUE(MID(A822,FIND("15",A822,FIND("01",A822)+16)+6,2))),"")</f>
        <v/>
      </c>
      <c r="F822" s="8">
        <f>IFERROR(MID(A822,FIND("10",A822,FIND("15",A822,FIND("01",A822)+16)+8)+2,50),"")</f>
        <v/>
      </c>
      <c r="G822" s="8" t="n"/>
    </row>
    <row r="823">
      <c r="A823" s="4" t="n"/>
      <c r="B823" s="5">
        <f>IFERROR(MID(A823,FIND("01",A823)+2,14),"")</f>
        <v/>
      </c>
      <c r="C823" s="4">
        <f>IF(A823="","",IFERROR(VLOOKUP(B823,TblArticles,2,FALSE),"GTIN inconnu"))</f>
        <v/>
      </c>
      <c r="D823" s="5">
        <f>IF(A823="","",IFERROR(VLOOKUP(B823,TblArticles,3,FALSE),""))</f>
        <v/>
      </c>
      <c r="E823" s="6">
        <f>IFERROR(DATE(2000+VALUE(MID(A823,FIND("15",A823,FIND("01",A823)+16)+2,2)),VALUE(MID(A823,FIND("15",A823,FIND("01",A823)+16)+4,2)),VALUE(MID(A823,FIND("15",A823,FIND("01",A823)+16)+6,2))),"")</f>
        <v/>
      </c>
      <c r="F823" s="5">
        <f>IFERROR(MID(A823,FIND("10",A823,FIND("15",A823,FIND("01",A823)+16)+8)+2,50),"")</f>
        <v/>
      </c>
      <c r="G823" s="5" t="n"/>
    </row>
    <row r="824">
      <c r="A824" s="7" t="n"/>
      <c r="B824" s="8">
        <f>IFERROR(MID(A824,FIND("01",A824)+2,14),"")</f>
        <v/>
      </c>
      <c r="C824" s="7">
        <f>IF(A824="","",IFERROR(VLOOKUP(B824,TblArticles,2,FALSE),"GTIN inconnu"))</f>
        <v/>
      </c>
      <c r="D824" s="8">
        <f>IF(A824="","",IFERROR(VLOOKUP(B824,TblArticles,3,FALSE),""))</f>
        <v/>
      </c>
      <c r="E824" s="9">
        <f>IFERROR(DATE(2000+VALUE(MID(A824,FIND("15",A824,FIND("01",A824)+16)+2,2)),VALUE(MID(A824,FIND("15",A824,FIND("01",A824)+16)+4,2)),VALUE(MID(A824,FIND("15",A824,FIND("01",A824)+16)+6,2))),"")</f>
        <v/>
      </c>
      <c r="F824" s="8">
        <f>IFERROR(MID(A824,FIND("10",A824,FIND("15",A824,FIND("01",A824)+16)+8)+2,50),"")</f>
        <v/>
      </c>
      <c r="G824" s="8" t="n"/>
    </row>
    <row r="825">
      <c r="A825" s="4" t="n"/>
      <c r="B825" s="5">
        <f>IFERROR(MID(A825,FIND("01",A825)+2,14),"")</f>
        <v/>
      </c>
      <c r="C825" s="4">
        <f>IF(A825="","",IFERROR(VLOOKUP(B825,TblArticles,2,FALSE),"GTIN inconnu"))</f>
        <v/>
      </c>
      <c r="D825" s="5">
        <f>IF(A825="","",IFERROR(VLOOKUP(B825,TblArticles,3,FALSE),""))</f>
        <v/>
      </c>
      <c r="E825" s="6">
        <f>IFERROR(DATE(2000+VALUE(MID(A825,FIND("15",A825,FIND("01",A825)+16)+2,2)),VALUE(MID(A825,FIND("15",A825,FIND("01",A825)+16)+4,2)),VALUE(MID(A825,FIND("15",A825,FIND("01",A825)+16)+6,2))),"")</f>
        <v/>
      </c>
      <c r="F825" s="5">
        <f>IFERROR(MID(A825,FIND("10",A825,FIND("15",A825,FIND("01",A825)+16)+8)+2,50),"")</f>
        <v/>
      </c>
      <c r="G825" s="5" t="n"/>
    </row>
    <row r="826">
      <c r="A826" s="7" t="n"/>
      <c r="B826" s="8">
        <f>IFERROR(MID(A826,FIND("01",A826)+2,14),"")</f>
        <v/>
      </c>
      <c r="C826" s="7">
        <f>IF(A826="","",IFERROR(VLOOKUP(B826,TblArticles,2,FALSE),"GTIN inconnu"))</f>
        <v/>
      </c>
      <c r="D826" s="8">
        <f>IF(A826="","",IFERROR(VLOOKUP(B826,TblArticles,3,FALSE),""))</f>
        <v/>
      </c>
      <c r="E826" s="9">
        <f>IFERROR(DATE(2000+VALUE(MID(A826,FIND("15",A826,FIND("01",A826)+16)+2,2)),VALUE(MID(A826,FIND("15",A826,FIND("01",A826)+16)+4,2)),VALUE(MID(A826,FIND("15",A826,FIND("01",A826)+16)+6,2))),"")</f>
        <v/>
      </c>
      <c r="F826" s="8">
        <f>IFERROR(MID(A826,FIND("10",A826,FIND("15",A826,FIND("01",A826)+16)+8)+2,50),"")</f>
        <v/>
      </c>
      <c r="G826" s="8" t="n"/>
    </row>
    <row r="827">
      <c r="A827" s="4" t="n"/>
      <c r="B827" s="5">
        <f>IFERROR(MID(A827,FIND("01",A827)+2,14),"")</f>
        <v/>
      </c>
      <c r="C827" s="4">
        <f>IF(A827="","",IFERROR(VLOOKUP(B827,TblArticles,2,FALSE),"GTIN inconnu"))</f>
        <v/>
      </c>
      <c r="D827" s="5">
        <f>IF(A827="","",IFERROR(VLOOKUP(B827,TblArticles,3,FALSE),""))</f>
        <v/>
      </c>
      <c r="E827" s="6">
        <f>IFERROR(DATE(2000+VALUE(MID(A827,FIND("15",A827,FIND("01",A827)+16)+2,2)),VALUE(MID(A827,FIND("15",A827,FIND("01",A827)+16)+4,2)),VALUE(MID(A827,FIND("15",A827,FIND("01",A827)+16)+6,2))),"")</f>
        <v/>
      </c>
      <c r="F827" s="5">
        <f>IFERROR(MID(A827,FIND("10",A827,FIND("15",A827,FIND("01",A827)+16)+8)+2,50),"")</f>
        <v/>
      </c>
      <c r="G827" s="5" t="n"/>
    </row>
    <row r="828">
      <c r="A828" s="7" t="n"/>
      <c r="B828" s="8">
        <f>IFERROR(MID(A828,FIND("01",A828)+2,14),"")</f>
        <v/>
      </c>
      <c r="C828" s="7">
        <f>IF(A828="","",IFERROR(VLOOKUP(B828,TblArticles,2,FALSE),"GTIN inconnu"))</f>
        <v/>
      </c>
      <c r="D828" s="8">
        <f>IF(A828="","",IFERROR(VLOOKUP(B828,TblArticles,3,FALSE),""))</f>
        <v/>
      </c>
      <c r="E828" s="9">
        <f>IFERROR(DATE(2000+VALUE(MID(A828,FIND("15",A828,FIND("01",A828)+16)+2,2)),VALUE(MID(A828,FIND("15",A828,FIND("01",A828)+16)+4,2)),VALUE(MID(A828,FIND("15",A828,FIND("01",A828)+16)+6,2))),"")</f>
        <v/>
      </c>
      <c r="F828" s="8">
        <f>IFERROR(MID(A828,FIND("10",A828,FIND("15",A828,FIND("01",A828)+16)+8)+2,50),"")</f>
        <v/>
      </c>
      <c r="G828" s="8" t="n"/>
    </row>
    <row r="829">
      <c r="A829" s="4" t="n"/>
      <c r="B829" s="5">
        <f>IFERROR(MID(A829,FIND("01",A829)+2,14),"")</f>
        <v/>
      </c>
      <c r="C829" s="4">
        <f>IF(A829="","",IFERROR(VLOOKUP(B829,TblArticles,2,FALSE),"GTIN inconnu"))</f>
        <v/>
      </c>
      <c r="D829" s="5">
        <f>IF(A829="","",IFERROR(VLOOKUP(B829,TblArticles,3,FALSE),""))</f>
        <v/>
      </c>
      <c r="E829" s="6">
        <f>IFERROR(DATE(2000+VALUE(MID(A829,FIND("15",A829,FIND("01",A829)+16)+2,2)),VALUE(MID(A829,FIND("15",A829,FIND("01",A829)+16)+4,2)),VALUE(MID(A829,FIND("15",A829,FIND("01",A829)+16)+6,2))),"")</f>
        <v/>
      </c>
      <c r="F829" s="5">
        <f>IFERROR(MID(A829,FIND("10",A829,FIND("15",A829,FIND("01",A829)+16)+8)+2,50),"")</f>
        <v/>
      </c>
      <c r="G829" s="5" t="n"/>
    </row>
    <row r="830">
      <c r="A830" s="7" t="n"/>
      <c r="B830" s="8">
        <f>IFERROR(MID(A830,FIND("01",A830)+2,14),"")</f>
        <v/>
      </c>
      <c r="C830" s="7">
        <f>IF(A830="","",IFERROR(VLOOKUP(B830,TblArticles,2,FALSE),"GTIN inconnu"))</f>
        <v/>
      </c>
      <c r="D830" s="8">
        <f>IF(A830="","",IFERROR(VLOOKUP(B830,TblArticles,3,FALSE),""))</f>
        <v/>
      </c>
      <c r="E830" s="9">
        <f>IFERROR(DATE(2000+VALUE(MID(A830,FIND("15",A830,FIND("01",A830)+16)+2,2)),VALUE(MID(A830,FIND("15",A830,FIND("01",A830)+16)+4,2)),VALUE(MID(A830,FIND("15",A830,FIND("01",A830)+16)+6,2))),"")</f>
        <v/>
      </c>
      <c r="F830" s="8">
        <f>IFERROR(MID(A830,FIND("10",A830,FIND("15",A830,FIND("01",A830)+16)+8)+2,50),"")</f>
        <v/>
      </c>
      <c r="G830" s="8" t="n"/>
    </row>
    <row r="831">
      <c r="A831" s="4" t="n"/>
      <c r="B831" s="5">
        <f>IFERROR(MID(A831,FIND("01",A831)+2,14),"")</f>
        <v/>
      </c>
      <c r="C831" s="4">
        <f>IF(A831="","",IFERROR(VLOOKUP(B831,TblArticles,2,FALSE),"GTIN inconnu"))</f>
        <v/>
      </c>
      <c r="D831" s="5">
        <f>IF(A831="","",IFERROR(VLOOKUP(B831,TblArticles,3,FALSE),""))</f>
        <v/>
      </c>
      <c r="E831" s="6">
        <f>IFERROR(DATE(2000+VALUE(MID(A831,FIND("15",A831,FIND("01",A831)+16)+2,2)),VALUE(MID(A831,FIND("15",A831,FIND("01",A831)+16)+4,2)),VALUE(MID(A831,FIND("15",A831,FIND("01",A831)+16)+6,2))),"")</f>
        <v/>
      </c>
      <c r="F831" s="5">
        <f>IFERROR(MID(A831,FIND("10",A831,FIND("15",A831,FIND("01",A831)+16)+8)+2,50),"")</f>
        <v/>
      </c>
      <c r="G831" s="5" t="n"/>
    </row>
    <row r="832">
      <c r="A832" s="7" t="n"/>
      <c r="B832" s="8">
        <f>IFERROR(MID(A832,FIND("01",A832)+2,14),"")</f>
        <v/>
      </c>
      <c r="C832" s="7">
        <f>IF(A832="","",IFERROR(VLOOKUP(B832,TblArticles,2,FALSE),"GTIN inconnu"))</f>
        <v/>
      </c>
      <c r="D832" s="8">
        <f>IF(A832="","",IFERROR(VLOOKUP(B832,TblArticles,3,FALSE),""))</f>
        <v/>
      </c>
      <c r="E832" s="9">
        <f>IFERROR(DATE(2000+VALUE(MID(A832,FIND("15",A832,FIND("01",A832)+16)+2,2)),VALUE(MID(A832,FIND("15",A832,FIND("01",A832)+16)+4,2)),VALUE(MID(A832,FIND("15",A832,FIND("01",A832)+16)+6,2))),"")</f>
        <v/>
      </c>
      <c r="F832" s="8">
        <f>IFERROR(MID(A832,FIND("10",A832,FIND("15",A832,FIND("01",A832)+16)+8)+2,50),"")</f>
        <v/>
      </c>
      <c r="G832" s="8" t="n"/>
    </row>
    <row r="833">
      <c r="A833" s="4" t="n"/>
      <c r="B833" s="5">
        <f>IFERROR(MID(A833,FIND("01",A833)+2,14),"")</f>
        <v/>
      </c>
      <c r="C833" s="4">
        <f>IF(A833="","",IFERROR(VLOOKUP(B833,TblArticles,2,FALSE),"GTIN inconnu"))</f>
        <v/>
      </c>
      <c r="D833" s="5">
        <f>IF(A833="","",IFERROR(VLOOKUP(B833,TblArticles,3,FALSE),""))</f>
        <v/>
      </c>
      <c r="E833" s="6">
        <f>IFERROR(DATE(2000+VALUE(MID(A833,FIND("15",A833,FIND("01",A833)+16)+2,2)),VALUE(MID(A833,FIND("15",A833,FIND("01",A833)+16)+4,2)),VALUE(MID(A833,FIND("15",A833,FIND("01",A833)+16)+6,2))),"")</f>
        <v/>
      </c>
      <c r="F833" s="5">
        <f>IFERROR(MID(A833,FIND("10",A833,FIND("15",A833,FIND("01",A833)+16)+8)+2,50),"")</f>
        <v/>
      </c>
      <c r="G833" s="5" t="n"/>
    </row>
    <row r="834">
      <c r="A834" s="7" t="n"/>
      <c r="B834" s="8">
        <f>IFERROR(MID(A834,FIND("01",A834)+2,14),"")</f>
        <v/>
      </c>
      <c r="C834" s="7">
        <f>IF(A834="","",IFERROR(VLOOKUP(B834,TblArticles,2,FALSE),"GTIN inconnu"))</f>
        <v/>
      </c>
      <c r="D834" s="8">
        <f>IF(A834="","",IFERROR(VLOOKUP(B834,TblArticles,3,FALSE),""))</f>
        <v/>
      </c>
      <c r="E834" s="9">
        <f>IFERROR(DATE(2000+VALUE(MID(A834,FIND("15",A834,FIND("01",A834)+16)+2,2)),VALUE(MID(A834,FIND("15",A834,FIND("01",A834)+16)+4,2)),VALUE(MID(A834,FIND("15",A834,FIND("01",A834)+16)+6,2))),"")</f>
        <v/>
      </c>
      <c r="F834" s="8">
        <f>IFERROR(MID(A834,FIND("10",A834,FIND("15",A834,FIND("01",A834)+16)+8)+2,50),"")</f>
        <v/>
      </c>
      <c r="G834" s="8" t="n"/>
    </row>
    <row r="835">
      <c r="A835" s="4" t="n"/>
      <c r="B835" s="5">
        <f>IFERROR(MID(A835,FIND("01",A835)+2,14),"")</f>
        <v/>
      </c>
      <c r="C835" s="4">
        <f>IF(A835="","",IFERROR(VLOOKUP(B835,TblArticles,2,FALSE),"GTIN inconnu"))</f>
        <v/>
      </c>
      <c r="D835" s="5">
        <f>IF(A835="","",IFERROR(VLOOKUP(B835,TblArticles,3,FALSE),""))</f>
        <v/>
      </c>
      <c r="E835" s="6">
        <f>IFERROR(DATE(2000+VALUE(MID(A835,FIND("15",A835,FIND("01",A835)+16)+2,2)),VALUE(MID(A835,FIND("15",A835,FIND("01",A835)+16)+4,2)),VALUE(MID(A835,FIND("15",A835,FIND("01",A835)+16)+6,2))),"")</f>
        <v/>
      </c>
      <c r="F835" s="5">
        <f>IFERROR(MID(A835,FIND("10",A835,FIND("15",A835,FIND("01",A835)+16)+8)+2,50),"")</f>
        <v/>
      </c>
      <c r="G835" s="5" t="n"/>
    </row>
    <row r="836">
      <c r="A836" s="7" t="n"/>
      <c r="B836" s="8">
        <f>IFERROR(MID(A836,FIND("01",A836)+2,14),"")</f>
        <v/>
      </c>
      <c r="C836" s="7">
        <f>IF(A836="","",IFERROR(VLOOKUP(B836,TblArticles,2,FALSE),"GTIN inconnu"))</f>
        <v/>
      </c>
      <c r="D836" s="8">
        <f>IF(A836="","",IFERROR(VLOOKUP(B836,TblArticles,3,FALSE),""))</f>
        <v/>
      </c>
      <c r="E836" s="9">
        <f>IFERROR(DATE(2000+VALUE(MID(A836,FIND("15",A836,FIND("01",A836)+16)+2,2)),VALUE(MID(A836,FIND("15",A836,FIND("01",A836)+16)+4,2)),VALUE(MID(A836,FIND("15",A836,FIND("01",A836)+16)+6,2))),"")</f>
        <v/>
      </c>
      <c r="F836" s="8">
        <f>IFERROR(MID(A836,FIND("10",A836,FIND("15",A836,FIND("01",A836)+16)+8)+2,50),"")</f>
        <v/>
      </c>
      <c r="G836" s="8" t="n"/>
    </row>
    <row r="837">
      <c r="A837" s="4" t="n"/>
      <c r="B837" s="5">
        <f>IFERROR(MID(A837,FIND("01",A837)+2,14),"")</f>
        <v/>
      </c>
      <c r="C837" s="4">
        <f>IF(A837="","",IFERROR(VLOOKUP(B837,TblArticles,2,FALSE),"GTIN inconnu"))</f>
        <v/>
      </c>
      <c r="D837" s="5">
        <f>IF(A837="","",IFERROR(VLOOKUP(B837,TblArticles,3,FALSE),""))</f>
        <v/>
      </c>
      <c r="E837" s="6">
        <f>IFERROR(DATE(2000+VALUE(MID(A837,FIND("15",A837,FIND("01",A837)+16)+2,2)),VALUE(MID(A837,FIND("15",A837,FIND("01",A837)+16)+4,2)),VALUE(MID(A837,FIND("15",A837,FIND("01",A837)+16)+6,2))),"")</f>
        <v/>
      </c>
      <c r="F837" s="5">
        <f>IFERROR(MID(A837,FIND("10",A837,FIND("15",A837,FIND("01",A837)+16)+8)+2,50),"")</f>
        <v/>
      </c>
      <c r="G837" s="5" t="n"/>
    </row>
    <row r="838">
      <c r="A838" s="7" t="n"/>
      <c r="B838" s="8">
        <f>IFERROR(MID(A838,FIND("01",A838)+2,14),"")</f>
        <v/>
      </c>
      <c r="C838" s="7">
        <f>IF(A838="","",IFERROR(VLOOKUP(B838,TblArticles,2,FALSE),"GTIN inconnu"))</f>
        <v/>
      </c>
      <c r="D838" s="8">
        <f>IF(A838="","",IFERROR(VLOOKUP(B838,TblArticles,3,FALSE),""))</f>
        <v/>
      </c>
      <c r="E838" s="9">
        <f>IFERROR(DATE(2000+VALUE(MID(A838,FIND("15",A838,FIND("01",A838)+16)+2,2)),VALUE(MID(A838,FIND("15",A838,FIND("01",A838)+16)+4,2)),VALUE(MID(A838,FIND("15",A838,FIND("01",A838)+16)+6,2))),"")</f>
        <v/>
      </c>
      <c r="F838" s="8">
        <f>IFERROR(MID(A838,FIND("10",A838,FIND("15",A838,FIND("01",A838)+16)+8)+2,50),"")</f>
        <v/>
      </c>
      <c r="G838" s="8" t="n"/>
    </row>
    <row r="839">
      <c r="A839" s="4" t="n"/>
      <c r="B839" s="5">
        <f>IFERROR(MID(A839,FIND("01",A839)+2,14),"")</f>
        <v/>
      </c>
      <c r="C839" s="4">
        <f>IF(A839="","",IFERROR(VLOOKUP(B839,TblArticles,2,FALSE),"GTIN inconnu"))</f>
        <v/>
      </c>
      <c r="D839" s="5">
        <f>IF(A839="","",IFERROR(VLOOKUP(B839,TblArticles,3,FALSE),""))</f>
        <v/>
      </c>
      <c r="E839" s="6">
        <f>IFERROR(DATE(2000+VALUE(MID(A839,FIND("15",A839,FIND("01",A839)+16)+2,2)),VALUE(MID(A839,FIND("15",A839,FIND("01",A839)+16)+4,2)),VALUE(MID(A839,FIND("15",A839,FIND("01",A839)+16)+6,2))),"")</f>
        <v/>
      </c>
      <c r="F839" s="5">
        <f>IFERROR(MID(A839,FIND("10",A839,FIND("15",A839,FIND("01",A839)+16)+8)+2,50),"")</f>
        <v/>
      </c>
      <c r="G839" s="5" t="n"/>
    </row>
    <row r="840">
      <c r="A840" s="7" t="n"/>
      <c r="B840" s="8">
        <f>IFERROR(MID(A840,FIND("01",A840)+2,14),"")</f>
        <v/>
      </c>
      <c r="C840" s="7">
        <f>IF(A840="","",IFERROR(VLOOKUP(B840,TblArticles,2,FALSE),"GTIN inconnu"))</f>
        <v/>
      </c>
      <c r="D840" s="8">
        <f>IF(A840="","",IFERROR(VLOOKUP(B840,TblArticles,3,FALSE),""))</f>
        <v/>
      </c>
      <c r="E840" s="9">
        <f>IFERROR(DATE(2000+VALUE(MID(A840,FIND("15",A840,FIND("01",A840)+16)+2,2)),VALUE(MID(A840,FIND("15",A840,FIND("01",A840)+16)+4,2)),VALUE(MID(A840,FIND("15",A840,FIND("01",A840)+16)+6,2))),"")</f>
        <v/>
      </c>
      <c r="F840" s="8">
        <f>IFERROR(MID(A840,FIND("10",A840,FIND("15",A840,FIND("01",A840)+16)+8)+2,50),"")</f>
        <v/>
      </c>
      <c r="G840" s="8" t="n"/>
    </row>
    <row r="841">
      <c r="A841" s="4" t="n"/>
      <c r="B841" s="5">
        <f>IFERROR(MID(A841,FIND("01",A841)+2,14),"")</f>
        <v/>
      </c>
      <c r="C841" s="4">
        <f>IF(A841="","",IFERROR(VLOOKUP(B841,TblArticles,2,FALSE),"GTIN inconnu"))</f>
        <v/>
      </c>
      <c r="D841" s="5">
        <f>IF(A841="","",IFERROR(VLOOKUP(B841,TblArticles,3,FALSE),""))</f>
        <v/>
      </c>
      <c r="E841" s="6">
        <f>IFERROR(DATE(2000+VALUE(MID(A841,FIND("15",A841,FIND("01",A841)+16)+2,2)),VALUE(MID(A841,FIND("15",A841,FIND("01",A841)+16)+4,2)),VALUE(MID(A841,FIND("15",A841,FIND("01",A841)+16)+6,2))),"")</f>
        <v/>
      </c>
      <c r="F841" s="5">
        <f>IFERROR(MID(A841,FIND("10",A841,FIND("15",A841,FIND("01",A841)+16)+8)+2,50),"")</f>
        <v/>
      </c>
      <c r="G841" s="5" t="n"/>
    </row>
    <row r="842">
      <c r="A842" s="7" t="n"/>
      <c r="B842" s="8">
        <f>IFERROR(MID(A842,FIND("01",A842)+2,14),"")</f>
        <v/>
      </c>
      <c r="C842" s="7">
        <f>IF(A842="","",IFERROR(VLOOKUP(B842,TblArticles,2,FALSE),"GTIN inconnu"))</f>
        <v/>
      </c>
      <c r="D842" s="8">
        <f>IF(A842="","",IFERROR(VLOOKUP(B842,TblArticles,3,FALSE),""))</f>
        <v/>
      </c>
      <c r="E842" s="9">
        <f>IFERROR(DATE(2000+VALUE(MID(A842,FIND("15",A842,FIND("01",A842)+16)+2,2)),VALUE(MID(A842,FIND("15",A842,FIND("01",A842)+16)+4,2)),VALUE(MID(A842,FIND("15",A842,FIND("01",A842)+16)+6,2))),"")</f>
        <v/>
      </c>
      <c r="F842" s="8">
        <f>IFERROR(MID(A842,FIND("10",A842,FIND("15",A842,FIND("01",A842)+16)+8)+2,50),"")</f>
        <v/>
      </c>
      <c r="G842" s="8" t="n"/>
    </row>
    <row r="843">
      <c r="A843" s="4" t="n"/>
      <c r="B843" s="5">
        <f>IFERROR(MID(A843,FIND("01",A843)+2,14),"")</f>
        <v/>
      </c>
      <c r="C843" s="4">
        <f>IF(A843="","",IFERROR(VLOOKUP(B843,TblArticles,2,FALSE),"GTIN inconnu"))</f>
        <v/>
      </c>
      <c r="D843" s="5">
        <f>IF(A843="","",IFERROR(VLOOKUP(B843,TblArticles,3,FALSE),""))</f>
        <v/>
      </c>
      <c r="E843" s="6">
        <f>IFERROR(DATE(2000+VALUE(MID(A843,FIND("15",A843,FIND("01",A843)+16)+2,2)),VALUE(MID(A843,FIND("15",A843,FIND("01",A843)+16)+4,2)),VALUE(MID(A843,FIND("15",A843,FIND("01",A843)+16)+6,2))),"")</f>
        <v/>
      </c>
      <c r="F843" s="5">
        <f>IFERROR(MID(A843,FIND("10",A843,FIND("15",A843,FIND("01",A843)+16)+8)+2,50),"")</f>
        <v/>
      </c>
      <c r="G843" s="5" t="n"/>
    </row>
    <row r="844">
      <c r="A844" s="7" t="n"/>
      <c r="B844" s="8">
        <f>IFERROR(MID(A844,FIND("01",A844)+2,14),"")</f>
        <v/>
      </c>
      <c r="C844" s="7">
        <f>IF(A844="","",IFERROR(VLOOKUP(B844,TblArticles,2,FALSE),"GTIN inconnu"))</f>
        <v/>
      </c>
      <c r="D844" s="8">
        <f>IF(A844="","",IFERROR(VLOOKUP(B844,TblArticles,3,FALSE),""))</f>
        <v/>
      </c>
      <c r="E844" s="9">
        <f>IFERROR(DATE(2000+VALUE(MID(A844,FIND("15",A844,FIND("01",A844)+16)+2,2)),VALUE(MID(A844,FIND("15",A844,FIND("01",A844)+16)+4,2)),VALUE(MID(A844,FIND("15",A844,FIND("01",A844)+16)+6,2))),"")</f>
        <v/>
      </c>
      <c r="F844" s="8">
        <f>IFERROR(MID(A844,FIND("10",A844,FIND("15",A844,FIND("01",A844)+16)+8)+2,50),"")</f>
        <v/>
      </c>
      <c r="G844" s="8" t="n"/>
    </row>
    <row r="845">
      <c r="A845" s="4" t="n"/>
      <c r="B845" s="5">
        <f>IFERROR(MID(A845,FIND("01",A845)+2,14),"")</f>
        <v/>
      </c>
      <c r="C845" s="4">
        <f>IF(A845="","",IFERROR(VLOOKUP(B845,TblArticles,2,FALSE),"GTIN inconnu"))</f>
        <v/>
      </c>
      <c r="D845" s="5">
        <f>IF(A845="","",IFERROR(VLOOKUP(B845,TblArticles,3,FALSE),""))</f>
        <v/>
      </c>
      <c r="E845" s="6">
        <f>IFERROR(DATE(2000+VALUE(MID(A845,FIND("15",A845,FIND("01",A845)+16)+2,2)),VALUE(MID(A845,FIND("15",A845,FIND("01",A845)+16)+4,2)),VALUE(MID(A845,FIND("15",A845,FIND("01",A845)+16)+6,2))),"")</f>
        <v/>
      </c>
      <c r="F845" s="5">
        <f>IFERROR(MID(A845,FIND("10",A845,FIND("15",A845,FIND("01",A845)+16)+8)+2,50),"")</f>
        <v/>
      </c>
      <c r="G845" s="5" t="n"/>
    </row>
    <row r="846">
      <c r="A846" s="7" t="n"/>
      <c r="B846" s="8">
        <f>IFERROR(MID(A846,FIND("01",A846)+2,14),"")</f>
        <v/>
      </c>
      <c r="C846" s="7">
        <f>IF(A846="","",IFERROR(VLOOKUP(B846,TblArticles,2,FALSE),"GTIN inconnu"))</f>
        <v/>
      </c>
      <c r="D846" s="8">
        <f>IF(A846="","",IFERROR(VLOOKUP(B846,TblArticles,3,FALSE),""))</f>
        <v/>
      </c>
      <c r="E846" s="9">
        <f>IFERROR(DATE(2000+VALUE(MID(A846,FIND("15",A846,FIND("01",A846)+16)+2,2)),VALUE(MID(A846,FIND("15",A846,FIND("01",A846)+16)+4,2)),VALUE(MID(A846,FIND("15",A846,FIND("01",A846)+16)+6,2))),"")</f>
        <v/>
      </c>
      <c r="F846" s="8">
        <f>IFERROR(MID(A846,FIND("10",A846,FIND("15",A846,FIND("01",A846)+16)+8)+2,50),"")</f>
        <v/>
      </c>
      <c r="G846" s="8" t="n"/>
    </row>
    <row r="847">
      <c r="A847" s="4" t="n"/>
      <c r="B847" s="5">
        <f>IFERROR(MID(A847,FIND("01",A847)+2,14),"")</f>
        <v/>
      </c>
      <c r="C847" s="4">
        <f>IF(A847="","",IFERROR(VLOOKUP(B847,TblArticles,2,FALSE),"GTIN inconnu"))</f>
        <v/>
      </c>
      <c r="D847" s="5">
        <f>IF(A847="","",IFERROR(VLOOKUP(B847,TblArticles,3,FALSE),""))</f>
        <v/>
      </c>
      <c r="E847" s="6">
        <f>IFERROR(DATE(2000+VALUE(MID(A847,FIND("15",A847,FIND("01",A847)+16)+2,2)),VALUE(MID(A847,FIND("15",A847,FIND("01",A847)+16)+4,2)),VALUE(MID(A847,FIND("15",A847,FIND("01",A847)+16)+6,2))),"")</f>
        <v/>
      </c>
      <c r="F847" s="5">
        <f>IFERROR(MID(A847,FIND("10",A847,FIND("15",A847,FIND("01",A847)+16)+8)+2,50),"")</f>
        <v/>
      </c>
      <c r="G847" s="5" t="n"/>
    </row>
    <row r="848">
      <c r="A848" s="7" t="n"/>
      <c r="B848" s="8">
        <f>IFERROR(MID(A848,FIND("01",A848)+2,14),"")</f>
        <v/>
      </c>
      <c r="C848" s="7">
        <f>IF(A848="","",IFERROR(VLOOKUP(B848,TblArticles,2,FALSE),"GTIN inconnu"))</f>
        <v/>
      </c>
      <c r="D848" s="8">
        <f>IF(A848="","",IFERROR(VLOOKUP(B848,TblArticles,3,FALSE),""))</f>
        <v/>
      </c>
      <c r="E848" s="9">
        <f>IFERROR(DATE(2000+VALUE(MID(A848,FIND("15",A848,FIND("01",A848)+16)+2,2)),VALUE(MID(A848,FIND("15",A848,FIND("01",A848)+16)+4,2)),VALUE(MID(A848,FIND("15",A848,FIND("01",A848)+16)+6,2))),"")</f>
        <v/>
      </c>
      <c r="F848" s="8">
        <f>IFERROR(MID(A848,FIND("10",A848,FIND("15",A848,FIND("01",A848)+16)+8)+2,50),"")</f>
        <v/>
      </c>
      <c r="G848" s="8" t="n"/>
    </row>
    <row r="849">
      <c r="A849" s="4" t="n"/>
      <c r="B849" s="5">
        <f>IFERROR(MID(A849,FIND("01",A849)+2,14),"")</f>
        <v/>
      </c>
      <c r="C849" s="4">
        <f>IF(A849="","",IFERROR(VLOOKUP(B849,TblArticles,2,FALSE),"GTIN inconnu"))</f>
        <v/>
      </c>
      <c r="D849" s="5">
        <f>IF(A849="","",IFERROR(VLOOKUP(B849,TblArticles,3,FALSE),""))</f>
        <v/>
      </c>
      <c r="E849" s="6">
        <f>IFERROR(DATE(2000+VALUE(MID(A849,FIND("15",A849,FIND("01",A849)+16)+2,2)),VALUE(MID(A849,FIND("15",A849,FIND("01",A849)+16)+4,2)),VALUE(MID(A849,FIND("15",A849,FIND("01",A849)+16)+6,2))),"")</f>
        <v/>
      </c>
      <c r="F849" s="5">
        <f>IFERROR(MID(A849,FIND("10",A849,FIND("15",A849,FIND("01",A849)+16)+8)+2,50),"")</f>
        <v/>
      </c>
      <c r="G849" s="5" t="n"/>
    </row>
    <row r="850">
      <c r="A850" s="7" t="n"/>
      <c r="B850" s="8">
        <f>IFERROR(MID(A850,FIND("01",A850)+2,14),"")</f>
        <v/>
      </c>
      <c r="C850" s="7">
        <f>IF(A850="","",IFERROR(VLOOKUP(B850,TblArticles,2,FALSE),"GTIN inconnu"))</f>
        <v/>
      </c>
      <c r="D850" s="8">
        <f>IF(A850="","",IFERROR(VLOOKUP(B850,TblArticles,3,FALSE),""))</f>
        <v/>
      </c>
      <c r="E850" s="9">
        <f>IFERROR(DATE(2000+VALUE(MID(A850,FIND("15",A850,FIND("01",A850)+16)+2,2)),VALUE(MID(A850,FIND("15",A850,FIND("01",A850)+16)+4,2)),VALUE(MID(A850,FIND("15",A850,FIND("01",A850)+16)+6,2))),"")</f>
        <v/>
      </c>
      <c r="F850" s="8">
        <f>IFERROR(MID(A850,FIND("10",A850,FIND("15",A850,FIND("01",A850)+16)+8)+2,50),"")</f>
        <v/>
      </c>
      <c r="G850" s="8" t="n"/>
    </row>
    <row r="851">
      <c r="A851" s="4" t="n"/>
      <c r="B851" s="5">
        <f>IFERROR(MID(A851,FIND("01",A851)+2,14),"")</f>
        <v/>
      </c>
      <c r="C851" s="4">
        <f>IF(A851="","",IFERROR(VLOOKUP(B851,TblArticles,2,FALSE),"GTIN inconnu"))</f>
        <v/>
      </c>
      <c r="D851" s="5">
        <f>IF(A851="","",IFERROR(VLOOKUP(B851,TblArticles,3,FALSE),""))</f>
        <v/>
      </c>
      <c r="E851" s="6">
        <f>IFERROR(DATE(2000+VALUE(MID(A851,FIND("15",A851,FIND("01",A851)+16)+2,2)),VALUE(MID(A851,FIND("15",A851,FIND("01",A851)+16)+4,2)),VALUE(MID(A851,FIND("15",A851,FIND("01",A851)+16)+6,2))),"")</f>
        <v/>
      </c>
      <c r="F851" s="5">
        <f>IFERROR(MID(A851,FIND("10",A851,FIND("15",A851,FIND("01",A851)+16)+8)+2,50),"")</f>
        <v/>
      </c>
      <c r="G851" s="5" t="n"/>
    </row>
    <row r="852">
      <c r="A852" s="7" t="n"/>
      <c r="B852" s="8">
        <f>IFERROR(MID(A852,FIND("01",A852)+2,14),"")</f>
        <v/>
      </c>
      <c r="C852" s="7">
        <f>IF(A852="","",IFERROR(VLOOKUP(B852,TblArticles,2,FALSE),"GTIN inconnu"))</f>
        <v/>
      </c>
      <c r="D852" s="8">
        <f>IF(A852="","",IFERROR(VLOOKUP(B852,TblArticles,3,FALSE),""))</f>
        <v/>
      </c>
      <c r="E852" s="9">
        <f>IFERROR(DATE(2000+VALUE(MID(A852,FIND("15",A852,FIND("01",A852)+16)+2,2)),VALUE(MID(A852,FIND("15",A852,FIND("01",A852)+16)+4,2)),VALUE(MID(A852,FIND("15",A852,FIND("01",A852)+16)+6,2))),"")</f>
        <v/>
      </c>
      <c r="F852" s="8">
        <f>IFERROR(MID(A852,FIND("10",A852,FIND("15",A852,FIND("01",A852)+16)+8)+2,50),"")</f>
        <v/>
      </c>
      <c r="G852" s="8" t="n"/>
    </row>
    <row r="853">
      <c r="A853" s="4" t="n"/>
      <c r="B853" s="5">
        <f>IFERROR(MID(A853,FIND("01",A853)+2,14),"")</f>
        <v/>
      </c>
      <c r="C853" s="4">
        <f>IF(A853="","",IFERROR(VLOOKUP(B853,TblArticles,2,FALSE),"GTIN inconnu"))</f>
        <v/>
      </c>
      <c r="D853" s="5">
        <f>IF(A853="","",IFERROR(VLOOKUP(B853,TblArticles,3,FALSE),""))</f>
        <v/>
      </c>
      <c r="E853" s="6">
        <f>IFERROR(DATE(2000+VALUE(MID(A853,FIND("15",A853,FIND("01",A853)+16)+2,2)),VALUE(MID(A853,FIND("15",A853,FIND("01",A853)+16)+4,2)),VALUE(MID(A853,FIND("15",A853,FIND("01",A853)+16)+6,2))),"")</f>
        <v/>
      </c>
      <c r="F853" s="5">
        <f>IFERROR(MID(A853,FIND("10",A853,FIND("15",A853,FIND("01",A853)+16)+8)+2,50),"")</f>
        <v/>
      </c>
      <c r="G853" s="5" t="n"/>
    </row>
    <row r="854">
      <c r="A854" s="7" t="n"/>
      <c r="B854" s="8">
        <f>IFERROR(MID(A854,FIND("01",A854)+2,14),"")</f>
        <v/>
      </c>
      <c r="C854" s="7">
        <f>IF(A854="","",IFERROR(VLOOKUP(B854,TblArticles,2,FALSE),"GTIN inconnu"))</f>
        <v/>
      </c>
      <c r="D854" s="8">
        <f>IF(A854="","",IFERROR(VLOOKUP(B854,TblArticles,3,FALSE),""))</f>
        <v/>
      </c>
      <c r="E854" s="9">
        <f>IFERROR(DATE(2000+VALUE(MID(A854,FIND("15",A854,FIND("01",A854)+16)+2,2)),VALUE(MID(A854,FIND("15",A854,FIND("01",A854)+16)+4,2)),VALUE(MID(A854,FIND("15",A854,FIND("01",A854)+16)+6,2))),"")</f>
        <v/>
      </c>
      <c r="F854" s="8">
        <f>IFERROR(MID(A854,FIND("10",A854,FIND("15",A854,FIND("01",A854)+16)+8)+2,50),"")</f>
        <v/>
      </c>
      <c r="G854" s="8" t="n"/>
    </row>
    <row r="855">
      <c r="A855" s="4" t="n"/>
      <c r="B855" s="5">
        <f>IFERROR(MID(A855,FIND("01",A855)+2,14),"")</f>
        <v/>
      </c>
      <c r="C855" s="4">
        <f>IF(A855="","",IFERROR(VLOOKUP(B855,TblArticles,2,FALSE),"GTIN inconnu"))</f>
        <v/>
      </c>
      <c r="D855" s="5">
        <f>IF(A855="","",IFERROR(VLOOKUP(B855,TblArticles,3,FALSE),""))</f>
        <v/>
      </c>
      <c r="E855" s="6">
        <f>IFERROR(DATE(2000+VALUE(MID(A855,FIND("15",A855,FIND("01",A855)+16)+2,2)),VALUE(MID(A855,FIND("15",A855,FIND("01",A855)+16)+4,2)),VALUE(MID(A855,FIND("15",A855,FIND("01",A855)+16)+6,2))),"")</f>
        <v/>
      </c>
      <c r="F855" s="5">
        <f>IFERROR(MID(A855,FIND("10",A855,FIND("15",A855,FIND("01",A855)+16)+8)+2,50),"")</f>
        <v/>
      </c>
      <c r="G855" s="5" t="n"/>
    </row>
    <row r="856">
      <c r="A856" s="7" t="n"/>
      <c r="B856" s="8">
        <f>IFERROR(MID(A856,FIND("01",A856)+2,14),"")</f>
        <v/>
      </c>
      <c r="C856" s="7">
        <f>IF(A856="","",IFERROR(VLOOKUP(B856,TblArticles,2,FALSE),"GTIN inconnu"))</f>
        <v/>
      </c>
      <c r="D856" s="8">
        <f>IF(A856="","",IFERROR(VLOOKUP(B856,TblArticles,3,FALSE),""))</f>
        <v/>
      </c>
      <c r="E856" s="9">
        <f>IFERROR(DATE(2000+VALUE(MID(A856,FIND("15",A856,FIND("01",A856)+16)+2,2)),VALUE(MID(A856,FIND("15",A856,FIND("01",A856)+16)+4,2)),VALUE(MID(A856,FIND("15",A856,FIND("01",A856)+16)+6,2))),"")</f>
        <v/>
      </c>
      <c r="F856" s="8">
        <f>IFERROR(MID(A856,FIND("10",A856,FIND("15",A856,FIND("01",A856)+16)+8)+2,50),"")</f>
        <v/>
      </c>
      <c r="G856" s="8" t="n"/>
    </row>
    <row r="857">
      <c r="A857" s="4" t="n"/>
      <c r="B857" s="5">
        <f>IFERROR(MID(A857,FIND("01",A857)+2,14),"")</f>
        <v/>
      </c>
      <c r="C857" s="4">
        <f>IF(A857="","",IFERROR(VLOOKUP(B857,TblArticles,2,FALSE),"GTIN inconnu"))</f>
        <v/>
      </c>
      <c r="D857" s="5">
        <f>IF(A857="","",IFERROR(VLOOKUP(B857,TblArticles,3,FALSE),""))</f>
        <v/>
      </c>
      <c r="E857" s="6">
        <f>IFERROR(DATE(2000+VALUE(MID(A857,FIND("15",A857,FIND("01",A857)+16)+2,2)),VALUE(MID(A857,FIND("15",A857,FIND("01",A857)+16)+4,2)),VALUE(MID(A857,FIND("15",A857,FIND("01",A857)+16)+6,2))),"")</f>
        <v/>
      </c>
      <c r="F857" s="5">
        <f>IFERROR(MID(A857,FIND("10",A857,FIND("15",A857,FIND("01",A857)+16)+8)+2,50),"")</f>
        <v/>
      </c>
      <c r="G857" s="5" t="n"/>
    </row>
    <row r="858">
      <c r="A858" s="7" t="n"/>
      <c r="B858" s="8">
        <f>IFERROR(MID(A858,FIND("01",A858)+2,14),"")</f>
        <v/>
      </c>
      <c r="C858" s="7">
        <f>IF(A858="","",IFERROR(VLOOKUP(B858,TblArticles,2,FALSE),"GTIN inconnu"))</f>
        <v/>
      </c>
      <c r="D858" s="8">
        <f>IF(A858="","",IFERROR(VLOOKUP(B858,TblArticles,3,FALSE),""))</f>
        <v/>
      </c>
      <c r="E858" s="9">
        <f>IFERROR(DATE(2000+VALUE(MID(A858,FIND("15",A858,FIND("01",A858)+16)+2,2)),VALUE(MID(A858,FIND("15",A858,FIND("01",A858)+16)+4,2)),VALUE(MID(A858,FIND("15",A858,FIND("01",A858)+16)+6,2))),"")</f>
        <v/>
      </c>
      <c r="F858" s="8">
        <f>IFERROR(MID(A858,FIND("10",A858,FIND("15",A858,FIND("01",A858)+16)+8)+2,50),"")</f>
        <v/>
      </c>
      <c r="G858" s="8" t="n"/>
    </row>
    <row r="859">
      <c r="A859" s="4" t="n"/>
      <c r="B859" s="5">
        <f>IFERROR(MID(A859,FIND("01",A859)+2,14),"")</f>
        <v/>
      </c>
      <c r="C859" s="4">
        <f>IF(A859="","",IFERROR(VLOOKUP(B859,TblArticles,2,FALSE),"GTIN inconnu"))</f>
        <v/>
      </c>
      <c r="D859" s="5">
        <f>IF(A859="","",IFERROR(VLOOKUP(B859,TblArticles,3,FALSE),""))</f>
        <v/>
      </c>
      <c r="E859" s="6">
        <f>IFERROR(DATE(2000+VALUE(MID(A859,FIND("15",A859,FIND("01",A859)+16)+2,2)),VALUE(MID(A859,FIND("15",A859,FIND("01",A859)+16)+4,2)),VALUE(MID(A859,FIND("15",A859,FIND("01",A859)+16)+6,2))),"")</f>
        <v/>
      </c>
      <c r="F859" s="5">
        <f>IFERROR(MID(A859,FIND("10",A859,FIND("15",A859,FIND("01",A859)+16)+8)+2,50),"")</f>
        <v/>
      </c>
      <c r="G859" s="5" t="n"/>
    </row>
    <row r="860">
      <c r="A860" s="7" t="n"/>
      <c r="B860" s="8">
        <f>IFERROR(MID(A860,FIND("01",A860)+2,14),"")</f>
        <v/>
      </c>
      <c r="C860" s="7">
        <f>IF(A860="","",IFERROR(VLOOKUP(B860,TblArticles,2,FALSE),"GTIN inconnu"))</f>
        <v/>
      </c>
      <c r="D860" s="8">
        <f>IF(A860="","",IFERROR(VLOOKUP(B860,TblArticles,3,FALSE),""))</f>
        <v/>
      </c>
      <c r="E860" s="9">
        <f>IFERROR(DATE(2000+VALUE(MID(A860,FIND("15",A860,FIND("01",A860)+16)+2,2)),VALUE(MID(A860,FIND("15",A860,FIND("01",A860)+16)+4,2)),VALUE(MID(A860,FIND("15",A860,FIND("01",A860)+16)+6,2))),"")</f>
        <v/>
      </c>
      <c r="F860" s="8">
        <f>IFERROR(MID(A860,FIND("10",A860,FIND("15",A860,FIND("01",A860)+16)+8)+2,50),"")</f>
        <v/>
      </c>
      <c r="G860" s="8" t="n"/>
    </row>
    <row r="861">
      <c r="A861" s="4" t="n"/>
      <c r="B861" s="5">
        <f>IFERROR(MID(A861,FIND("01",A861)+2,14),"")</f>
        <v/>
      </c>
      <c r="C861" s="4">
        <f>IF(A861="","",IFERROR(VLOOKUP(B861,TblArticles,2,FALSE),"GTIN inconnu"))</f>
        <v/>
      </c>
      <c r="D861" s="5">
        <f>IF(A861="","",IFERROR(VLOOKUP(B861,TblArticles,3,FALSE),""))</f>
        <v/>
      </c>
      <c r="E861" s="6">
        <f>IFERROR(DATE(2000+VALUE(MID(A861,FIND("15",A861,FIND("01",A861)+16)+2,2)),VALUE(MID(A861,FIND("15",A861,FIND("01",A861)+16)+4,2)),VALUE(MID(A861,FIND("15",A861,FIND("01",A861)+16)+6,2))),"")</f>
        <v/>
      </c>
      <c r="F861" s="5">
        <f>IFERROR(MID(A861,FIND("10",A861,FIND("15",A861,FIND("01",A861)+16)+8)+2,50),"")</f>
        <v/>
      </c>
      <c r="G861" s="5" t="n"/>
    </row>
    <row r="862">
      <c r="A862" s="7" t="n"/>
      <c r="B862" s="8">
        <f>IFERROR(MID(A862,FIND("01",A862)+2,14),"")</f>
        <v/>
      </c>
      <c r="C862" s="7">
        <f>IF(A862="","",IFERROR(VLOOKUP(B862,TblArticles,2,FALSE),"GTIN inconnu"))</f>
        <v/>
      </c>
      <c r="D862" s="8">
        <f>IF(A862="","",IFERROR(VLOOKUP(B862,TblArticles,3,FALSE),""))</f>
        <v/>
      </c>
      <c r="E862" s="9">
        <f>IFERROR(DATE(2000+VALUE(MID(A862,FIND("15",A862,FIND("01",A862)+16)+2,2)),VALUE(MID(A862,FIND("15",A862,FIND("01",A862)+16)+4,2)),VALUE(MID(A862,FIND("15",A862,FIND("01",A862)+16)+6,2))),"")</f>
        <v/>
      </c>
      <c r="F862" s="8">
        <f>IFERROR(MID(A862,FIND("10",A862,FIND("15",A862,FIND("01",A862)+16)+8)+2,50),"")</f>
        <v/>
      </c>
      <c r="G862" s="8" t="n"/>
    </row>
    <row r="863">
      <c r="A863" s="4" t="n"/>
      <c r="B863" s="5">
        <f>IFERROR(MID(A863,FIND("01",A863)+2,14),"")</f>
        <v/>
      </c>
      <c r="C863" s="4">
        <f>IF(A863="","",IFERROR(VLOOKUP(B863,TblArticles,2,FALSE),"GTIN inconnu"))</f>
        <v/>
      </c>
      <c r="D863" s="5">
        <f>IF(A863="","",IFERROR(VLOOKUP(B863,TblArticles,3,FALSE),""))</f>
        <v/>
      </c>
      <c r="E863" s="6">
        <f>IFERROR(DATE(2000+VALUE(MID(A863,FIND("15",A863,FIND("01",A863)+16)+2,2)),VALUE(MID(A863,FIND("15",A863,FIND("01",A863)+16)+4,2)),VALUE(MID(A863,FIND("15",A863,FIND("01",A863)+16)+6,2))),"")</f>
        <v/>
      </c>
      <c r="F863" s="5">
        <f>IFERROR(MID(A863,FIND("10",A863,FIND("15",A863,FIND("01",A863)+16)+8)+2,50),"")</f>
        <v/>
      </c>
      <c r="G863" s="5" t="n"/>
    </row>
    <row r="864">
      <c r="A864" s="7" t="n"/>
      <c r="B864" s="8">
        <f>IFERROR(MID(A864,FIND("01",A864)+2,14),"")</f>
        <v/>
      </c>
      <c r="C864" s="7">
        <f>IF(A864="","",IFERROR(VLOOKUP(B864,TblArticles,2,FALSE),"GTIN inconnu"))</f>
        <v/>
      </c>
      <c r="D864" s="8">
        <f>IF(A864="","",IFERROR(VLOOKUP(B864,TblArticles,3,FALSE),""))</f>
        <v/>
      </c>
      <c r="E864" s="9">
        <f>IFERROR(DATE(2000+VALUE(MID(A864,FIND("15",A864,FIND("01",A864)+16)+2,2)),VALUE(MID(A864,FIND("15",A864,FIND("01",A864)+16)+4,2)),VALUE(MID(A864,FIND("15",A864,FIND("01",A864)+16)+6,2))),"")</f>
        <v/>
      </c>
      <c r="F864" s="8">
        <f>IFERROR(MID(A864,FIND("10",A864,FIND("15",A864,FIND("01",A864)+16)+8)+2,50),"")</f>
        <v/>
      </c>
      <c r="G864" s="8" t="n"/>
    </row>
    <row r="865">
      <c r="A865" s="4" t="n"/>
      <c r="B865" s="5">
        <f>IFERROR(MID(A865,FIND("01",A865)+2,14),"")</f>
        <v/>
      </c>
      <c r="C865" s="4">
        <f>IF(A865="","",IFERROR(VLOOKUP(B865,TblArticles,2,FALSE),"GTIN inconnu"))</f>
        <v/>
      </c>
      <c r="D865" s="5">
        <f>IF(A865="","",IFERROR(VLOOKUP(B865,TblArticles,3,FALSE),""))</f>
        <v/>
      </c>
      <c r="E865" s="6">
        <f>IFERROR(DATE(2000+VALUE(MID(A865,FIND("15",A865,FIND("01",A865)+16)+2,2)),VALUE(MID(A865,FIND("15",A865,FIND("01",A865)+16)+4,2)),VALUE(MID(A865,FIND("15",A865,FIND("01",A865)+16)+6,2))),"")</f>
        <v/>
      </c>
      <c r="F865" s="5">
        <f>IFERROR(MID(A865,FIND("10",A865,FIND("15",A865,FIND("01",A865)+16)+8)+2,50),"")</f>
        <v/>
      </c>
      <c r="G865" s="5" t="n"/>
    </row>
    <row r="866">
      <c r="A866" s="7" t="n"/>
      <c r="B866" s="8">
        <f>IFERROR(MID(A866,FIND("01",A866)+2,14),"")</f>
        <v/>
      </c>
      <c r="C866" s="7">
        <f>IF(A866="","",IFERROR(VLOOKUP(B866,TblArticles,2,FALSE),"GTIN inconnu"))</f>
        <v/>
      </c>
      <c r="D866" s="8">
        <f>IF(A866="","",IFERROR(VLOOKUP(B866,TblArticles,3,FALSE),""))</f>
        <v/>
      </c>
      <c r="E866" s="9">
        <f>IFERROR(DATE(2000+VALUE(MID(A866,FIND("15",A866,FIND("01",A866)+16)+2,2)),VALUE(MID(A866,FIND("15",A866,FIND("01",A866)+16)+4,2)),VALUE(MID(A866,FIND("15",A866,FIND("01",A866)+16)+6,2))),"")</f>
        <v/>
      </c>
      <c r="F866" s="8">
        <f>IFERROR(MID(A866,FIND("10",A866,FIND("15",A866,FIND("01",A866)+16)+8)+2,50),"")</f>
        <v/>
      </c>
      <c r="G866" s="8" t="n"/>
    </row>
    <row r="867">
      <c r="A867" s="4" t="n"/>
      <c r="B867" s="5">
        <f>IFERROR(MID(A867,FIND("01",A867)+2,14),"")</f>
        <v/>
      </c>
      <c r="C867" s="4">
        <f>IF(A867="","",IFERROR(VLOOKUP(B867,TblArticles,2,FALSE),"GTIN inconnu"))</f>
        <v/>
      </c>
      <c r="D867" s="5">
        <f>IF(A867="","",IFERROR(VLOOKUP(B867,TblArticles,3,FALSE),""))</f>
        <v/>
      </c>
      <c r="E867" s="6">
        <f>IFERROR(DATE(2000+VALUE(MID(A867,FIND("15",A867,FIND("01",A867)+16)+2,2)),VALUE(MID(A867,FIND("15",A867,FIND("01",A867)+16)+4,2)),VALUE(MID(A867,FIND("15",A867,FIND("01",A867)+16)+6,2))),"")</f>
        <v/>
      </c>
      <c r="F867" s="5">
        <f>IFERROR(MID(A867,FIND("10",A867,FIND("15",A867,FIND("01",A867)+16)+8)+2,50),"")</f>
        <v/>
      </c>
      <c r="G867" s="5" t="n"/>
    </row>
    <row r="868">
      <c r="A868" s="7" t="n"/>
      <c r="B868" s="8">
        <f>IFERROR(MID(A868,FIND("01",A868)+2,14),"")</f>
        <v/>
      </c>
      <c r="C868" s="7">
        <f>IF(A868="","",IFERROR(VLOOKUP(B868,TblArticles,2,FALSE),"GTIN inconnu"))</f>
        <v/>
      </c>
      <c r="D868" s="8">
        <f>IF(A868="","",IFERROR(VLOOKUP(B868,TblArticles,3,FALSE),""))</f>
        <v/>
      </c>
      <c r="E868" s="9">
        <f>IFERROR(DATE(2000+VALUE(MID(A868,FIND("15",A868,FIND("01",A868)+16)+2,2)),VALUE(MID(A868,FIND("15",A868,FIND("01",A868)+16)+4,2)),VALUE(MID(A868,FIND("15",A868,FIND("01",A868)+16)+6,2))),"")</f>
        <v/>
      </c>
      <c r="F868" s="8">
        <f>IFERROR(MID(A868,FIND("10",A868,FIND("15",A868,FIND("01",A868)+16)+8)+2,50),"")</f>
        <v/>
      </c>
      <c r="G868" s="8" t="n"/>
    </row>
    <row r="869">
      <c r="A869" s="4" t="n"/>
      <c r="B869" s="5">
        <f>IFERROR(MID(A869,FIND("01",A869)+2,14),"")</f>
        <v/>
      </c>
      <c r="C869" s="4">
        <f>IF(A869="","",IFERROR(VLOOKUP(B869,TblArticles,2,FALSE),"GTIN inconnu"))</f>
        <v/>
      </c>
      <c r="D869" s="5">
        <f>IF(A869="","",IFERROR(VLOOKUP(B869,TblArticles,3,FALSE),""))</f>
        <v/>
      </c>
      <c r="E869" s="6">
        <f>IFERROR(DATE(2000+VALUE(MID(A869,FIND("15",A869,FIND("01",A869)+16)+2,2)),VALUE(MID(A869,FIND("15",A869,FIND("01",A869)+16)+4,2)),VALUE(MID(A869,FIND("15",A869,FIND("01",A869)+16)+6,2))),"")</f>
        <v/>
      </c>
      <c r="F869" s="5">
        <f>IFERROR(MID(A869,FIND("10",A869,FIND("15",A869,FIND("01",A869)+16)+8)+2,50),"")</f>
        <v/>
      </c>
      <c r="G869" s="5" t="n"/>
    </row>
    <row r="870">
      <c r="A870" s="7" t="n"/>
      <c r="B870" s="8">
        <f>IFERROR(MID(A870,FIND("01",A870)+2,14),"")</f>
        <v/>
      </c>
      <c r="C870" s="7">
        <f>IF(A870="","",IFERROR(VLOOKUP(B870,TblArticles,2,FALSE),"GTIN inconnu"))</f>
        <v/>
      </c>
      <c r="D870" s="8">
        <f>IF(A870="","",IFERROR(VLOOKUP(B870,TblArticles,3,FALSE),""))</f>
        <v/>
      </c>
      <c r="E870" s="9">
        <f>IFERROR(DATE(2000+VALUE(MID(A870,FIND("15",A870,FIND("01",A870)+16)+2,2)),VALUE(MID(A870,FIND("15",A870,FIND("01",A870)+16)+4,2)),VALUE(MID(A870,FIND("15",A870,FIND("01",A870)+16)+6,2))),"")</f>
        <v/>
      </c>
      <c r="F870" s="8">
        <f>IFERROR(MID(A870,FIND("10",A870,FIND("15",A870,FIND("01",A870)+16)+8)+2,50),"")</f>
        <v/>
      </c>
      <c r="G870" s="8" t="n"/>
    </row>
    <row r="871">
      <c r="A871" s="4" t="n"/>
      <c r="B871" s="5">
        <f>IFERROR(MID(A871,FIND("01",A871)+2,14),"")</f>
        <v/>
      </c>
      <c r="C871" s="4">
        <f>IF(A871="","",IFERROR(VLOOKUP(B871,TblArticles,2,FALSE),"GTIN inconnu"))</f>
        <v/>
      </c>
      <c r="D871" s="5">
        <f>IF(A871="","",IFERROR(VLOOKUP(B871,TblArticles,3,FALSE),""))</f>
        <v/>
      </c>
      <c r="E871" s="6">
        <f>IFERROR(DATE(2000+VALUE(MID(A871,FIND("15",A871,FIND("01",A871)+16)+2,2)),VALUE(MID(A871,FIND("15",A871,FIND("01",A871)+16)+4,2)),VALUE(MID(A871,FIND("15",A871,FIND("01",A871)+16)+6,2))),"")</f>
        <v/>
      </c>
      <c r="F871" s="5">
        <f>IFERROR(MID(A871,FIND("10",A871,FIND("15",A871,FIND("01",A871)+16)+8)+2,50),"")</f>
        <v/>
      </c>
      <c r="G871" s="5" t="n"/>
    </row>
    <row r="872">
      <c r="A872" s="7" t="n"/>
      <c r="B872" s="8">
        <f>IFERROR(MID(A872,FIND("01",A872)+2,14),"")</f>
        <v/>
      </c>
      <c r="C872" s="7">
        <f>IF(A872="","",IFERROR(VLOOKUP(B872,TblArticles,2,FALSE),"GTIN inconnu"))</f>
        <v/>
      </c>
      <c r="D872" s="8">
        <f>IF(A872="","",IFERROR(VLOOKUP(B872,TblArticles,3,FALSE),""))</f>
        <v/>
      </c>
      <c r="E872" s="9">
        <f>IFERROR(DATE(2000+VALUE(MID(A872,FIND("15",A872,FIND("01",A872)+16)+2,2)),VALUE(MID(A872,FIND("15",A872,FIND("01",A872)+16)+4,2)),VALUE(MID(A872,FIND("15",A872,FIND("01",A872)+16)+6,2))),"")</f>
        <v/>
      </c>
      <c r="F872" s="8">
        <f>IFERROR(MID(A872,FIND("10",A872,FIND("15",A872,FIND("01",A872)+16)+8)+2,50),"")</f>
        <v/>
      </c>
      <c r="G872" s="8" t="n"/>
    </row>
    <row r="873">
      <c r="A873" s="4" t="n"/>
      <c r="B873" s="5">
        <f>IFERROR(MID(A873,FIND("01",A873)+2,14),"")</f>
        <v/>
      </c>
      <c r="C873" s="4">
        <f>IF(A873="","",IFERROR(VLOOKUP(B873,TblArticles,2,FALSE),"GTIN inconnu"))</f>
        <v/>
      </c>
      <c r="D873" s="5">
        <f>IF(A873="","",IFERROR(VLOOKUP(B873,TblArticles,3,FALSE),""))</f>
        <v/>
      </c>
      <c r="E873" s="6">
        <f>IFERROR(DATE(2000+VALUE(MID(A873,FIND("15",A873,FIND("01",A873)+16)+2,2)),VALUE(MID(A873,FIND("15",A873,FIND("01",A873)+16)+4,2)),VALUE(MID(A873,FIND("15",A873,FIND("01",A873)+16)+6,2))),"")</f>
        <v/>
      </c>
      <c r="F873" s="5">
        <f>IFERROR(MID(A873,FIND("10",A873,FIND("15",A873,FIND("01",A873)+16)+8)+2,50),"")</f>
        <v/>
      </c>
      <c r="G873" s="5" t="n"/>
    </row>
    <row r="874">
      <c r="A874" s="7" t="n"/>
      <c r="B874" s="8">
        <f>IFERROR(MID(A874,FIND("01",A874)+2,14),"")</f>
        <v/>
      </c>
      <c r="C874" s="7">
        <f>IF(A874="","",IFERROR(VLOOKUP(B874,TblArticles,2,FALSE),"GTIN inconnu"))</f>
        <v/>
      </c>
      <c r="D874" s="8">
        <f>IF(A874="","",IFERROR(VLOOKUP(B874,TblArticles,3,FALSE),""))</f>
        <v/>
      </c>
      <c r="E874" s="9">
        <f>IFERROR(DATE(2000+VALUE(MID(A874,FIND("15",A874,FIND("01",A874)+16)+2,2)),VALUE(MID(A874,FIND("15",A874,FIND("01",A874)+16)+4,2)),VALUE(MID(A874,FIND("15",A874,FIND("01",A874)+16)+6,2))),"")</f>
        <v/>
      </c>
      <c r="F874" s="8">
        <f>IFERROR(MID(A874,FIND("10",A874,FIND("15",A874,FIND("01",A874)+16)+8)+2,50),"")</f>
        <v/>
      </c>
      <c r="G874" s="8" t="n"/>
    </row>
    <row r="875">
      <c r="A875" s="4" t="n"/>
      <c r="B875" s="5">
        <f>IFERROR(MID(A875,FIND("01",A875)+2,14),"")</f>
        <v/>
      </c>
      <c r="C875" s="4">
        <f>IF(A875="","",IFERROR(VLOOKUP(B875,TblArticles,2,FALSE),"GTIN inconnu"))</f>
        <v/>
      </c>
      <c r="D875" s="5">
        <f>IF(A875="","",IFERROR(VLOOKUP(B875,TblArticles,3,FALSE),""))</f>
        <v/>
      </c>
      <c r="E875" s="6">
        <f>IFERROR(DATE(2000+VALUE(MID(A875,FIND("15",A875,FIND("01",A875)+16)+2,2)),VALUE(MID(A875,FIND("15",A875,FIND("01",A875)+16)+4,2)),VALUE(MID(A875,FIND("15",A875,FIND("01",A875)+16)+6,2))),"")</f>
        <v/>
      </c>
      <c r="F875" s="5">
        <f>IFERROR(MID(A875,FIND("10",A875,FIND("15",A875,FIND("01",A875)+16)+8)+2,50),"")</f>
        <v/>
      </c>
      <c r="G875" s="5" t="n"/>
    </row>
    <row r="876">
      <c r="A876" s="7" t="n"/>
      <c r="B876" s="8">
        <f>IFERROR(MID(A876,FIND("01",A876)+2,14),"")</f>
        <v/>
      </c>
      <c r="C876" s="7">
        <f>IF(A876="","",IFERROR(VLOOKUP(B876,TblArticles,2,FALSE),"GTIN inconnu"))</f>
        <v/>
      </c>
      <c r="D876" s="8">
        <f>IF(A876="","",IFERROR(VLOOKUP(B876,TblArticles,3,FALSE),""))</f>
        <v/>
      </c>
      <c r="E876" s="9">
        <f>IFERROR(DATE(2000+VALUE(MID(A876,FIND("15",A876,FIND("01",A876)+16)+2,2)),VALUE(MID(A876,FIND("15",A876,FIND("01",A876)+16)+4,2)),VALUE(MID(A876,FIND("15",A876,FIND("01",A876)+16)+6,2))),"")</f>
        <v/>
      </c>
      <c r="F876" s="8">
        <f>IFERROR(MID(A876,FIND("10",A876,FIND("15",A876,FIND("01",A876)+16)+8)+2,50),"")</f>
        <v/>
      </c>
      <c r="G876" s="8" t="n"/>
    </row>
    <row r="877">
      <c r="A877" s="4" t="n"/>
      <c r="B877" s="5">
        <f>IFERROR(MID(A877,FIND("01",A877)+2,14),"")</f>
        <v/>
      </c>
      <c r="C877" s="4">
        <f>IF(A877="","",IFERROR(VLOOKUP(B877,TblArticles,2,FALSE),"GTIN inconnu"))</f>
        <v/>
      </c>
      <c r="D877" s="5">
        <f>IF(A877="","",IFERROR(VLOOKUP(B877,TblArticles,3,FALSE),""))</f>
        <v/>
      </c>
      <c r="E877" s="6">
        <f>IFERROR(DATE(2000+VALUE(MID(A877,FIND("15",A877,FIND("01",A877)+16)+2,2)),VALUE(MID(A877,FIND("15",A877,FIND("01",A877)+16)+4,2)),VALUE(MID(A877,FIND("15",A877,FIND("01",A877)+16)+6,2))),"")</f>
        <v/>
      </c>
      <c r="F877" s="5">
        <f>IFERROR(MID(A877,FIND("10",A877,FIND("15",A877,FIND("01",A877)+16)+8)+2,50),"")</f>
        <v/>
      </c>
      <c r="G877" s="5" t="n"/>
    </row>
    <row r="878">
      <c r="A878" s="7" t="n"/>
      <c r="B878" s="8">
        <f>IFERROR(MID(A878,FIND("01",A878)+2,14),"")</f>
        <v/>
      </c>
      <c r="C878" s="7">
        <f>IF(A878="","",IFERROR(VLOOKUP(B878,TblArticles,2,FALSE),"GTIN inconnu"))</f>
        <v/>
      </c>
      <c r="D878" s="8">
        <f>IF(A878="","",IFERROR(VLOOKUP(B878,TblArticles,3,FALSE),""))</f>
        <v/>
      </c>
      <c r="E878" s="9">
        <f>IFERROR(DATE(2000+VALUE(MID(A878,FIND("15",A878,FIND("01",A878)+16)+2,2)),VALUE(MID(A878,FIND("15",A878,FIND("01",A878)+16)+4,2)),VALUE(MID(A878,FIND("15",A878,FIND("01",A878)+16)+6,2))),"")</f>
        <v/>
      </c>
      <c r="F878" s="8">
        <f>IFERROR(MID(A878,FIND("10",A878,FIND("15",A878,FIND("01",A878)+16)+8)+2,50),"")</f>
        <v/>
      </c>
      <c r="G878" s="8" t="n"/>
    </row>
    <row r="879">
      <c r="A879" s="4" t="n"/>
      <c r="B879" s="5">
        <f>IFERROR(MID(A879,FIND("01",A879)+2,14),"")</f>
        <v/>
      </c>
      <c r="C879" s="4">
        <f>IF(A879="","",IFERROR(VLOOKUP(B879,TblArticles,2,FALSE),"GTIN inconnu"))</f>
        <v/>
      </c>
      <c r="D879" s="5">
        <f>IF(A879="","",IFERROR(VLOOKUP(B879,TblArticles,3,FALSE),""))</f>
        <v/>
      </c>
      <c r="E879" s="6">
        <f>IFERROR(DATE(2000+VALUE(MID(A879,FIND("15",A879,FIND("01",A879)+16)+2,2)),VALUE(MID(A879,FIND("15",A879,FIND("01",A879)+16)+4,2)),VALUE(MID(A879,FIND("15",A879,FIND("01",A879)+16)+6,2))),"")</f>
        <v/>
      </c>
      <c r="F879" s="5">
        <f>IFERROR(MID(A879,FIND("10",A879,FIND("15",A879,FIND("01",A879)+16)+8)+2,50),"")</f>
        <v/>
      </c>
      <c r="G879" s="5" t="n"/>
    </row>
    <row r="880">
      <c r="A880" s="7" t="n"/>
      <c r="B880" s="8">
        <f>IFERROR(MID(A880,FIND("01",A880)+2,14),"")</f>
        <v/>
      </c>
      <c r="C880" s="7">
        <f>IF(A880="","",IFERROR(VLOOKUP(B880,TblArticles,2,FALSE),"GTIN inconnu"))</f>
        <v/>
      </c>
      <c r="D880" s="8">
        <f>IF(A880="","",IFERROR(VLOOKUP(B880,TblArticles,3,FALSE),""))</f>
        <v/>
      </c>
      <c r="E880" s="9">
        <f>IFERROR(DATE(2000+VALUE(MID(A880,FIND("15",A880,FIND("01",A880)+16)+2,2)),VALUE(MID(A880,FIND("15",A880,FIND("01",A880)+16)+4,2)),VALUE(MID(A880,FIND("15",A880,FIND("01",A880)+16)+6,2))),"")</f>
        <v/>
      </c>
      <c r="F880" s="8">
        <f>IFERROR(MID(A880,FIND("10",A880,FIND("15",A880,FIND("01",A880)+16)+8)+2,50),"")</f>
        <v/>
      </c>
      <c r="G880" s="8" t="n"/>
    </row>
    <row r="881">
      <c r="A881" s="4" t="n"/>
      <c r="B881" s="5">
        <f>IFERROR(MID(A881,FIND("01",A881)+2,14),"")</f>
        <v/>
      </c>
      <c r="C881" s="4">
        <f>IF(A881="","",IFERROR(VLOOKUP(B881,TblArticles,2,FALSE),"GTIN inconnu"))</f>
        <v/>
      </c>
      <c r="D881" s="5">
        <f>IF(A881="","",IFERROR(VLOOKUP(B881,TblArticles,3,FALSE),""))</f>
        <v/>
      </c>
      <c r="E881" s="6">
        <f>IFERROR(DATE(2000+VALUE(MID(A881,FIND("15",A881,FIND("01",A881)+16)+2,2)),VALUE(MID(A881,FIND("15",A881,FIND("01",A881)+16)+4,2)),VALUE(MID(A881,FIND("15",A881,FIND("01",A881)+16)+6,2))),"")</f>
        <v/>
      </c>
      <c r="F881" s="5">
        <f>IFERROR(MID(A881,FIND("10",A881,FIND("15",A881,FIND("01",A881)+16)+8)+2,50),"")</f>
        <v/>
      </c>
      <c r="G881" s="5" t="n"/>
    </row>
    <row r="882">
      <c r="A882" s="7" t="n"/>
      <c r="B882" s="8">
        <f>IFERROR(MID(A882,FIND("01",A882)+2,14),"")</f>
        <v/>
      </c>
      <c r="C882" s="7">
        <f>IF(A882="","",IFERROR(VLOOKUP(B882,TblArticles,2,FALSE),"GTIN inconnu"))</f>
        <v/>
      </c>
      <c r="D882" s="8">
        <f>IF(A882="","",IFERROR(VLOOKUP(B882,TblArticles,3,FALSE),""))</f>
        <v/>
      </c>
      <c r="E882" s="9">
        <f>IFERROR(DATE(2000+VALUE(MID(A882,FIND("15",A882,FIND("01",A882)+16)+2,2)),VALUE(MID(A882,FIND("15",A882,FIND("01",A882)+16)+4,2)),VALUE(MID(A882,FIND("15",A882,FIND("01",A882)+16)+6,2))),"")</f>
        <v/>
      </c>
      <c r="F882" s="8">
        <f>IFERROR(MID(A882,FIND("10",A882,FIND("15",A882,FIND("01",A882)+16)+8)+2,50),"")</f>
        <v/>
      </c>
      <c r="G882" s="8" t="n"/>
    </row>
    <row r="883">
      <c r="A883" s="4" t="n"/>
      <c r="B883" s="5">
        <f>IFERROR(MID(A883,FIND("01",A883)+2,14),"")</f>
        <v/>
      </c>
      <c r="C883" s="4">
        <f>IF(A883="","",IFERROR(VLOOKUP(B883,TblArticles,2,FALSE),"GTIN inconnu"))</f>
        <v/>
      </c>
      <c r="D883" s="5">
        <f>IF(A883="","",IFERROR(VLOOKUP(B883,TblArticles,3,FALSE),""))</f>
        <v/>
      </c>
      <c r="E883" s="6">
        <f>IFERROR(DATE(2000+VALUE(MID(A883,FIND("15",A883,FIND("01",A883)+16)+2,2)),VALUE(MID(A883,FIND("15",A883,FIND("01",A883)+16)+4,2)),VALUE(MID(A883,FIND("15",A883,FIND("01",A883)+16)+6,2))),"")</f>
        <v/>
      </c>
      <c r="F883" s="5">
        <f>IFERROR(MID(A883,FIND("10",A883,FIND("15",A883,FIND("01",A883)+16)+8)+2,50),"")</f>
        <v/>
      </c>
      <c r="G883" s="5" t="n"/>
    </row>
    <row r="884">
      <c r="A884" s="7" t="n"/>
      <c r="B884" s="8">
        <f>IFERROR(MID(A884,FIND("01",A884)+2,14),"")</f>
        <v/>
      </c>
      <c r="C884" s="7">
        <f>IF(A884="","",IFERROR(VLOOKUP(B884,TblArticles,2,FALSE),"GTIN inconnu"))</f>
        <v/>
      </c>
      <c r="D884" s="8">
        <f>IF(A884="","",IFERROR(VLOOKUP(B884,TblArticles,3,FALSE),""))</f>
        <v/>
      </c>
      <c r="E884" s="9">
        <f>IFERROR(DATE(2000+VALUE(MID(A884,FIND("15",A884,FIND("01",A884)+16)+2,2)),VALUE(MID(A884,FIND("15",A884,FIND("01",A884)+16)+4,2)),VALUE(MID(A884,FIND("15",A884,FIND("01",A884)+16)+6,2))),"")</f>
        <v/>
      </c>
      <c r="F884" s="8">
        <f>IFERROR(MID(A884,FIND("10",A884,FIND("15",A884,FIND("01",A884)+16)+8)+2,50),"")</f>
        <v/>
      </c>
      <c r="G884" s="8" t="n"/>
    </row>
    <row r="885">
      <c r="A885" s="4" t="n"/>
      <c r="B885" s="5">
        <f>IFERROR(MID(A885,FIND("01",A885)+2,14),"")</f>
        <v/>
      </c>
      <c r="C885" s="4">
        <f>IF(A885="","",IFERROR(VLOOKUP(B885,TblArticles,2,FALSE),"GTIN inconnu"))</f>
        <v/>
      </c>
      <c r="D885" s="5">
        <f>IF(A885="","",IFERROR(VLOOKUP(B885,TblArticles,3,FALSE),""))</f>
        <v/>
      </c>
      <c r="E885" s="6">
        <f>IFERROR(DATE(2000+VALUE(MID(A885,FIND("15",A885,FIND("01",A885)+16)+2,2)),VALUE(MID(A885,FIND("15",A885,FIND("01",A885)+16)+4,2)),VALUE(MID(A885,FIND("15",A885,FIND("01",A885)+16)+6,2))),"")</f>
        <v/>
      </c>
      <c r="F885" s="5">
        <f>IFERROR(MID(A885,FIND("10",A885,FIND("15",A885,FIND("01",A885)+16)+8)+2,50),"")</f>
        <v/>
      </c>
      <c r="G885" s="5" t="n"/>
    </row>
    <row r="886">
      <c r="A886" s="7" t="n"/>
      <c r="B886" s="8">
        <f>IFERROR(MID(A886,FIND("01",A886)+2,14),"")</f>
        <v/>
      </c>
      <c r="C886" s="7">
        <f>IF(A886="","",IFERROR(VLOOKUP(B886,TblArticles,2,FALSE),"GTIN inconnu"))</f>
        <v/>
      </c>
      <c r="D886" s="8">
        <f>IF(A886="","",IFERROR(VLOOKUP(B886,TblArticles,3,FALSE),""))</f>
        <v/>
      </c>
      <c r="E886" s="9">
        <f>IFERROR(DATE(2000+VALUE(MID(A886,FIND("15",A886,FIND("01",A886)+16)+2,2)),VALUE(MID(A886,FIND("15",A886,FIND("01",A886)+16)+4,2)),VALUE(MID(A886,FIND("15",A886,FIND("01",A886)+16)+6,2))),"")</f>
        <v/>
      </c>
      <c r="F886" s="8">
        <f>IFERROR(MID(A886,FIND("10",A886,FIND("15",A886,FIND("01",A886)+16)+8)+2,50),"")</f>
        <v/>
      </c>
      <c r="G886" s="8" t="n"/>
    </row>
    <row r="887">
      <c r="A887" s="4" t="n"/>
      <c r="B887" s="5">
        <f>IFERROR(MID(A887,FIND("01",A887)+2,14),"")</f>
        <v/>
      </c>
      <c r="C887" s="4">
        <f>IF(A887="","",IFERROR(VLOOKUP(B887,TblArticles,2,FALSE),"GTIN inconnu"))</f>
        <v/>
      </c>
      <c r="D887" s="5">
        <f>IF(A887="","",IFERROR(VLOOKUP(B887,TblArticles,3,FALSE),""))</f>
        <v/>
      </c>
      <c r="E887" s="6">
        <f>IFERROR(DATE(2000+VALUE(MID(A887,FIND("15",A887,FIND("01",A887)+16)+2,2)),VALUE(MID(A887,FIND("15",A887,FIND("01",A887)+16)+4,2)),VALUE(MID(A887,FIND("15",A887,FIND("01",A887)+16)+6,2))),"")</f>
        <v/>
      </c>
      <c r="F887" s="5">
        <f>IFERROR(MID(A887,FIND("10",A887,FIND("15",A887,FIND("01",A887)+16)+8)+2,50),"")</f>
        <v/>
      </c>
      <c r="G887" s="5" t="n"/>
    </row>
    <row r="888">
      <c r="A888" s="7" t="n"/>
      <c r="B888" s="8">
        <f>IFERROR(MID(A888,FIND("01",A888)+2,14),"")</f>
        <v/>
      </c>
      <c r="C888" s="7">
        <f>IF(A888="","",IFERROR(VLOOKUP(B888,TblArticles,2,FALSE),"GTIN inconnu"))</f>
        <v/>
      </c>
      <c r="D888" s="8">
        <f>IF(A888="","",IFERROR(VLOOKUP(B888,TblArticles,3,FALSE),""))</f>
        <v/>
      </c>
      <c r="E888" s="9">
        <f>IFERROR(DATE(2000+VALUE(MID(A888,FIND("15",A888,FIND("01",A888)+16)+2,2)),VALUE(MID(A888,FIND("15",A888,FIND("01",A888)+16)+4,2)),VALUE(MID(A888,FIND("15",A888,FIND("01",A888)+16)+6,2))),"")</f>
        <v/>
      </c>
      <c r="F888" s="8">
        <f>IFERROR(MID(A888,FIND("10",A888,FIND("15",A888,FIND("01",A888)+16)+8)+2,50),"")</f>
        <v/>
      </c>
      <c r="G888" s="8" t="n"/>
    </row>
    <row r="889">
      <c r="A889" s="4" t="n"/>
      <c r="B889" s="5">
        <f>IFERROR(MID(A889,FIND("01",A889)+2,14),"")</f>
        <v/>
      </c>
      <c r="C889" s="4">
        <f>IF(A889="","",IFERROR(VLOOKUP(B889,TblArticles,2,FALSE),"GTIN inconnu"))</f>
        <v/>
      </c>
      <c r="D889" s="5">
        <f>IF(A889="","",IFERROR(VLOOKUP(B889,TblArticles,3,FALSE),""))</f>
        <v/>
      </c>
      <c r="E889" s="6">
        <f>IFERROR(DATE(2000+VALUE(MID(A889,FIND("15",A889,FIND("01",A889)+16)+2,2)),VALUE(MID(A889,FIND("15",A889,FIND("01",A889)+16)+4,2)),VALUE(MID(A889,FIND("15",A889,FIND("01",A889)+16)+6,2))),"")</f>
        <v/>
      </c>
      <c r="F889" s="5">
        <f>IFERROR(MID(A889,FIND("10",A889,FIND("15",A889,FIND("01",A889)+16)+8)+2,50),"")</f>
        <v/>
      </c>
      <c r="G889" s="5" t="n"/>
    </row>
    <row r="890">
      <c r="A890" s="7" t="n"/>
      <c r="B890" s="8">
        <f>IFERROR(MID(A890,FIND("01",A890)+2,14),"")</f>
        <v/>
      </c>
      <c r="C890" s="7">
        <f>IF(A890="","",IFERROR(VLOOKUP(B890,TblArticles,2,FALSE),"GTIN inconnu"))</f>
        <v/>
      </c>
      <c r="D890" s="8">
        <f>IF(A890="","",IFERROR(VLOOKUP(B890,TblArticles,3,FALSE),""))</f>
        <v/>
      </c>
      <c r="E890" s="9">
        <f>IFERROR(DATE(2000+VALUE(MID(A890,FIND("15",A890,FIND("01",A890)+16)+2,2)),VALUE(MID(A890,FIND("15",A890,FIND("01",A890)+16)+4,2)),VALUE(MID(A890,FIND("15",A890,FIND("01",A890)+16)+6,2))),"")</f>
        <v/>
      </c>
      <c r="F890" s="8">
        <f>IFERROR(MID(A890,FIND("10",A890,FIND("15",A890,FIND("01",A890)+16)+8)+2,50),"")</f>
        <v/>
      </c>
      <c r="G890" s="8" t="n"/>
    </row>
    <row r="891">
      <c r="A891" s="4" t="n"/>
      <c r="B891" s="5">
        <f>IFERROR(MID(A891,FIND("01",A891)+2,14),"")</f>
        <v/>
      </c>
      <c r="C891" s="4">
        <f>IF(A891="","",IFERROR(VLOOKUP(B891,TblArticles,2,FALSE),"GTIN inconnu"))</f>
        <v/>
      </c>
      <c r="D891" s="5">
        <f>IF(A891="","",IFERROR(VLOOKUP(B891,TblArticles,3,FALSE),""))</f>
        <v/>
      </c>
      <c r="E891" s="6">
        <f>IFERROR(DATE(2000+VALUE(MID(A891,FIND("15",A891,FIND("01",A891)+16)+2,2)),VALUE(MID(A891,FIND("15",A891,FIND("01",A891)+16)+4,2)),VALUE(MID(A891,FIND("15",A891,FIND("01",A891)+16)+6,2))),"")</f>
        <v/>
      </c>
      <c r="F891" s="5">
        <f>IFERROR(MID(A891,FIND("10",A891,FIND("15",A891,FIND("01",A891)+16)+8)+2,50),"")</f>
        <v/>
      </c>
      <c r="G891" s="5" t="n"/>
    </row>
    <row r="892">
      <c r="A892" s="7" t="n"/>
      <c r="B892" s="8">
        <f>IFERROR(MID(A892,FIND("01",A892)+2,14),"")</f>
        <v/>
      </c>
      <c r="C892" s="7">
        <f>IF(A892="","",IFERROR(VLOOKUP(B892,TblArticles,2,FALSE),"GTIN inconnu"))</f>
        <v/>
      </c>
      <c r="D892" s="8">
        <f>IF(A892="","",IFERROR(VLOOKUP(B892,TblArticles,3,FALSE),""))</f>
        <v/>
      </c>
      <c r="E892" s="9">
        <f>IFERROR(DATE(2000+VALUE(MID(A892,FIND("15",A892,FIND("01",A892)+16)+2,2)),VALUE(MID(A892,FIND("15",A892,FIND("01",A892)+16)+4,2)),VALUE(MID(A892,FIND("15",A892,FIND("01",A892)+16)+6,2))),"")</f>
        <v/>
      </c>
      <c r="F892" s="8">
        <f>IFERROR(MID(A892,FIND("10",A892,FIND("15",A892,FIND("01",A892)+16)+8)+2,50),"")</f>
        <v/>
      </c>
      <c r="G892" s="8" t="n"/>
    </row>
    <row r="893">
      <c r="A893" s="4" t="n"/>
      <c r="B893" s="5">
        <f>IFERROR(MID(A893,FIND("01",A893)+2,14),"")</f>
        <v/>
      </c>
      <c r="C893" s="4">
        <f>IF(A893="","",IFERROR(VLOOKUP(B893,TblArticles,2,FALSE),"GTIN inconnu"))</f>
        <v/>
      </c>
      <c r="D893" s="5">
        <f>IF(A893="","",IFERROR(VLOOKUP(B893,TblArticles,3,FALSE),""))</f>
        <v/>
      </c>
      <c r="E893" s="6">
        <f>IFERROR(DATE(2000+VALUE(MID(A893,FIND("15",A893,FIND("01",A893)+16)+2,2)),VALUE(MID(A893,FIND("15",A893,FIND("01",A893)+16)+4,2)),VALUE(MID(A893,FIND("15",A893,FIND("01",A893)+16)+6,2))),"")</f>
        <v/>
      </c>
      <c r="F893" s="5">
        <f>IFERROR(MID(A893,FIND("10",A893,FIND("15",A893,FIND("01",A893)+16)+8)+2,50),"")</f>
        <v/>
      </c>
      <c r="G893" s="5" t="n"/>
    </row>
    <row r="894">
      <c r="A894" s="7" t="n"/>
      <c r="B894" s="8">
        <f>IFERROR(MID(A894,FIND("01",A894)+2,14),"")</f>
        <v/>
      </c>
      <c r="C894" s="7">
        <f>IF(A894="","",IFERROR(VLOOKUP(B894,TblArticles,2,FALSE),"GTIN inconnu"))</f>
        <v/>
      </c>
      <c r="D894" s="8">
        <f>IF(A894="","",IFERROR(VLOOKUP(B894,TblArticles,3,FALSE),""))</f>
        <v/>
      </c>
      <c r="E894" s="9">
        <f>IFERROR(DATE(2000+VALUE(MID(A894,FIND("15",A894,FIND("01",A894)+16)+2,2)),VALUE(MID(A894,FIND("15",A894,FIND("01",A894)+16)+4,2)),VALUE(MID(A894,FIND("15",A894,FIND("01",A894)+16)+6,2))),"")</f>
        <v/>
      </c>
      <c r="F894" s="8">
        <f>IFERROR(MID(A894,FIND("10",A894,FIND("15",A894,FIND("01",A894)+16)+8)+2,50),"")</f>
        <v/>
      </c>
      <c r="G894" s="8" t="n"/>
    </row>
    <row r="895">
      <c r="A895" s="4" t="n"/>
      <c r="B895" s="5">
        <f>IFERROR(MID(A895,FIND("01",A895)+2,14),"")</f>
        <v/>
      </c>
      <c r="C895" s="4">
        <f>IF(A895="","",IFERROR(VLOOKUP(B895,TblArticles,2,FALSE),"GTIN inconnu"))</f>
        <v/>
      </c>
      <c r="D895" s="5">
        <f>IF(A895="","",IFERROR(VLOOKUP(B895,TblArticles,3,FALSE),""))</f>
        <v/>
      </c>
      <c r="E895" s="6">
        <f>IFERROR(DATE(2000+VALUE(MID(A895,FIND("15",A895,FIND("01",A895)+16)+2,2)),VALUE(MID(A895,FIND("15",A895,FIND("01",A895)+16)+4,2)),VALUE(MID(A895,FIND("15",A895,FIND("01",A895)+16)+6,2))),"")</f>
        <v/>
      </c>
      <c r="F895" s="5">
        <f>IFERROR(MID(A895,FIND("10",A895,FIND("15",A895,FIND("01",A895)+16)+8)+2,50),"")</f>
        <v/>
      </c>
      <c r="G895" s="5" t="n"/>
    </row>
    <row r="896">
      <c r="A896" s="7" t="n"/>
      <c r="B896" s="8">
        <f>IFERROR(MID(A896,FIND("01",A896)+2,14),"")</f>
        <v/>
      </c>
      <c r="C896" s="7">
        <f>IF(A896="","",IFERROR(VLOOKUP(B896,TblArticles,2,FALSE),"GTIN inconnu"))</f>
        <v/>
      </c>
      <c r="D896" s="8">
        <f>IF(A896="","",IFERROR(VLOOKUP(B896,TblArticles,3,FALSE),""))</f>
        <v/>
      </c>
      <c r="E896" s="9">
        <f>IFERROR(DATE(2000+VALUE(MID(A896,FIND("15",A896,FIND("01",A896)+16)+2,2)),VALUE(MID(A896,FIND("15",A896,FIND("01",A896)+16)+4,2)),VALUE(MID(A896,FIND("15",A896,FIND("01",A896)+16)+6,2))),"")</f>
        <v/>
      </c>
      <c r="F896" s="8">
        <f>IFERROR(MID(A896,FIND("10",A896,FIND("15",A896,FIND("01",A896)+16)+8)+2,50),"")</f>
        <v/>
      </c>
      <c r="G896" s="8" t="n"/>
    </row>
    <row r="897">
      <c r="A897" s="4" t="n"/>
      <c r="B897" s="5">
        <f>IFERROR(MID(A897,FIND("01",A897)+2,14),"")</f>
        <v/>
      </c>
      <c r="C897" s="4">
        <f>IF(A897="","",IFERROR(VLOOKUP(B897,TblArticles,2,FALSE),"GTIN inconnu"))</f>
        <v/>
      </c>
      <c r="D897" s="5">
        <f>IF(A897="","",IFERROR(VLOOKUP(B897,TblArticles,3,FALSE),""))</f>
        <v/>
      </c>
      <c r="E897" s="6">
        <f>IFERROR(DATE(2000+VALUE(MID(A897,FIND("15",A897,FIND("01",A897)+16)+2,2)),VALUE(MID(A897,FIND("15",A897,FIND("01",A897)+16)+4,2)),VALUE(MID(A897,FIND("15",A897,FIND("01",A897)+16)+6,2))),"")</f>
        <v/>
      </c>
      <c r="F897" s="5">
        <f>IFERROR(MID(A897,FIND("10",A897,FIND("15",A897,FIND("01",A897)+16)+8)+2,50),"")</f>
        <v/>
      </c>
      <c r="G897" s="5" t="n"/>
    </row>
    <row r="898">
      <c r="A898" s="7" t="n"/>
      <c r="B898" s="8">
        <f>IFERROR(MID(A898,FIND("01",A898)+2,14),"")</f>
        <v/>
      </c>
      <c r="C898" s="7">
        <f>IF(A898="","",IFERROR(VLOOKUP(B898,TblArticles,2,FALSE),"GTIN inconnu"))</f>
        <v/>
      </c>
      <c r="D898" s="8">
        <f>IF(A898="","",IFERROR(VLOOKUP(B898,TblArticles,3,FALSE),""))</f>
        <v/>
      </c>
      <c r="E898" s="9">
        <f>IFERROR(DATE(2000+VALUE(MID(A898,FIND("15",A898,FIND("01",A898)+16)+2,2)),VALUE(MID(A898,FIND("15",A898,FIND("01",A898)+16)+4,2)),VALUE(MID(A898,FIND("15",A898,FIND("01",A898)+16)+6,2))),"")</f>
        <v/>
      </c>
      <c r="F898" s="8">
        <f>IFERROR(MID(A898,FIND("10",A898,FIND("15",A898,FIND("01",A898)+16)+8)+2,50),"")</f>
        <v/>
      </c>
      <c r="G898" s="8" t="n"/>
    </row>
    <row r="899">
      <c r="A899" s="4" t="n"/>
      <c r="B899" s="5">
        <f>IFERROR(MID(A899,FIND("01",A899)+2,14),"")</f>
        <v/>
      </c>
      <c r="C899" s="4">
        <f>IF(A899="","",IFERROR(VLOOKUP(B899,TblArticles,2,FALSE),"GTIN inconnu"))</f>
        <v/>
      </c>
      <c r="D899" s="5">
        <f>IF(A899="","",IFERROR(VLOOKUP(B899,TblArticles,3,FALSE),""))</f>
        <v/>
      </c>
      <c r="E899" s="6">
        <f>IFERROR(DATE(2000+VALUE(MID(A899,FIND("15",A899,FIND("01",A899)+16)+2,2)),VALUE(MID(A899,FIND("15",A899,FIND("01",A899)+16)+4,2)),VALUE(MID(A899,FIND("15",A899,FIND("01",A899)+16)+6,2))),"")</f>
        <v/>
      </c>
      <c r="F899" s="5">
        <f>IFERROR(MID(A899,FIND("10",A899,FIND("15",A899,FIND("01",A899)+16)+8)+2,50),"")</f>
        <v/>
      </c>
      <c r="G899" s="5" t="n"/>
    </row>
    <row r="900">
      <c r="A900" s="7" t="n"/>
      <c r="B900" s="8">
        <f>IFERROR(MID(A900,FIND("01",A900)+2,14),"")</f>
        <v/>
      </c>
      <c r="C900" s="7">
        <f>IF(A900="","",IFERROR(VLOOKUP(B900,TblArticles,2,FALSE),"GTIN inconnu"))</f>
        <v/>
      </c>
      <c r="D900" s="8">
        <f>IF(A900="","",IFERROR(VLOOKUP(B900,TblArticles,3,FALSE),""))</f>
        <v/>
      </c>
      <c r="E900" s="9">
        <f>IFERROR(DATE(2000+VALUE(MID(A900,FIND("15",A900,FIND("01",A900)+16)+2,2)),VALUE(MID(A900,FIND("15",A900,FIND("01",A900)+16)+4,2)),VALUE(MID(A900,FIND("15",A900,FIND("01",A900)+16)+6,2))),"")</f>
        <v/>
      </c>
      <c r="F900" s="8">
        <f>IFERROR(MID(A900,FIND("10",A900,FIND("15",A900,FIND("01",A900)+16)+8)+2,50),"")</f>
        <v/>
      </c>
      <c r="G900" s="8" t="n"/>
    </row>
    <row r="901">
      <c r="A901" s="4" t="n"/>
      <c r="B901" s="5">
        <f>IFERROR(MID(A901,FIND("01",A901)+2,14),"")</f>
        <v/>
      </c>
      <c r="C901" s="4">
        <f>IF(A901="","",IFERROR(VLOOKUP(B901,TblArticles,2,FALSE),"GTIN inconnu"))</f>
        <v/>
      </c>
      <c r="D901" s="5">
        <f>IF(A901="","",IFERROR(VLOOKUP(B901,TblArticles,3,FALSE),""))</f>
        <v/>
      </c>
      <c r="E901" s="6">
        <f>IFERROR(DATE(2000+VALUE(MID(A901,FIND("15",A901,FIND("01",A901)+16)+2,2)),VALUE(MID(A901,FIND("15",A901,FIND("01",A901)+16)+4,2)),VALUE(MID(A901,FIND("15",A901,FIND("01",A901)+16)+6,2))),"")</f>
        <v/>
      </c>
      <c r="F901" s="5">
        <f>IFERROR(MID(A901,FIND("10",A901,FIND("15",A901,FIND("01",A901)+16)+8)+2,50),"")</f>
        <v/>
      </c>
      <c r="G901" s="5" t="n"/>
    </row>
    <row r="902">
      <c r="A902" s="7" t="n"/>
      <c r="B902" s="8">
        <f>IFERROR(MID(A902,FIND("01",A902)+2,14),"")</f>
        <v/>
      </c>
      <c r="C902" s="7">
        <f>IF(A902="","",IFERROR(VLOOKUP(B902,TblArticles,2,FALSE),"GTIN inconnu"))</f>
        <v/>
      </c>
      <c r="D902" s="8">
        <f>IF(A902="","",IFERROR(VLOOKUP(B902,TblArticles,3,FALSE),""))</f>
        <v/>
      </c>
      <c r="E902" s="9">
        <f>IFERROR(DATE(2000+VALUE(MID(A902,FIND("15",A902,FIND("01",A902)+16)+2,2)),VALUE(MID(A902,FIND("15",A902,FIND("01",A902)+16)+4,2)),VALUE(MID(A902,FIND("15",A902,FIND("01",A902)+16)+6,2))),"")</f>
        <v/>
      </c>
      <c r="F902" s="8">
        <f>IFERROR(MID(A902,FIND("10",A902,FIND("15",A902,FIND("01",A902)+16)+8)+2,50),"")</f>
        <v/>
      </c>
      <c r="G902" s="8" t="n"/>
    </row>
    <row r="903">
      <c r="A903" s="4" t="n"/>
      <c r="B903" s="5">
        <f>IFERROR(MID(A903,FIND("01",A903)+2,14),"")</f>
        <v/>
      </c>
      <c r="C903" s="4">
        <f>IF(A903="","",IFERROR(VLOOKUP(B903,TblArticles,2,FALSE),"GTIN inconnu"))</f>
        <v/>
      </c>
      <c r="D903" s="5">
        <f>IF(A903="","",IFERROR(VLOOKUP(B903,TblArticles,3,FALSE),""))</f>
        <v/>
      </c>
      <c r="E903" s="6">
        <f>IFERROR(DATE(2000+VALUE(MID(A903,FIND("15",A903,FIND("01",A903)+16)+2,2)),VALUE(MID(A903,FIND("15",A903,FIND("01",A903)+16)+4,2)),VALUE(MID(A903,FIND("15",A903,FIND("01",A903)+16)+6,2))),"")</f>
        <v/>
      </c>
      <c r="F903" s="5">
        <f>IFERROR(MID(A903,FIND("10",A903,FIND("15",A903,FIND("01",A903)+16)+8)+2,50),"")</f>
        <v/>
      </c>
      <c r="G903" s="5" t="n"/>
    </row>
    <row r="904">
      <c r="A904" s="7" t="n"/>
      <c r="B904" s="8">
        <f>IFERROR(MID(A904,FIND("01",A904)+2,14),"")</f>
        <v/>
      </c>
      <c r="C904" s="7">
        <f>IF(A904="","",IFERROR(VLOOKUP(B904,TblArticles,2,FALSE),"GTIN inconnu"))</f>
        <v/>
      </c>
      <c r="D904" s="8">
        <f>IF(A904="","",IFERROR(VLOOKUP(B904,TblArticles,3,FALSE),""))</f>
        <v/>
      </c>
      <c r="E904" s="9">
        <f>IFERROR(DATE(2000+VALUE(MID(A904,FIND("15",A904,FIND("01",A904)+16)+2,2)),VALUE(MID(A904,FIND("15",A904,FIND("01",A904)+16)+4,2)),VALUE(MID(A904,FIND("15",A904,FIND("01",A904)+16)+6,2))),"")</f>
        <v/>
      </c>
      <c r="F904" s="8">
        <f>IFERROR(MID(A904,FIND("10",A904,FIND("15",A904,FIND("01",A904)+16)+8)+2,50),"")</f>
        <v/>
      </c>
      <c r="G904" s="8" t="n"/>
    </row>
    <row r="905">
      <c r="A905" s="4" t="n"/>
      <c r="B905" s="5">
        <f>IFERROR(MID(A905,FIND("01",A905)+2,14),"")</f>
        <v/>
      </c>
      <c r="C905" s="4">
        <f>IF(A905="","",IFERROR(VLOOKUP(B905,TblArticles,2,FALSE),"GTIN inconnu"))</f>
        <v/>
      </c>
      <c r="D905" s="5">
        <f>IF(A905="","",IFERROR(VLOOKUP(B905,TblArticles,3,FALSE),""))</f>
        <v/>
      </c>
      <c r="E905" s="6">
        <f>IFERROR(DATE(2000+VALUE(MID(A905,FIND("15",A905,FIND("01",A905)+16)+2,2)),VALUE(MID(A905,FIND("15",A905,FIND("01",A905)+16)+4,2)),VALUE(MID(A905,FIND("15",A905,FIND("01",A905)+16)+6,2))),"")</f>
        <v/>
      </c>
      <c r="F905" s="5">
        <f>IFERROR(MID(A905,FIND("10",A905,FIND("15",A905,FIND("01",A905)+16)+8)+2,50),"")</f>
        <v/>
      </c>
      <c r="G905" s="5" t="n"/>
    </row>
    <row r="906">
      <c r="A906" s="7" t="n"/>
      <c r="B906" s="8">
        <f>IFERROR(MID(A906,FIND("01",A906)+2,14),"")</f>
        <v/>
      </c>
      <c r="C906" s="7">
        <f>IF(A906="","",IFERROR(VLOOKUP(B906,TblArticles,2,FALSE),"GTIN inconnu"))</f>
        <v/>
      </c>
      <c r="D906" s="8">
        <f>IF(A906="","",IFERROR(VLOOKUP(B906,TblArticles,3,FALSE),""))</f>
        <v/>
      </c>
      <c r="E906" s="9">
        <f>IFERROR(DATE(2000+VALUE(MID(A906,FIND("15",A906,FIND("01",A906)+16)+2,2)),VALUE(MID(A906,FIND("15",A906,FIND("01",A906)+16)+4,2)),VALUE(MID(A906,FIND("15",A906,FIND("01",A906)+16)+6,2))),"")</f>
        <v/>
      </c>
      <c r="F906" s="8">
        <f>IFERROR(MID(A906,FIND("10",A906,FIND("15",A906,FIND("01",A906)+16)+8)+2,50),"")</f>
        <v/>
      </c>
      <c r="G906" s="8" t="n"/>
    </row>
    <row r="907">
      <c r="A907" s="4" t="n"/>
      <c r="B907" s="5">
        <f>IFERROR(MID(A907,FIND("01",A907)+2,14),"")</f>
        <v/>
      </c>
      <c r="C907" s="4">
        <f>IF(A907="","",IFERROR(VLOOKUP(B907,TblArticles,2,FALSE),"GTIN inconnu"))</f>
        <v/>
      </c>
      <c r="D907" s="5">
        <f>IF(A907="","",IFERROR(VLOOKUP(B907,TblArticles,3,FALSE),""))</f>
        <v/>
      </c>
      <c r="E907" s="6">
        <f>IFERROR(DATE(2000+VALUE(MID(A907,FIND("15",A907,FIND("01",A907)+16)+2,2)),VALUE(MID(A907,FIND("15",A907,FIND("01",A907)+16)+4,2)),VALUE(MID(A907,FIND("15",A907,FIND("01",A907)+16)+6,2))),"")</f>
        <v/>
      </c>
      <c r="F907" s="5">
        <f>IFERROR(MID(A907,FIND("10",A907,FIND("15",A907,FIND("01",A907)+16)+8)+2,50),"")</f>
        <v/>
      </c>
      <c r="G907" s="5" t="n"/>
    </row>
    <row r="908">
      <c r="A908" s="7" t="n"/>
      <c r="B908" s="8">
        <f>IFERROR(MID(A908,FIND("01",A908)+2,14),"")</f>
        <v/>
      </c>
      <c r="C908" s="7">
        <f>IF(A908="","",IFERROR(VLOOKUP(B908,TblArticles,2,FALSE),"GTIN inconnu"))</f>
        <v/>
      </c>
      <c r="D908" s="8">
        <f>IF(A908="","",IFERROR(VLOOKUP(B908,TblArticles,3,FALSE),""))</f>
        <v/>
      </c>
      <c r="E908" s="9">
        <f>IFERROR(DATE(2000+VALUE(MID(A908,FIND("15",A908,FIND("01",A908)+16)+2,2)),VALUE(MID(A908,FIND("15",A908,FIND("01",A908)+16)+4,2)),VALUE(MID(A908,FIND("15",A908,FIND("01",A908)+16)+6,2))),"")</f>
        <v/>
      </c>
      <c r="F908" s="8">
        <f>IFERROR(MID(A908,FIND("10",A908,FIND("15",A908,FIND("01",A908)+16)+8)+2,50),"")</f>
        <v/>
      </c>
      <c r="G908" s="8" t="n"/>
    </row>
    <row r="909">
      <c r="A909" s="4" t="n"/>
      <c r="B909" s="5">
        <f>IFERROR(MID(A909,FIND("01",A909)+2,14),"")</f>
        <v/>
      </c>
      <c r="C909" s="4">
        <f>IF(A909="","",IFERROR(VLOOKUP(B909,TblArticles,2,FALSE),"GTIN inconnu"))</f>
        <v/>
      </c>
      <c r="D909" s="5">
        <f>IF(A909="","",IFERROR(VLOOKUP(B909,TblArticles,3,FALSE),""))</f>
        <v/>
      </c>
      <c r="E909" s="6">
        <f>IFERROR(DATE(2000+VALUE(MID(A909,FIND("15",A909,FIND("01",A909)+16)+2,2)),VALUE(MID(A909,FIND("15",A909,FIND("01",A909)+16)+4,2)),VALUE(MID(A909,FIND("15",A909,FIND("01",A909)+16)+6,2))),"")</f>
        <v/>
      </c>
      <c r="F909" s="5">
        <f>IFERROR(MID(A909,FIND("10",A909,FIND("15",A909,FIND("01",A909)+16)+8)+2,50),"")</f>
        <v/>
      </c>
      <c r="G909" s="5" t="n"/>
    </row>
    <row r="910">
      <c r="A910" s="7" t="n"/>
      <c r="B910" s="8">
        <f>IFERROR(MID(A910,FIND("01",A910)+2,14),"")</f>
        <v/>
      </c>
      <c r="C910" s="7">
        <f>IF(A910="","",IFERROR(VLOOKUP(B910,TblArticles,2,FALSE),"GTIN inconnu"))</f>
        <v/>
      </c>
      <c r="D910" s="8">
        <f>IF(A910="","",IFERROR(VLOOKUP(B910,TblArticles,3,FALSE),""))</f>
        <v/>
      </c>
      <c r="E910" s="9">
        <f>IFERROR(DATE(2000+VALUE(MID(A910,FIND("15",A910,FIND("01",A910)+16)+2,2)),VALUE(MID(A910,FIND("15",A910,FIND("01",A910)+16)+4,2)),VALUE(MID(A910,FIND("15",A910,FIND("01",A910)+16)+6,2))),"")</f>
        <v/>
      </c>
      <c r="F910" s="8">
        <f>IFERROR(MID(A910,FIND("10",A910,FIND("15",A910,FIND("01",A910)+16)+8)+2,50),"")</f>
        <v/>
      </c>
      <c r="G910" s="8" t="n"/>
    </row>
    <row r="911">
      <c r="A911" s="4" t="n"/>
      <c r="B911" s="5">
        <f>IFERROR(MID(A911,FIND("01",A911)+2,14),"")</f>
        <v/>
      </c>
      <c r="C911" s="4">
        <f>IF(A911="","",IFERROR(VLOOKUP(B911,TblArticles,2,FALSE),"GTIN inconnu"))</f>
        <v/>
      </c>
      <c r="D911" s="5">
        <f>IF(A911="","",IFERROR(VLOOKUP(B911,TblArticles,3,FALSE),""))</f>
        <v/>
      </c>
      <c r="E911" s="6">
        <f>IFERROR(DATE(2000+VALUE(MID(A911,FIND("15",A911,FIND("01",A911)+16)+2,2)),VALUE(MID(A911,FIND("15",A911,FIND("01",A911)+16)+4,2)),VALUE(MID(A911,FIND("15",A911,FIND("01",A911)+16)+6,2))),"")</f>
        <v/>
      </c>
      <c r="F911" s="5">
        <f>IFERROR(MID(A911,FIND("10",A911,FIND("15",A911,FIND("01",A911)+16)+8)+2,50),"")</f>
        <v/>
      </c>
      <c r="G911" s="5" t="n"/>
    </row>
    <row r="912">
      <c r="A912" s="7" t="n"/>
      <c r="B912" s="8">
        <f>IFERROR(MID(A912,FIND("01",A912)+2,14),"")</f>
        <v/>
      </c>
      <c r="C912" s="7">
        <f>IF(A912="","",IFERROR(VLOOKUP(B912,TblArticles,2,FALSE),"GTIN inconnu"))</f>
        <v/>
      </c>
      <c r="D912" s="8">
        <f>IF(A912="","",IFERROR(VLOOKUP(B912,TblArticles,3,FALSE),""))</f>
        <v/>
      </c>
      <c r="E912" s="9">
        <f>IFERROR(DATE(2000+VALUE(MID(A912,FIND("15",A912,FIND("01",A912)+16)+2,2)),VALUE(MID(A912,FIND("15",A912,FIND("01",A912)+16)+4,2)),VALUE(MID(A912,FIND("15",A912,FIND("01",A912)+16)+6,2))),"")</f>
        <v/>
      </c>
      <c r="F912" s="8">
        <f>IFERROR(MID(A912,FIND("10",A912,FIND("15",A912,FIND("01",A912)+16)+8)+2,50),"")</f>
        <v/>
      </c>
      <c r="G912" s="8" t="n"/>
    </row>
    <row r="913">
      <c r="A913" s="4" t="n"/>
      <c r="B913" s="5">
        <f>IFERROR(MID(A913,FIND("01",A913)+2,14),"")</f>
        <v/>
      </c>
      <c r="C913" s="4">
        <f>IF(A913="","",IFERROR(VLOOKUP(B913,TblArticles,2,FALSE),"GTIN inconnu"))</f>
        <v/>
      </c>
      <c r="D913" s="5">
        <f>IF(A913="","",IFERROR(VLOOKUP(B913,TblArticles,3,FALSE),""))</f>
        <v/>
      </c>
      <c r="E913" s="6">
        <f>IFERROR(DATE(2000+VALUE(MID(A913,FIND("15",A913,FIND("01",A913)+16)+2,2)),VALUE(MID(A913,FIND("15",A913,FIND("01",A913)+16)+4,2)),VALUE(MID(A913,FIND("15",A913,FIND("01",A913)+16)+6,2))),"")</f>
        <v/>
      </c>
      <c r="F913" s="5">
        <f>IFERROR(MID(A913,FIND("10",A913,FIND("15",A913,FIND("01",A913)+16)+8)+2,50),"")</f>
        <v/>
      </c>
      <c r="G913" s="5" t="n"/>
    </row>
    <row r="914">
      <c r="A914" s="7" t="n"/>
      <c r="B914" s="8">
        <f>IFERROR(MID(A914,FIND("01",A914)+2,14),"")</f>
        <v/>
      </c>
      <c r="C914" s="7">
        <f>IF(A914="","",IFERROR(VLOOKUP(B914,TblArticles,2,FALSE),"GTIN inconnu"))</f>
        <v/>
      </c>
      <c r="D914" s="8">
        <f>IF(A914="","",IFERROR(VLOOKUP(B914,TblArticles,3,FALSE),""))</f>
        <v/>
      </c>
      <c r="E914" s="9">
        <f>IFERROR(DATE(2000+VALUE(MID(A914,FIND("15",A914,FIND("01",A914)+16)+2,2)),VALUE(MID(A914,FIND("15",A914,FIND("01",A914)+16)+4,2)),VALUE(MID(A914,FIND("15",A914,FIND("01",A914)+16)+6,2))),"")</f>
        <v/>
      </c>
      <c r="F914" s="8">
        <f>IFERROR(MID(A914,FIND("10",A914,FIND("15",A914,FIND("01",A914)+16)+8)+2,50),"")</f>
        <v/>
      </c>
      <c r="G914" s="8" t="n"/>
    </row>
    <row r="915">
      <c r="A915" s="4" t="n"/>
      <c r="B915" s="5">
        <f>IFERROR(MID(A915,FIND("01",A915)+2,14),"")</f>
        <v/>
      </c>
      <c r="C915" s="4">
        <f>IF(A915="","",IFERROR(VLOOKUP(B915,TblArticles,2,FALSE),"GTIN inconnu"))</f>
        <v/>
      </c>
      <c r="D915" s="5">
        <f>IF(A915="","",IFERROR(VLOOKUP(B915,TblArticles,3,FALSE),""))</f>
        <v/>
      </c>
      <c r="E915" s="6">
        <f>IFERROR(DATE(2000+VALUE(MID(A915,FIND("15",A915,FIND("01",A915)+16)+2,2)),VALUE(MID(A915,FIND("15",A915,FIND("01",A915)+16)+4,2)),VALUE(MID(A915,FIND("15",A915,FIND("01",A915)+16)+6,2))),"")</f>
        <v/>
      </c>
      <c r="F915" s="5">
        <f>IFERROR(MID(A915,FIND("10",A915,FIND("15",A915,FIND("01",A915)+16)+8)+2,50),"")</f>
        <v/>
      </c>
      <c r="G915" s="5" t="n"/>
    </row>
    <row r="916">
      <c r="A916" s="7" t="n"/>
      <c r="B916" s="8">
        <f>IFERROR(MID(A916,FIND("01",A916)+2,14),"")</f>
        <v/>
      </c>
      <c r="C916" s="7">
        <f>IF(A916="","",IFERROR(VLOOKUP(B916,TblArticles,2,FALSE),"GTIN inconnu"))</f>
        <v/>
      </c>
      <c r="D916" s="8">
        <f>IF(A916="","",IFERROR(VLOOKUP(B916,TblArticles,3,FALSE),""))</f>
        <v/>
      </c>
      <c r="E916" s="9">
        <f>IFERROR(DATE(2000+VALUE(MID(A916,FIND("15",A916,FIND("01",A916)+16)+2,2)),VALUE(MID(A916,FIND("15",A916,FIND("01",A916)+16)+4,2)),VALUE(MID(A916,FIND("15",A916,FIND("01",A916)+16)+6,2))),"")</f>
        <v/>
      </c>
      <c r="F916" s="8">
        <f>IFERROR(MID(A916,FIND("10",A916,FIND("15",A916,FIND("01",A916)+16)+8)+2,50),"")</f>
        <v/>
      </c>
      <c r="G916" s="8" t="n"/>
    </row>
    <row r="917">
      <c r="A917" s="4" t="n"/>
      <c r="B917" s="5">
        <f>IFERROR(MID(A917,FIND("01",A917)+2,14),"")</f>
        <v/>
      </c>
      <c r="C917" s="4">
        <f>IF(A917="","",IFERROR(VLOOKUP(B917,TblArticles,2,FALSE),"GTIN inconnu"))</f>
        <v/>
      </c>
      <c r="D917" s="5">
        <f>IF(A917="","",IFERROR(VLOOKUP(B917,TblArticles,3,FALSE),""))</f>
        <v/>
      </c>
      <c r="E917" s="6">
        <f>IFERROR(DATE(2000+VALUE(MID(A917,FIND("15",A917,FIND("01",A917)+16)+2,2)),VALUE(MID(A917,FIND("15",A917,FIND("01",A917)+16)+4,2)),VALUE(MID(A917,FIND("15",A917,FIND("01",A917)+16)+6,2))),"")</f>
        <v/>
      </c>
      <c r="F917" s="5">
        <f>IFERROR(MID(A917,FIND("10",A917,FIND("15",A917,FIND("01",A917)+16)+8)+2,50),"")</f>
        <v/>
      </c>
      <c r="G917" s="5" t="n"/>
    </row>
    <row r="918">
      <c r="A918" s="7" t="n"/>
      <c r="B918" s="8">
        <f>IFERROR(MID(A918,FIND("01",A918)+2,14),"")</f>
        <v/>
      </c>
      <c r="C918" s="7">
        <f>IF(A918="","",IFERROR(VLOOKUP(B918,TblArticles,2,FALSE),"GTIN inconnu"))</f>
        <v/>
      </c>
      <c r="D918" s="8">
        <f>IF(A918="","",IFERROR(VLOOKUP(B918,TblArticles,3,FALSE),""))</f>
        <v/>
      </c>
      <c r="E918" s="9">
        <f>IFERROR(DATE(2000+VALUE(MID(A918,FIND("15",A918,FIND("01",A918)+16)+2,2)),VALUE(MID(A918,FIND("15",A918,FIND("01",A918)+16)+4,2)),VALUE(MID(A918,FIND("15",A918,FIND("01",A918)+16)+6,2))),"")</f>
        <v/>
      </c>
      <c r="F918" s="8">
        <f>IFERROR(MID(A918,FIND("10",A918,FIND("15",A918,FIND("01",A918)+16)+8)+2,50),"")</f>
        <v/>
      </c>
      <c r="G918" s="8" t="n"/>
    </row>
    <row r="919">
      <c r="A919" s="4" t="n"/>
      <c r="B919" s="5">
        <f>IFERROR(MID(A919,FIND("01",A919)+2,14),"")</f>
        <v/>
      </c>
      <c r="C919" s="4">
        <f>IF(A919="","",IFERROR(VLOOKUP(B919,TblArticles,2,FALSE),"GTIN inconnu"))</f>
        <v/>
      </c>
      <c r="D919" s="5">
        <f>IF(A919="","",IFERROR(VLOOKUP(B919,TblArticles,3,FALSE),""))</f>
        <v/>
      </c>
      <c r="E919" s="6">
        <f>IFERROR(DATE(2000+VALUE(MID(A919,FIND("15",A919,FIND("01",A919)+16)+2,2)),VALUE(MID(A919,FIND("15",A919,FIND("01",A919)+16)+4,2)),VALUE(MID(A919,FIND("15",A919,FIND("01",A919)+16)+6,2))),"")</f>
        <v/>
      </c>
      <c r="F919" s="5">
        <f>IFERROR(MID(A919,FIND("10",A919,FIND("15",A919,FIND("01",A919)+16)+8)+2,50),"")</f>
        <v/>
      </c>
      <c r="G919" s="5" t="n"/>
    </row>
    <row r="920">
      <c r="A920" s="7" t="n"/>
      <c r="B920" s="8">
        <f>IFERROR(MID(A920,FIND("01",A920)+2,14),"")</f>
        <v/>
      </c>
      <c r="C920" s="7">
        <f>IF(A920="","",IFERROR(VLOOKUP(B920,TblArticles,2,FALSE),"GTIN inconnu"))</f>
        <v/>
      </c>
      <c r="D920" s="8">
        <f>IF(A920="","",IFERROR(VLOOKUP(B920,TblArticles,3,FALSE),""))</f>
        <v/>
      </c>
      <c r="E920" s="9">
        <f>IFERROR(DATE(2000+VALUE(MID(A920,FIND("15",A920,FIND("01",A920)+16)+2,2)),VALUE(MID(A920,FIND("15",A920,FIND("01",A920)+16)+4,2)),VALUE(MID(A920,FIND("15",A920,FIND("01",A920)+16)+6,2))),"")</f>
        <v/>
      </c>
      <c r="F920" s="8">
        <f>IFERROR(MID(A920,FIND("10",A920,FIND("15",A920,FIND("01",A920)+16)+8)+2,50),"")</f>
        <v/>
      </c>
      <c r="G920" s="8" t="n"/>
    </row>
    <row r="921">
      <c r="A921" s="4" t="n"/>
      <c r="B921" s="5">
        <f>IFERROR(MID(A921,FIND("01",A921)+2,14),"")</f>
        <v/>
      </c>
      <c r="C921" s="4">
        <f>IF(A921="","",IFERROR(VLOOKUP(B921,TblArticles,2,FALSE),"GTIN inconnu"))</f>
        <v/>
      </c>
      <c r="D921" s="5">
        <f>IF(A921="","",IFERROR(VLOOKUP(B921,TblArticles,3,FALSE),""))</f>
        <v/>
      </c>
      <c r="E921" s="6">
        <f>IFERROR(DATE(2000+VALUE(MID(A921,FIND("15",A921,FIND("01",A921)+16)+2,2)),VALUE(MID(A921,FIND("15",A921,FIND("01",A921)+16)+4,2)),VALUE(MID(A921,FIND("15",A921,FIND("01",A921)+16)+6,2))),"")</f>
        <v/>
      </c>
      <c r="F921" s="5">
        <f>IFERROR(MID(A921,FIND("10",A921,FIND("15",A921,FIND("01",A921)+16)+8)+2,50),"")</f>
        <v/>
      </c>
      <c r="G921" s="5" t="n"/>
    </row>
    <row r="922">
      <c r="A922" s="7" t="n"/>
      <c r="B922" s="8">
        <f>IFERROR(MID(A922,FIND("01",A922)+2,14),"")</f>
        <v/>
      </c>
      <c r="C922" s="7">
        <f>IF(A922="","",IFERROR(VLOOKUP(B922,TblArticles,2,FALSE),"GTIN inconnu"))</f>
        <v/>
      </c>
      <c r="D922" s="8">
        <f>IF(A922="","",IFERROR(VLOOKUP(B922,TblArticles,3,FALSE),""))</f>
        <v/>
      </c>
      <c r="E922" s="9">
        <f>IFERROR(DATE(2000+VALUE(MID(A922,FIND("15",A922,FIND("01",A922)+16)+2,2)),VALUE(MID(A922,FIND("15",A922,FIND("01",A922)+16)+4,2)),VALUE(MID(A922,FIND("15",A922,FIND("01",A922)+16)+6,2))),"")</f>
        <v/>
      </c>
      <c r="F922" s="8">
        <f>IFERROR(MID(A922,FIND("10",A922,FIND("15",A922,FIND("01",A922)+16)+8)+2,50),"")</f>
        <v/>
      </c>
      <c r="G922" s="8" t="n"/>
    </row>
    <row r="923">
      <c r="A923" s="4" t="n"/>
      <c r="B923" s="5">
        <f>IFERROR(MID(A923,FIND("01",A923)+2,14),"")</f>
        <v/>
      </c>
      <c r="C923" s="4">
        <f>IF(A923="","",IFERROR(VLOOKUP(B923,TblArticles,2,FALSE),"GTIN inconnu"))</f>
        <v/>
      </c>
      <c r="D923" s="5">
        <f>IF(A923="","",IFERROR(VLOOKUP(B923,TblArticles,3,FALSE),""))</f>
        <v/>
      </c>
      <c r="E923" s="6">
        <f>IFERROR(DATE(2000+VALUE(MID(A923,FIND("15",A923,FIND("01",A923)+16)+2,2)),VALUE(MID(A923,FIND("15",A923,FIND("01",A923)+16)+4,2)),VALUE(MID(A923,FIND("15",A923,FIND("01",A923)+16)+6,2))),"")</f>
        <v/>
      </c>
      <c r="F923" s="5">
        <f>IFERROR(MID(A923,FIND("10",A923,FIND("15",A923,FIND("01",A923)+16)+8)+2,50),"")</f>
        <v/>
      </c>
      <c r="G923" s="5" t="n"/>
    </row>
    <row r="924">
      <c r="A924" s="7" t="n"/>
      <c r="B924" s="8">
        <f>IFERROR(MID(A924,FIND("01",A924)+2,14),"")</f>
        <v/>
      </c>
      <c r="C924" s="7">
        <f>IF(A924="","",IFERROR(VLOOKUP(B924,TblArticles,2,FALSE),"GTIN inconnu"))</f>
        <v/>
      </c>
      <c r="D924" s="8">
        <f>IF(A924="","",IFERROR(VLOOKUP(B924,TblArticles,3,FALSE),""))</f>
        <v/>
      </c>
      <c r="E924" s="9">
        <f>IFERROR(DATE(2000+VALUE(MID(A924,FIND("15",A924,FIND("01",A924)+16)+2,2)),VALUE(MID(A924,FIND("15",A924,FIND("01",A924)+16)+4,2)),VALUE(MID(A924,FIND("15",A924,FIND("01",A924)+16)+6,2))),"")</f>
        <v/>
      </c>
      <c r="F924" s="8">
        <f>IFERROR(MID(A924,FIND("10",A924,FIND("15",A924,FIND("01",A924)+16)+8)+2,50),"")</f>
        <v/>
      </c>
      <c r="G924" s="8" t="n"/>
    </row>
    <row r="925">
      <c r="A925" s="4" t="n"/>
      <c r="B925" s="5">
        <f>IFERROR(MID(A925,FIND("01",A925)+2,14),"")</f>
        <v/>
      </c>
      <c r="C925" s="4">
        <f>IF(A925="","",IFERROR(VLOOKUP(B925,TblArticles,2,FALSE),"GTIN inconnu"))</f>
        <v/>
      </c>
      <c r="D925" s="5">
        <f>IF(A925="","",IFERROR(VLOOKUP(B925,TblArticles,3,FALSE),""))</f>
        <v/>
      </c>
      <c r="E925" s="6">
        <f>IFERROR(DATE(2000+VALUE(MID(A925,FIND("15",A925,FIND("01",A925)+16)+2,2)),VALUE(MID(A925,FIND("15",A925,FIND("01",A925)+16)+4,2)),VALUE(MID(A925,FIND("15",A925,FIND("01",A925)+16)+6,2))),"")</f>
        <v/>
      </c>
      <c r="F925" s="5">
        <f>IFERROR(MID(A925,FIND("10",A925,FIND("15",A925,FIND("01",A925)+16)+8)+2,50),"")</f>
        <v/>
      </c>
      <c r="G925" s="5" t="n"/>
    </row>
    <row r="926">
      <c r="A926" s="7" t="n"/>
      <c r="B926" s="8">
        <f>IFERROR(MID(A926,FIND("01",A926)+2,14),"")</f>
        <v/>
      </c>
      <c r="C926" s="7">
        <f>IF(A926="","",IFERROR(VLOOKUP(B926,TblArticles,2,FALSE),"GTIN inconnu"))</f>
        <v/>
      </c>
      <c r="D926" s="8">
        <f>IF(A926="","",IFERROR(VLOOKUP(B926,TblArticles,3,FALSE),""))</f>
        <v/>
      </c>
      <c r="E926" s="9">
        <f>IFERROR(DATE(2000+VALUE(MID(A926,FIND("15",A926,FIND("01",A926)+16)+2,2)),VALUE(MID(A926,FIND("15",A926,FIND("01",A926)+16)+4,2)),VALUE(MID(A926,FIND("15",A926,FIND("01",A926)+16)+6,2))),"")</f>
        <v/>
      </c>
      <c r="F926" s="8">
        <f>IFERROR(MID(A926,FIND("10",A926,FIND("15",A926,FIND("01",A926)+16)+8)+2,50),"")</f>
        <v/>
      </c>
      <c r="G926" s="8" t="n"/>
    </row>
    <row r="927">
      <c r="A927" s="4" t="n"/>
      <c r="B927" s="5">
        <f>IFERROR(MID(A927,FIND("01",A927)+2,14),"")</f>
        <v/>
      </c>
      <c r="C927" s="4">
        <f>IF(A927="","",IFERROR(VLOOKUP(B927,TblArticles,2,FALSE),"GTIN inconnu"))</f>
        <v/>
      </c>
      <c r="D927" s="5">
        <f>IF(A927="","",IFERROR(VLOOKUP(B927,TblArticles,3,FALSE),""))</f>
        <v/>
      </c>
      <c r="E927" s="6">
        <f>IFERROR(DATE(2000+VALUE(MID(A927,FIND("15",A927,FIND("01",A927)+16)+2,2)),VALUE(MID(A927,FIND("15",A927,FIND("01",A927)+16)+4,2)),VALUE(MID(A927,FIND("15",A927,FIND("01",A927)+16)+6,2))),"")</f>
        <v/>
      </c>
      <c r="F927" s="5">
        <f>IFERROR(MID(A927,FIND("10",A927,FIND("15",A927,FIND("01",A927)+16)+8)+2,50),"")</f>
        <v/>
      </c>
      <c r="G927" s="5" t="n"/>
    </row>
    <row r="928">
      <c r="A928" s="7" t="n"/>
      <c r="B928" s="8">
        <f>IFERROR(MID(A928,FIND("01",A928)+2,14),"")</f>
        <v/>
      </c>
      <c r="C928" s="7">
        <f>IF(A928="","",IFERROR(VLOOKUP(B928,TblArticles,2,FALSE),"GTIN inconnu"))</f>
        <v/>
      </c>
      <c r="D928" s="8">
        <f>IF(A928="","",IFERROR(VLOOKUP(B928,TblArticles,3,FALSE),""))</f>
        <v/>
      </c>
      <c r="E928" s="9">
        <f>IFERROR(DATE(2000+VALUE(MID(A928,FIND("15",A928,FIND("01",A928)+16)+2,2)),VALUE(MID(A928,FIND("15",A928,FIND("01",A928)+16)+4,2)),VALUE(MID(A928,FIND("15",A928,FIND("01",A928)+16)+6,2))),"")</f>
        <v/>
      </c>
      <c r="F928" s="8">
        <f>IFERROR(MID(A928,FIND("10",A928,FIND("15",A928,FIND("01",A928)+16)+8)+2,50),"")</f>
        <v/>
      </c>
      <c r="G928" s="8" t="n"/>
    </row>
    <row r="929">
      <c r="A929" s="4" t="n"/>
      <c r="B929" s="5">
        <f>IFERROR(MID(A929,FIND("01",A929)+2,14),"")</f>
        <v/>
      </c>
      <c r="C929" s="4">
        <f>IF(A929="","",IFERROR(VLOOKUP(B929,TblArticles,2,FALSE),"GTIN inconnu"))</f>
        <v/>
      </c>
      <c r="D929" s="5">
        <f>IF(A929="","",IFERROR(VLOOKUP(B929,TblArticles,3,FALSE),""))</f>
        <v/>
      </c>
      <c r="E929" s="6">
        <f>IFERROR(DATE(2000+VALUE(MID(A929,FIND("15",A929,FIND("01",A929)+16)+2,2)),VALUE(MID(A929,FIND("15",A929,FIND("01",A929)+16)+4,2)),VALUE(MID(A929,FIND("15",A929,FIND("01",A929)+16)+6,2))),"")</f>
        <v/>
      </c>
      <c r="F929" s="5">
        <f>IFERROR(MID(A929,FIND("10",A929,FIND("15",A929,FIND("01",A929)+16)+8)+2,50),"")</f>
        <v/>
      </c>
      <c r="G929" s="5" t="n"/>
    </row>
    <row r="930">
      <c r="A930" s="7" t="n"/>
      <c r="B930" s="8">
        <f>IFERROR(MID(A930,FIND("01",A930)+2,14),"")</f>
        <v/>
      </c>
      <c r="C930" s="7">
        <f>IF(A930="","",IFERROR(VLOOKUP(B930,TblArticles,2,FALSE),"GTIN inconnu"))</f>
        <v/>
      </c>
      <c r="D930" s="8">
        <f>IF(A930="","",IFERROR(VLOOKUP(B930,TblArticles,3,FALSE),""))</f>
        <v/>
      </c>
      <c r="E930" s="9">
        <f>IFERROR(DATE(2000+VALUE(MID(A930,FIND("15",A930,FIND("01",A930)+16)+2,2)),VALUE(MID(A930,FIND("15",A930,FIND("01",A930)+16)+4,2)),VALUE(MID(A930,FIND("15",A930,FIND("01",A930)+16)+6,2))),"")</f>
        <v/>
      </c>
      <c r="F930" s="8">
        <f>IFERROR(MID(A930,FIND("10",A930,FIND("15",A930,FIND("01",A930)+16)+8)+2,50),"")</f>
        <v/>
      </c>
      <c r="G930" s="8" t="n"/>
    </row>
    <row r="931">
      <c r="A931" s="4" t="n"/>
      <c r="B931" s="5">
        <f>IFERROR(MID(A931,FIND("01",A931)+2,14),"")</f>
        <v/>
      </c>
      <c r="C931" s="4">
        <f>IF(A931="","",IFERROR(VLOOKUP(B931,TblArticles,2,FALSE),"GTIN inconnu"))</f>
        <v/>
      </c>
      <c r="D931" s="5">
        <f>IF(A931="","",IFERROR(VLOOKUP(B931,TblArticles,3,FALSE),""))</f>
        <v/>
      </c>
      <c r="E931" s="6">
        <f>IFERROR(DATE(2000+VALUE(MID(A931,FIND("15",A931,FIND("01",A931)+16)+2,2)),VALUE(MID(A931,FIND("15",A931,FIND("01",A931)+16)+4,2)),VALUE(MID(A931,FIND("15",A931,FIND("01",A931)+16)+6,2))),"")</f>
        <v/>
      </c>
      <c r="F931" s="5">
        <f>IFERROR(MID(A931,FIND("10",A931,FIND("15",A931,FIND("01",A931)+16)+8)+2,50),"")</f>
        <v/>
      </c>
      <c r="G931" s="5" t="n"/>
    </row>
    <row r="932">
      <c r="A932" s="7" t="n"/>
      <c r="B932" s="8">
        <f>IFERROR(MID(A932,FIND("01",A932)+2,14),"")</f>
        <v/>
      </c>
      <c r="C932" s="7">
        <f>IF(A932="","",IFERROR(VLOOKUP(B932,TblArticles,2,FALSE),"GTIN inconnu"))</f>
        <v/>
      </c>
      <c r="D932" s="8">
        <f>IF(A932="","",IFERROR(VLOOKUP(B932,TblArticles,3,FALSE),""))</f>
        <v/>
      </c>
      <c r="E932" s="9">
        <f>IFERROR(DATE(2000+VALUE(MID(A932,FIND("15",A932,FIND("01",A932)+16)+2,2)),VALUE(MID(A932,FIND("15",A932,FIND("01",A932)+16)+4,2)),VALUE(MID(A932,FIND("15",A932,FIND("01",A932)+16)+6,2))),"")</f>
        <v/>
      </c>
      <c r="F932" s="8">
        <f>IFERROR(MID(A932,FIND("10",A932,FIND("15",A932,FIND("01",A932)+16)+8)+2,50),"")</f>
        <v/>
      </c>
      <c r="G932" s="8" t="n"/>
    </row>
    <row r="933">
      <c r="A933" s="4" t="n"/>
      <c r="B933" s="5">
        <f>IFERROR(MID(A933,FIND("01",A933)+2,14),"")</f>
        <v/>
      </c>
      <c r="C933" s="4">
        <f>IF(A933="","",IFERROR(VLOOKUP(B933,TblArticles,2,FALSE),"GTIN inconnu"))</f>
        <v/>
      </c>
      <c r="D933" s="5">
        <f>IF(A933="","",IFERROR(VLOOKUP(B933,TblArticles,3,FALSE),""))</f>
        <v/>
      </c>
      <c r="E933" s="6">
        <f>IFERROR(DATE(2000+VALUE(MID(A933,FIND("15",A933,FIND("01",A933)+16)+2,2)),VALUE(MID(A933,FIND("15",A933,FIND("01",A933)+16)+4,2)),VALUE(MID(A933,FIND("15",A933,FIND("01",A933)+16)+6,2))),"")</f>
        <v/>
      </c>
      <c r="F933" s="5">
        <f>IFERROR(MID(A933,FIND("10",A933,FIND("15",A933,FIND("01",A933)+16)+8)+2,50),"")</f>
        <v/>
      </c>
      <c r="G933" s="5" t="n"/>
    </row>
    <row r="934">
      <c r="A934" s="7" t="n"/>
      <c r="B934" s="8">
        <f>IFERROR(MID(A934,FIND("01",A934)+2,14),"")</f>
        <v/>
      </c>
      <c r="C934" s="7">
        <f>IF(A934="","",IFERROR(VLOOKUP(B934,TblArticles,2,FALSE),"GTIN inconnu"))</f>
        <v/>
      </c>
      <c r="D934" s="8">
        <f>IF(A934="","",IFERROR(VLOOKUP(B934,TblArticles,3,FALSE),""))</f>
        <v/>
      </c>
      <c r="E934" s="9">
        <f>IFERROR(DATE(2000+VALUE(MID(A934,FIND("15",A934,FIND("01",A934)+16)+2,2)),VALUE(MID(A934,FIND("15",A934,FIND("01",A934)+16)+4,2)),VALUE(MID(A934,FIND("15",A934,FIND("01",A934)+16)+6,2))),"")</f>
        <v/>
      </c>
      <c r="F934" s="8">
        <f>IFERROR(MID(A934,FIND("10",A934,FIND("15",A934,FIND("01",A934)+16)+8)+2,50),"")</f>
        <v/>
      </c>
      <c r="G934" s="8" t="n"/>
    </row>
    <row r="935">
      <c r="A935" s="4" t="n"/>
      <c r="B935" s="5">
        <f>IFERROR(MID(A935,FIND("01",A935)+2,14),"")</f>
        <v/>
      </c>
      <c r="C935" s="4">
        <f>IF(A935="","",IFERROR(VLOOKUP(B935,TblArticles,2,FALSE),"GTIN inconnu"))</f>
        <v/>
      </c>
      <c r="D935" s="5">
        <f>IF(A935="","",IFERROR(VLOOKUP(B935,TblArticles,3,FALSE),""))</f>
        <v/>
      </c>
      <c r="E935" s="6">
        <f>IFERROR(DATE(2000+VALUE(MID(A935,FIND("15",A935,FIND("01",A935)+16)+2,2)),VALUE(MID(A935,FIND("15",A935,FIND("01",A935)+16)+4,2)),VALUE(MID(A935,FIND("15",A935,FIND("01",A935)+16)+6,2))),"")</f>
        <v/>
      </c>
      <c r="F935" s="5">
        <f>IFERROR(MID(A935,FIND("10",A935,FIND("15",A935,FIND("01",A935)+16)+8)+2,50),"")</f>
        <v/>
      </c>
      <c r="G935" s="5" t="n"/>
    </row>
    <row r="936">
      <c r="A936" s="7" t="n"/>
      <c r="B936" s="8">
        <f>IFERROR(MID(A936,FIND("01",A936)+2,14),"")</f>
        <v/>
      </c>
      <c r="C936" s="7">
        <f>IF(A936="","",IFERROR(VLOOKUP(B936,TblArticles,2,FALSE),"GTIN inconnu"))</f>
        <v/>
      </c>
      <c r="D936" s="8">
        <f>IF(A936="","",IFERROR(VLOOKUP(B936,TblArticles,3,FALSE),""))</f>
        <v/>
      </c>
      <c r="E936" s="9">
        <f>IFERROR(DATE(2000+VALUE(MID(A936,FIND("15",A936,FIND("01",A936)+16)+2,2)),VALUE(MID(A936,FIND("15",A936,FIND("01",A936)+16)+4,2)),VALUE(MID(A936,FIND("15",A936,FIND("01",A936)+16)+6,2))),"")</f>
        <v/>
      </c>
      <c r="F936" s="8">
        <f>IFERROR(MID(A936,FIND("10",A936,FIND("15",A936,FIND("01",A936)+16)+8)+2,50),"")</f>
        <v/>
      </c>
      <c r="G936" s="8" t="n"/>
    </row>
    <row r="937">
      <c r="A937" s="4" t="n"/>
      <c r="B937" s="5">
        <f>IFERROR(MID(A937,FIND("01",A937)+2,14),"")</f>
        <v/>
      </c>
      <c r="C937" s="4">
        <f>IF(A937="","",IFERROR(VLOOKUP(B937,TblArticles,2,FALSE),"GTIN inconnu"))</f>
        <v/>
      </c>
      <c r="D937" s="5">
        <f>IF(A937="","",IFERROR(VLOOKUP(B937,TblArticles,3,FALSE),""))</f>
        <v/>
      </c>
      <c r="E937" s="6">
        <f>IFERROR(DATE(2000+VALUE(MID(A937,FIND("15",A937,FIND("01",A937)+16)+2,2)),VALUE(MID(A937,FIND("15",A937,FIND("01",A937)+16)+4,2)),VALUE(MID(A937,FIND("15",A937,FIND("01",A937)+16)+6,2))),"")</f>
        <v/>
      </c>
      <c r="F937" s="5">
        <f>IFERROR(MID(A937,FIND("10",A937,FIND("15",A937,FIND("01",A937)+16)+8)+2,50),"")</f>
        <v/>
      </c>
      <c r="G937" s="5" t="n"/>
    </row>
    <row r="938">
      <c r="A938" s="7" t="n"/>
      <c r="B938" s="8">
        <f>IFERROR(MID(A938,FIND("01",A938)+2,14),"")</f>
        <v/>
      </c>
      <c r="C938" s="7">
        <f>IF(A938="","",IFERROR(VLOOKUP(B938,TblArticles,2,FALSE),"GTIN inconnu"))</f>
        <v/>
      </c>
      <c r="D938" s="8">
        <f>IF(A938="","",IFERROR(VLOOKUP(B938,TblArticles,3,FALSE),""))</f>
        <v/>
      </c>
      <c r="E938" s="9">
        <f>IFERROR(DATE(2000+VALUE(MID(A938,FIND("15",A938,FIND("01",A938)+16)+2,2)),VALUE(MID(A938,FIND("15",A938,FIND("01",A938)+16)+4,2)),VALUE(MID(A938,FIND("15",A938,FIND("01",A938)+16)+6,2))),"")</f>
        <v/>
      </c>
      <c r="F938" s="8">
        <f>IFERROR(MID(A938,FIND("10",A938,FIND("15",A938,FIND("01",A938)+16)+8)+2,50),"")</f>
        <v/>
      </c>
      <c r="G938" s="8" t="n"/>
    </row>
    <row r="939">
      <c r="A939" s="4" t="n"/>
      <c r="B939" s="5">
        <f>IFERROR(MID(A939,FIND("01",A939)+2,14),"")</f>
        <v/>
      </c>
      <c r="C939" s="4">
        <f>IF(A939="","",IFERROR(VLOOKUP(B939,TblArticles,2,FALSE),"GTIN inconnu"))</f>
        <v/>
      </c>
      <c r="D939" s="5">
        <f>IF(A939="","",IFERROR(VLOOKUP(B939,TblArticles,3,FALSE),""))</f>
        <v/>
      </c>
      <c r="E939" s="6">
        <f>IFERROR(DATE(2000+VALUE(MID(A939,FIND("15",A939,FIND("01",A939)+16)+2,2)),VALUE(MID(A939,FIND("15",A939,FIND("01",A939)+16)+4,2)),VALUE(MID(A939,FIND("15",A939,FIND("01",A939)+16)+6,2))),"")</f>
        <v/>
      </c>
      <c r="F939" s="5">
        <f>IFERROR(MID(A939,FIND("10",A939,FIND("15",A939,FIND("01",A939)+16)+8)+2,50),"")</f>
        <v/>
      </c>
      <c r="G939" s="5" t="n"/>
    </row>
    <row r="940">
      <c r="A940" s="7" t="n"/>
      <c r="B940" s="8">
        <f>IFERROR(MID(A940,FIND("01",A940)+2,14),"")</f>
        <v/>
      </c>
      <c r="C940" s="7">
        <f>IF(A940="","",IFERROR(VLOOKUP(B940,TblArticles,2,FALSE),"GTIN inconnu"))</f>
        <v/>
      </c>
      <c r="D940" s="8">
        <f>IF(A940="","",IFERROR(VLOOKUP(B940,TblArticles,3,FALSE),""))</f>
        <v/>
      </c>
      <c r="E940" s="9">
        <f>IFERROR(DATE(2000+VALUE(MID(A940,FIND("15",A940,FIND("01",A940)+16)+2,2)),VALUE(MID(A940,FIND("15",A940,FIND("01",A940)+16)+4,2)),VALUE(MID(A940,FIND("15",A940,FIND("01",A940)+16)+6,2))),"")</f>
        <v/>
      </c>
      <c r="F940" s="8">
        <f>IFERROR(MID(A940,FIND("10",A940,FIND("15",A940,FIND("01",A940)+16)+8)+2,50),"")</f>
        <v/>
      </c>
      <c r="G940" s="8" t="n"/>
    </row>
    <row r="941">
      <c r="A941" s="4" t="n"/>
      <c r="B941" s="5">
        <f>IFERROR(MID(A941,FIND("01",A941)+2,14),"")</f>
        <v/>
      </c>
      <c r="C941" s="4">
        <f>IF(A941="","",IFERROR(VLOOKUP(B941,TblArticles,2,FALSE),"GTIN inconnu"))</f>
        <v/>
      </c>
      <c r="D941" s="5">
        <f>IF(A941="","",IFERROR(VLOOKUP(B941,TblArticles,3,FALSE),""))</f>
        <v/>
      </c>
      <c r="E941" s="6">
        <f>IFERROR(DATE(2000+VALUE(MID(A941,FIND("15",A941,FIND("01",A941)+16)+2,2)),VALUE(MID(A941,FIND("15",A941,FIND("01",A941)+16)+4,2)),VALUE(MID(A941,FIND("15",A941,FIND("01",A941)+16)+6,2))),"")</f>
        <v/>
      </c>
      <c r="F941" s="5">
        <f>IFERROR(MID(A941,FIND("10",A941,FIND("15",A941,FIND("01",A941)+16)+8)+2,50),"")</f>
        <v/>
      </c>
      <c r="G941" s="5" t="n"/>
    </row>
    <row r="942">
      <c r="A942" s="7" t="n"/>
      <c r="B942" s="8">
        <f>IFERROR(MID(A942,FIND("01",A942)+2,14),"")</f>
        <v/>
      </c>
      <c r="C942" s="7">
        <f>IF(A942="","",IFERROR(VLOOKUP(B942,TblArticles,2,FALSE),"GTIN inconnu"))</f>
        <v/>
      </c>
      <c r="D942" s="8">
        <f>IF(A942="","",IFERROR(VLOOKUP(B942,TblArticles,3,FALSE),""))</f>
        <v/>
      </c>
      <c r="E942" s="9">
        <f>IFERROR(DATE(2000+VALUE(MID(A942,FIND("15",A942,FIND("01",A942)+16)+2,2)),VALUE(MID(A942,FIND("15",A942,FIND("01",A942)+16)+4,2)),VALUE(MID(A942,FIND("15",A942,FIND("01",A942)+16)+6,2))),"")</f>
        <v/>
      </c>
      <c r="F942" s="8">
        <f>IFERROR(MID(A942,FIND("10",A942,FIND("15",A942,FIND("01",A942)+16)+8)+2,50),"")</f>
        <v/>
      </c>
      <c r="G942" s="8" t="n"/>
    </row>
    <row r="943">
      <c r="A943" s="4" t="n"/>
      <c r="B943" s="5">
        <f>IFERROR(MID(A943,FIND("01",A943)+2,14),"")</f>
        <v/>
      </c>
      <c r="C943" s="4">
        <f>IF(A943="","",IFERROR(VLOOKUP(B943,TblArticles,2,FALSE),"GTIN inconnu"))</f>
        <v/>
      </c>
      <c r="D943" s="5">
        <f>IF(A943="","",IFERROR(VLOOKUP(B943,TblArticles,3,FALSE),""))</f>
        <v/>
      </c>
      <c r="E943" s="6">
        <f>IFERROR(DATE(2000+VALUE(MID(A943,FIND("15",A943,FIND("01",A943)+16)+2,2)),VALUE(MID(A943,FIND("15",A943,FIND("01",A943)+16)+4,2)),VALUE(MID(A943,FIND("15",A943,FIND("01",A943)+16)+6,2))),"")</f>
        <v/>
      </c>
      <c r="F943" s="5">
        <f>IFERROR(MID(A943,FIND("10",A943,FIND("15",A943,FIND("01",A943)+16)+8)+2,50),"")</f>
        <v/>
      </c>
      <c r="G943" s="5" t="n"/>
    </row>
    <row r="944">
      <c r="A944" s="7" t="n"/>
      <c r="B944" s="8">
        <f>IFERROR(MID(A944,FIND("01",A944)+2,14),"")</f>
        <v/>
      </c>
      <c r="C944" s="7">
        <f>IF(A944="","",IFERROR(VLOOKUP(B944,TblArticles,2,FALSE),"GTIN inconnu"))</f>
        <v/>
      </c>
      <c r="D944" s="8">
        <f>IF(A944="","",IFERROR(VLOOKUP(B944,TblArticles,3,FALSE),""))</f>
        <v/>
      </c>
      <c r="E944" s="9">
        <f>IFERROR(DATE(2000+VALUE(MID(A944,FIND("15",A944,FIND("01",A944)+16)+2,2)),VALUE(MID(A944,FIND("15",A944,FIND("01",A944)+16)+4,2)),VALUE(MID(A944,FIND("15",A944,FIND("01",A944)+16)+6,2))),"")</f>
        <v/>
      </c>
      <c r="F944" s="8">
        <f>IFERROR(MID(A944,FIND("10",A944,FIND("15",A944,FIND("01",A944)+16)+8)+2,50),"")</f>
        <v/>
      </c>
      <c r="G944" s="8" t="n"/>
    </row>
    <row r="945">
      <c r="A945" s="4" t="n"/>
      <c r="B945" s="5">
        <f>IFERROR(MID(A945,FIND("01",A945)+2,14),"")</f>
        <v/>
      </c>
      <c r="C945" s="4">
        <f>IF(A945="","",IFERROR(VLOOKUP(B945,TblArticles,2,FALSE),"GTIN inconnu"))</f>
        <v/>
      </c>
      <c r="D945" s="5">
        <f>IF(A945="","",IFERROR(VLOOKUP(B945,TblArticles,3,FALSE),""))</f>
        <v/>
      </c>
      <c r="E945" s="6">
        <f>IFERROR(DATE(2000+VALUE(MID(A945,FIND("15",A945,FIND("01",A945)+16)+2,2)),VALUE(MID(A945,FIND("15",A945,FIND("01",A945)+16)+4,2)),VALUE(MID(A945,FIND("15",A945,FIND("01",A945)+16)+6,2))),"")</f>
        <v/>
      </c>
      <c r="F945" s="5">
        <f>IFERROR(MID(A945,FIND("10",A945,FIND("15",A945,FIND("01",A945)+16)+8)+2,50),"")</f>
        <v/>
      </c>
      <c r="G945" s="5" t="n"/>
    </row>
    <row r="946">
      <c r="A946" s="7" t="n"/>
      <c r="B946" s="8">
        <f>IFERROR(MID(A946,FIND("01",A946)+2,14),"")</f>
        <v/>
      </c>
      <c r="C946" s="7">
        <f>IF(A946="","",IFERROR(VLOOKUP(B946,TblArticles,2,FALSE),"GTIN inconnu"))</f>
        <v/>
      </c>
      <c r="D946" s="8">
        <f>IF(A946="","",IFERROR(VLOOKUP(B946,TblArticles,3,FALSE),""))</f>
        <v/>
      </c>
      <c r="E946" s="9">
        <f>IFERROR(DATE(2000+VALUE(MID(A946,FIND("15",A946,FIND("01",A946)+16)+2,2)),VALUE(MID(A946,FIND("15",A946,FIND("01",A946)+16)+4,2)),VALUE(MID(A946,FIND("15",A946,FIND("01",A946)+16)+6,2))),"")</f>
        <v/>
      </c>
      <c r="F946" s="8">
        <f>IFERROR(MID(A946,FIND("10",A946,FIND("15",A946,FIND("01",A946)+16)+8)+2,50),"")</f>
        <v/>
      </c>
      <c r="G946" s="8" t="n"/>
    </row>
    <row r="947">
      <c r="A947" s="4" t="n"/>
      <c r="B947" s="5">
        <f>IFERROR(MID(A947,FIND("01",A947)+2,14),"")</f>
        <v/>
      </c>
      <c r="C947" s="4">
        <f>IF(A947="","",IFERROR(VLOOKUP(B947,TblArticles,2,FALSE),"GTIN inconnu"))</f>
        <v/>
      </c>
      <c r="D947" s="5">
        <f>IF(A947="","",IFERROR(VLOOKUP(B947,TblArticles,3,FALSE),""))</f>
        <v/>
      </c>
      <c r="E947" s="6">
        <f>IFERROR(DATE(2000+VALUE(MID(A947,FIND("15",A947,FIND("01",A947)+16)+2,2)),VALUE(MID(A947,FIND("15",A947,FIND("01",A947)+16)+4,2)),VALUE(MID(A947,FIND("15",A947,FIND("01",A947)+16)+6,2))),"")</f>
        <v/>
      </c>
      <c r="F947" s="5">
        <f>IFERROR(MID(A947,FIND("10",A947,FIND("15",A947,FIND("01",A947)+16)+8)+2,50),"")</f>
        <v/>
      </c>
      <c r="G947" s="5" t="n"/>
    </row>
    <row r="948">
      <c r="A948" s="7" t="n"/>
      <c r="B948" s="8">
        <f>IFERROR(MID(A948,FIND("01",A948)+2,14),"")</f>
        <v/>
      </c>
      <c r="C948" s="7">
        <f>IF(A948="","",IFERROR(VLOOKUP(B948,TblArticles,2,FALSE),"GTIN inconnu"))</f>
        <v/>
      </c>
      <c r="D948" s="8">
        <f>IF(A948="","",IFERROR(VLOOKUP(B948,TblArticles,3,FALSE),""))</f>
        <v/>
      </c>
      <c r="E948" s="9">
        <f>IFERROR(DATE(2000+VALUE(MID(A948,FIND("15",A948,FIND("01",A948)+16)+2,2)),VALUE(MID(A948,FIND("15",A948,FIND("01",A948)+16)+4,2)),VALUE(MID(A948,FIND("15",A948,FIND("01",A948)+16)+6,2))),"")</f>
        <v/>
      </c>
      <c r="F948" s="8">
        <f>IFERROR(MID(A948,FIND("10",A948,FIND("15",A948,FIND("01",A948)+16)+8)+2,50),"")</f>
        <v/>
      </c>
      <c r="G948" s="8" t="n"/>
    </row>
    <row r="949">
      <c r="A949" s="4" t="n"/>
      <c r="B949" s="5">
        <f>IFERROR(MID(A949,FIND("01",A949)+2,14),"")</f>
        <v/>
      </c>
      <c r="C949" s="4">
        <f>IF(A949="","",IFERROR(VLOOKUP(B949,TblArticles,2,FALSE),"GTIN inconnu"))</f>
        <v/>
      </c>
      <c r="D949" s="5">
        <f>IF(A949="","",IFERROR(VLOOKUP(B949,TblArticles,3,FALSE),""))</f>
        <v/>
      </c>
      <c r="E949" s="6">
        <f>IFERROR(DATE(2000+VALUE(MID(A949,FIND("15",A949,FIND("01",A949)+16)+2,2)),VALUE(MID(A949,FIND("15",A949,FIND("01",A949)+16)+4,2)),VALUE(MID(A949,FIND("15",A949,FIND("01",A949)+16)+6,2))),"")</f>
        <v/>
      </c>
      <c r="F949" s="5">
        <f>IFERROR(MID(A949,FIND("10",A949,FIND("15",A949,FIND("01",A949)+16)+8)+2,50),"")</f>
        <v/>
      </c>
      <c r="G949" s="5" t="n"/>
    </row>
    <row r="950">
      <c r="A950" s="7" t="n"/>
      <c r="B950" s="8">
        <f>IFERROR(MID(A950,FIND("01",A950)+2,14),"")</f>
        <v/>
      </c>
      <c r="C950" s="7">
        <f>IF(A950="","",IFERROR(VLOOKUP(B950,TblArticles,2,FALSE),"GTIN inconnu"))</f>
        <v/>
      </c>
      <c r="D950" s="8">
        <f>IF(A950="","",IFERROR(VLOOKUP(B950,TblArticles,3,FALSE),""))</f>
        <v/>
      </c>
      <c r="E950" s="9">
        <f>IFERROR(DATE(2000+VALUE(MID(A950,FIND("15",A950,FIND("01",A950)+16)+2,2)),VALUE(MID(A950,FIND("15",A950,FIND("01",A950)+16)+4,2)),VALUE(MID(A950,FIND("15",A950,FIND("01",A950)+16)+6,2))),"")</f>
        <v/>
      </c>
      <c r="F950" s="8">
        <f>IFERROR(MID(A950,FIND("10",A950,FIND("15",A950,FIND("01",A950)+16)+8)+2,50),"")</f>
        <v/>
      </c>
      <c r="G950" s="8" t="n"/>
    </row>
    <row r="951">
      <c r="A951" s="4" t="n"/>
      <c r="B951" s="5">
        <f>IFERROR(MID(A951,FIND("01",A951)+2,14),"")</f>
        <v/>
      </c>
      <c r="C951" s="4">
        <f>IF(A951="","",IFERROR(VLOOKUP(B951,TblArticles,2,FALSE),"GTIN inconnu"))</f>
        <v/>
      </c>
      <c r="D951" s="5">
        <f>IF(A951="","",IFERROR(VLOOKUP(B951,TblArticles,3,FALSE),""))</f>
        <v/>
      </c>
      <c r="E951" s="6">
        <f>IFERROR(DATE(2000+VALUE(MID(A951,FIND("15",A951,FIND("01",A951)+16)+2,2)),VALUE(MID(A951,FIND("15",A951,FIND("01",A951)+16)+4,2)),VALUE(MID(A951,FIND("15",A951,FIND("01",A951)+16)+6,2))),"")</f>
        <v/>
      </c>
      <c r="F951" s="5">
        <f>IFERROR(MID(A951,FIND("10",A951,FIND("15",A951,FIND("01",A951)+16)+8)+2,50),"")</f>
        <v/>
      </c>
      <c r="G951" s="5" t="n"/>
    </row>
    <row r="952">
      <c r="A952" s="7" t="n"/>
      <c r="B952" s="8">
        <f>IFERROR(MID(A952,FIND("01",A952)+2,14),"")</f>
        <v/>
      </c>
      <c r="C952" s="7">
        <f>IF(A952="","",IFERROR(VLOOKUP(B952,TblArticles,2,FALSE),"GTIN inconnu"))</f>
        <v/>
      </c>
      <c r="D952" s="8">
        <f>IF(A952="","",IFERROR(VLOOKUP(B952,TblArticles,3,FALSE),""))</f>
        <v/>
      </c>
      <c r="E952" s="9">
        <f>IFERROR(DATE(2000+VALUE(MID(A952,FIND("15",A952,FIND("01",A952)+16)+2,2)),VALUE(MID(A952,FIND("15",A952,FIND("01",A952)+16)+4,2)),VALUE(MID(A952,FIND("15",A952,FIND("01",A952)+16)+6,2))),"")</f>
        <v/>
      </c>
      <c r="F952" s="8">
        <f>IFERROR(MID(A952,FIND("10",A952,FIND("15",A952,FIND("01",A952)+16)+8)+2,50),"")</f>
        <v/>
      </c>
      <c r="G952" s="8" t="n"/>
    </row>
    <row r="953">
      <c r="A953" s="4" t="n"/>
      <c r="B953" s="5">
        <f>IFERROR(MID(A953,FIND("01",A953)+2,14),"")</f>
        <v/>
      </c>
      <c r="C953" s="4">
        <f>IF(A953="","",IFERROR(VLOOKUP(B953,TblArticles,2,FALSE),"GTIN inconnu"))</f>
        <v/>
      </c>
      <c r="D953" s="5">
        <f>IF(A953="","",IFERROR(VLOOKUP(B953,TblArticles,3,FALSE),""))</f>
        <v/>
      </c>
      <c r="E953" s="6">
        <f>IFERROR(DATE(2000+VALUE(MID(A953,FIND("15",A953,FIND("01",A953)+16)+2,2)),VALUE(MID(A953,FIND("15",A953,FIND("01",A953)+16)+4,2)),VALUE(MID(A953,FIND("15",A953,FIND("01",A953)+16)+6,2))),"")</f>
        <v/>
      </c>
      <c r="F953" s="5">
        <f>IFERROR(MID(A953,FIND("10",A953,FIND("15",A953,FIND("01",A953)+16)+8)+2,50),"")</f>
        <v/>
      </c>
      <c r="G953" s="5" t="n"/>
    </row>
    <row r="954">
      <c r="A954" s="7" t="n"/>
      <c r="B954" s="8">
        <f>IFERROR(MID(A954,FIND("01",A954)+2,14),"")</f>
        <v/>
      </c>
      <c r="C954" s="7">
        <f>IF(A954="","",IFERROR(VLOOKUP(B954,TblArticles,2,FALSE),"GTIN inconnu"))</f>
        <v/>
      </c>
      <c r="D954" s="8">
        <f>IF(A954="","",IFERROR(VLOOKUP(B954,TblArticles,3,FALSE),""))</f>
        <v/>
      </c>
      <c r="E954" s="9">
        <f>IFERROR(DATE(2000+VALUE(MID(A954,FIND("15",A954,FIND("01",A954)+16)+2,2)),VALUE(MID(A954,FIND("15",A954,FIND("01",A954)+16)+4,2)),VALUE(MID(A954,FIND("15",A954,FIND("01",A954)+16)+6,2))),"")</f>
        <v/>
      </c>
      <c r="F954" s="8">
        <f>IFERROR(MID(A954,FIND("10",A954,FIND("15",A954,FIND("01",A954)+16)+8)+2,50),"")</f>
        <v/>
      </c>
      <c r="G954" s="8" t="n"/>
    </row>
    <row r="955">
      <c r="A955" s="4" t="n"/>
      <c r="B955" s="5">
        <f>IFERROR(MID(A955,FIND("01",A955)+2,14),"")</f>
        <v/>
      </c>
      <c r="C955" s="4">
        <f>IF(A955="","",IFERROR(VLOOKUP(B955,TblArticles,2,FALSE),"GTIN inconnu"))</f>
        <v/>
      </c>
      <c r="D955" s="5">
        <f>IF(A955="","",IFERROR(VLOOKUP(B955,TblArticles,3,FALSE),""))</f>
        <v/>
      </c>
      <c r="E955" s="6">
        <f>IFERROR(DATE(2000+VALUE(MID(A955,FIND("15",A955,FIND("01",A955)+16)+2,2)),VALUE(MID(A955,FIND("15",A955,FIND("01",A955)+16)+4,2)),VALUE(MID(A955,FIND("15",A955,FIND("01",A955)+16)+6,2))),"")</f>
        <v/>
      </c>
      <c r="F955" s="5">
        <f>IFERROR(MID(A955,FIND("10",A955,FIND("15",A955,FIND("01",A955)+16)+8)+2,50),"")</f>
        <v/>
      </c>
      <c r="G955" s="5" t="n"/>
    </row>
    <row r="956">
      <c r="A956" s="7" t="n"/>
      <c r="B956" s="8">
        <f>IFERROR(MID(A956,FIND("01",A956)+2,14),"")</f>
        <v/>
      </c>
      <c r="C956" s="7">
        <f>IF(A956="","",IFERROR(VLOOKUP(B956,TblArticles,2,FALSE),"GTIN inconnu"))</f>
        <v/>
      </c>
      <c r="D956" s="8">
        <f>IF(A956="","",IFERROR(VLOOKUP(B956,TblArticles,3,FALSE),""))</f>
        <v/>
      </c>
      <c r="E956" s="9">
        <f>IFERROR(DATE(2000+VALUE(MID(A956,FIND("15",A956,FIND("01",A956)+16)+2,2)),VALUE(MID(A956,FIND("15",A956,FIND("01",A956)+16)+4,2)),VALUE(MID(A956,FIND("15",A956,FIND("01",A956)+16)+6,2))),"")</f>
        <v/>
      </c>
      <c r="F956" s="8">
        <f>IFERROR(MID(A956,FIND("10",A956,FIND("15",A956,FIND("01",A956)+16)+8)+2,50),"")</f>
        <v/>
      </c>
      <c r="G956" s="8" t="n"/>
    </row>
    <row r="957">
      <c r="A957" s="4" t="n"/>
      <c r="B957" s="5">
        <f>IFERROR(MID(A957,FIND("01",A957)+2,14),"")</f>
        <v/>
      </c>
      <c r="C957" s="4">
        <f>IF(A957="","",IFERROR(VLOOKUP(B957,TblArticles,2,FALSE),"GTIN inconnu"))</f>
        <v/>
      </c>
      <c r="D957" s="5">
        <f>IF(A957="","",IFERROR(VLOOKUP(B957,TblArticles,3,FALSE),""))</f>
        <v/>
      </c>
      <c r="E957" s="6">
        <f>IFERROR(DATE(2000+VALUE(MID(A957,FIND("15",A957,FIND("01",A957)+16)+2,2)),VALUE(MID(A957,FIND("15",A957,FIND("01",A957)+16)+4,2)),VALUE(MID(A957,FIND("15",A957,FIND("01",A957)+16)+6,2))),"")</f>
        <v/>
      </c>
      <c r="F957" s="5">
        <f>IFERROR(MID(A957,FIND("10",A957,FIND("15",A957,FIND("01",A957)+16)+8)+2,50),"")</f>
        <v/>
      </c>
      <c r="G957" s="5" t="n"/>
    </row>
    <row r="958">
      <c r="A958" s="7" t="n"/>
      <c r="B958" s="8">
        <f>IFERROR(MID(A958,FIND("01",A958)+2,14),"")</f>
        <v/>
      </c>
      <c r="C958" s="7">
        <f>IF(A958="","",IFERROR(VLOOKUP(B958,TblArticles,2,FALSE),"GTIN inconnu"))</f>
        <v/>
      </c>
      <c r="D958" s="8">
        <f>IF(A958="","",IFERROR(VLOOKUP(B958,TblArticles,3,FALSE),""))</f>
        <v/>
      </c>
      <c r="E958" s="9">
        <f>IFERROR(DATE(2000+VALUE(MID(A958,FIND("15",A958,FIND("01",A958)+16)+2,2)),VALUE(MID(A958,FIND("15",A958,FIND("01",A958)+16)+4,2)),VALUE(MID(A958,FIND("15",A958,FIND("01",A958)+16)+6,2))),"")</f>
        <v/>
      </c>
      <c r="F958" s="8">
        <f>IFERROR(MID(A958,FIND("10",A958,FIND("15",A958,FIND("01",A958)+16)+8)+2,50),"")</f>
        <v/>
      </c>
      <c r="G958" s="8" t="n"/>
    </row>
    <row r="959">
      <c r="A959" s="4" t="n"/>
      <c r="B959" s="5">
        <f>IFERROR(MID(A959,FIND("01",A959)+2,14),"")</f>
        <v/>
      </c>
      <c r="C959" s="4">
        <f>IF(A959="","",IFERROR(VLOOKUP(B959,TblArticles,2,FALSE),"GTIN inconnu"))</f>
        <v/>
      </c>
      <c r="D959" s="5">
        <f>IF(A959="","",IFERROR(VLOOKUP(B959,TblArticles,3,FALSE),""))</f>
        <v/>
      </c>
      <c r="E959" s="6">
        <f>IFERROR(DATE(2000+VALUE(MID(A959,FIND("15",A959,FIND("01",A959)+16)+2,2)),VALUE(MID(A959,FIND("15",A959,FIND("01",A959)+16)+4,2)),VALUE(MID(A959,FIND("15",A959,FIND("01",A959)+16)+6,2))),"")</f>
        <v/>
      </c>
      <c r="F959" s="5">
        <f>IFERROR(MID(A959,FIND("10",A959,FIND("15",A959,FIND("01",A959)+16)+8)+2,50),"")</f>
        <v/>
      </c>
      <c r="G959" s="5" t="n"/>
    </row>
    <row r="960">
      <c r="A960" s="7" t="n"/>
      <c r="B960" s="8">
        <f>IFERROR(MID(A960,FIND("01",A960)+2,14),"")</f>
        <v/>
      </c>
      <c r="C960" s="7">
        <f>IF(A960="","",IFERROR(VLOOKUP(B960,TblArticles,2,FALSE),"GTIN inconnu"))</f>
        <v/>
      </c>
      <c r="D960" s="8">
        <f>IF(A960="","",IFERROR(VLOOKUP(B960,TblArticles,3,FALSE),""))</f>
        <v/>
      </c>
      <c r="E960" s="9">
        <f>IFERROR(DATE(2000+VALUE(MID(A960,FIND("15",A960,FIND("01",A960)+16)+2,2)),VALUE(MID(A960,FIND("15",A960,FIND("01",A960)+16)+4,2)),VALUE(MID(A960,FIND("15",A960,FIND("01",A960)+16)+6,2))),"")</f>
        <v/>
      </c>
      <c r="F960" s="8">
        <f>IFERROR(MID(A960,FIND("10",A960,FIND("15",A960,FIND("01",A960)+16)+8)+2,50),"")</f>
        <v/>
      </c>
      <c r="G960" s="8" t="n"/>
    </row>
    <row r="961">
      <c r="A961" s="4" t="n"/>
      <c r="B961" s="5">
        <f>IFERROR(MID(A961,FIND("01",A961)+2,14),"")</f>
        <v/>
      </c>
      <c r="C961" s="4">
        <f>IF(A961="","",IFERROR(VLOOKUP(B961,TblArticles,2,FALSE),"GTIN inconnu"))</f>
        <v/>
      </c>
      <c r="D961" s="5">
        <f>IF(A961="","",IFERROR(VLOOKUP(B961,TblArticles,3,FALSE),""))</f>
        <v/>
      </c>
      <c r="E961" s="6">
        <f>IFERROR(DATE(2000+VALUE(MID(A961,FIND("15",A961,FIND("01",A961)+16)+2,2)),VALUE(MID(A961,FIND("15",A961,FIND("01",A961)+16)+4,2)),VALUE(MID(A961,FIND("15",A961,FIND("01",A961)+16)+6,2))),"")</f>
        <v/>
      </c>
      <c r="F961" s="5">
        <f>IFERROR(MID(A961,FIND("10",A961,FIND("15",A961,FIND("01",A961)+16)+8)+2,50),"")</f>
        <v/>
      </c>
      <c r="G961" s="5" t="n"/>
    </row>
    <row r="962">
      <c r="A962" s="7" t="n"/>
      <c r="B962" s="8">
        <f>IFERROR(MID(A962,FIND("01",A962)+2,14),"")</f>
        <v/>
      </c>
      <c r="C962" s="7">
        <f>IF(A962="","",IFERROR(VLOOKUP(B962,TblArticles,2,FALSE),"GTIN inconnu"))</f>
        <v/>
      </c>
      <c r="D962" s="8">
        <f>IF(A962="","",IFERROR(VLOOKUP(B962,TblArticles,3,FALSE),""))</f>
        <v/>
      </c>
      <c r="E962" s="9">
        <f>IFERROR(DATE(2000+VALUE(MID(A962,FIND("15",A962,FIND("01",A962)+16)+2,2)),VALUE(MID(A962,FIND("15",A962,FIND("01",A962)+16)+4,2)),VALUE(MID(A962,FIND("15",A962,FIND("01",A962)+16)+6,2))),"")</f>
        <v/>
      </c>
      <c r="F962" s="8">
        <f>IFERROR(MID(A962,FIND("10",A962,FIND("15",A962,FIND("01",A962)+16)+8)+2,50),"")</f>
        <v/>
      </c>
      <c r="G962" s="8" t="n"/>
    </row>
    <row r="963">
      <c r="A963" s="4" t="n"/>
      <c r="B963" s="5">
        <f>IFERROR(MID(A963,FIND("01",A963)+2,14),"")</f>
        <v/>
      </c>
      <c r="C963" s="4">
        <f>IF(A963="","",IFERROR(VLOOKUP(B963,TblArticles,2,FALSE),"GTIN inconnu"))</f>
        <v/>
      </c>
      <c r="D963" s="5">
        <f>IF(A963="","",IFERROR(VLOOKUP(B963,TblArticles,3,FALSE),""))</f>
        <v/>
      </c>
      <c r="E963" s="6">
        <f>IFERROR(DATE(2000+VALUE(MID(A963,FIND("15",A963,FIND("01",A963)+16)+2,2)),VALUE(MID(A963,FIND("15",A963,FIND("01",A963)+16)+4,2)),VALUE(MID(A963,FIND("15",A963,FIND("01",A963)+16)+6,2))),"")</f>
        <v/>
      </c>
      <c r="F963" s="5">
        <f>IFERROR(MID(A963,FIND("10",A963,FIND("15",A963,FIND("01",A963)+16)+8)+2,50),"")</f>
        <v/>
      </c>
      <c r="G963" s="5" t="n"/>
    </row>
    <row r="964">
      <c r="A964" s="7" t="n"/>
      <c r="B964" s="8">
        <f>IFERROR(MID(A964,FIND("01",A964)+2,14),"")</f>
        <v/>
      </c>
      <c r="C964" s="7">
        <f>IF(A964="","",IFERROR(VLOOKUP(B964,TblArticles,2,FALSE),"GTIN inconnu"))</f>
        <v/>
      </c>
      <c r="D964" s="8">
        <f>IF(A964="","",IFERROR(VLOOKUP(B964,TblArticles,3,FALSE),""))</f>
        <v/>
      </c>
      <c r="E964" s="9">
        <f>IFERROR(DATE(2000+VALUE(MID(A964,FIND("15",A964,FIND("01",A964)+16)+2,2)),VALUE(MID(A964,FIND("15",A964,FIND("01",A964)+16)+4,2)),VALUE(MID(A964,FIND("15",A964,FIND("01",A964)+16)+6,2))),"")</f>
        <v/>
      </c>
      <c r="F964" s="8">
        <f>IFERROR(MID(A964,FIND("10",A964,FIND("15",A964,FIND("01",A964)+16)+8)+2,50),"")</f>
        <v/>
      </c>
      <c r="G964" s="8" t="n"/>
    </row>
    <row r="965">
      <c r="A965" s="4" t="n"/>
      <c r="B965" s="5">
        <f>IFERROR(MID(A965,FIND("01",A965)+2,14),"")</f>
        <v/>
      </c>
      <c r="C965" s="4">
        <f>IF(A965="","",IFERROR(VLOOKUP(B965,TblArticles,2,FALSE),"GTIN inconnu"))</f>
        <v/>
      </c>
      <c r="D965" s="5">
        <f>IF(A965="","",IFERROR(VLOOKUP(B965,TblArticles,3,FALSE),""))</f>
        <v/>
      </c>
      <c r="E965" s="6">
        <f>IFERROR(DATE(2000+VALUE(MID(A965,FIND("15",A965,FIND("01",A965)+16)+2,2)),VALUE(MID(A965,FIND("15",A965,FIND("01",A965)+16)+4,2)),VALUE(MID(A965,FIND("15",A965,FIND("01",A965)+16)+6,2))),"")</f>
        <v/>
      </c>
      <c r="F965" s="5">
        <f>IFERROR(MID(A965,FIND("10",A965,FIND("15",A965,FIND("01",A965)+16)+8)+2,50),"")</f>
        <v/>
      </c>
      <c r="G965" s="5" t="n"/>
    </row>
    <row r="966">
      <c r="A966" s="7" t="n"/>
      <c r="B966" s="8">
        <f>IFERROR(MID(A966,FIND("01",A966)+2,14),"")</f>
        <v/>
      </c>
      <c r="C966" s="7">
        <f>IF(A966="","",IFERROR(VLOOKUP(B966,TblArticles,2,FALSE),"GTIN inconnu"))</f>
        <v/>
      </c>
      <c r="D966" s="8">
        <f>IF(A966="","",IFERROR(VLOOKUP(B966,TblArticles,3,FALSE),""))</f>
        <v/>
      </c>
      <c r="E966" s="9">
        <f>IFERROR(DATE(2000+VALUE(MID(A966,FIND("15",A966,FIND("01",A966)+16)+2,2)),VALUE(MID(A966,FIND("15",A966,FIND("01",A966)+16)+4,2)),VALUE(MID(A966,FIND("15",A966,FIND("01",A966)+16)+6,2))),"")</f>
        <v/>
      </c>
      <c r="F966" s="8">
        <f>IFERROR(MID(A966,FIND("10",A966,FIND("15",A966,FIND("01",A966)+16)+8)+2,50),"")</f>
        <v/>
      </c>
      <c r="G966" s="8" t="n"/>
    </row>
    <row r="967">
      <c r="A967" s="4" t="n"/>
      <c r="B967" s="5">
        <f>IFERROR(MID(A967,FIND("01",A967)+2,14),"")</f>
        <v/>
      </c>
      <c r="C967" s="4">
        <f>IF(A967="","",IFERROR(VLOOKUP(B967,TblArticles,2,FALSE),"GTIN inconnu"))</f>
        <v/>
      </c>
      <c r="D967" s="5">
        <f>IF(A967="","",IFERROR(VLOOKUP(B967,TblArticles,3,FALSE),""))</f>
        <v/>
      </c>
      <c r="E967" s="6">
        <f>IFERROR(DATE(2000+VALUE(MID(A967,FIND("15",A967,FIND("01",A967)+16)+2,2)),VALUE(MID(A967,FIND("15",A967,FIND("01",A967)+16)+4,2)),VALUE(MID(A967,FIND("15",A967,FIND("01",A967)+16)+6,2))),"")</f>
        <v/>
      </c>
      <c r="F967" s="5">
        <f>IFERROR(MID(A967,FIND("10",A967,FIND("15",A967,FIND("01",A967)+16)+8)+2,50),"")</f>
        <v/>
      </c>
      <c r="G967" s="5" t="n"/>
    </row>
    <row r="968">
      <c r="A968" s="7" t="n"/>
      <c r="B968" s="8">
        <f>IFERROR(MID(A968,FIND("01",A968)+2,14),"")</f>
        <v/>
      </c>
      <c r="C968" s="7">
        <f>IF(A968="","",IFERROR(VLOOKUP(B968,TblArticles,2,FALSE),"GTIN inconnu"))</f>
        <v/>
      </c>
      <c r="D968" s="8">
        <f>IF(A968="","",IFERROR(VLOOKUP(B968,TblArticles,3,FALSE),""))</f>
        <v/>
      </c>
      <c r="E968" s="9">
        <f>IFERROR(DATE(2000+VALUE(MID(A968,FIND("15",A968,FIND("01",A968)+16)+2,2)),VALUE(MID(A968,FIND("15",A968,FIND("01",A968)+16)+4,2)),VALUE(MID(A968,FIND("15",A968,FIND("01",A968)+16)+6,2))),"")</f>
        <v/>
      </c>
      <c r="F968" s="8">
        <f>IFERROR(MID(A968,FIND("10",A968,FIND("15",A968,FIND("01",A968)+16)+8)+2,50),"")</f>
        <v/>
      </c>
      <c r="G968" s="8" t="n"/>
    </row>
    <row r="969">
      <c r="A969" s="4" t="n"/>
      <c r="B969" s="5">
        <f>IFERROR(MID(A969,FIND("01",A969)+2,14),"")</f>
        <v/>
      </c>
      <c r="C969" s="4">
        <f>IF(A969="","",IFERROR(VLOOKUP(B969,TblArticles,2,FALSE),"GTIN inconnu"))</f>
        <v/>
      </c>
      <c r="D969" s="5">
        <f>IF(A969="","",IFERROR(VLOOKUP(B969,TblArticles,3,FALSE),""))</f>
        <v/>
      </c>
      <c r="E969" s="6">
        <f>IFERROR(DATE(2000+VALUE(MID(A969,FIND("15",A969,FIND("01",A969)+16)+2,2)),VALUE(MID(A969,FIND("15",A969,FIND("01",A969)+16)+4,2)),VALUE(MID(A969,FIND("15",A969,FIND("01",A969)+16)+6,2))),"")</f>
        <v/>
      </c>
      <c r="F969" s="5">
        <f>IFERROR(MID(A969,FIND("10",A969,FIND("15",A969,FIND("01",A969)+16)+8)+2,50),"")</f>
        <v/>
      </c>
      <c r="G969" s="5" t="n"/>
    </row>
    <row r="970">
      <c r="A970" s="7" t="n"/>
      <c r="B970" s="8">
        <f>IFERROR(MID(A970,FIND("01",A970)+2,14),"")</f>
        <v/>
      </c>
      <c r="C970" s="7">
        <f>IF(A970="","",IFERROR(VLOOKUP(B970,TblArticles,2,FALSE),"GTIN inconnu"))</f>
        <v/>
      </c>
      <c r="D970" s="8">
        <f>IF(A970="","",IFERROR(VLOOKUP(B970,TblArticles,3,FALSE),""))</f>
        <v/>
      </c>
      <c r="E970" s="9">
        <f>IFERROR(DATE(2000+VALUE(MID(A970,FIND("15",A970,FIND("01",A970)+16)+2,2)),VALUE(MID(A970,FIND("15",A970,FIND("01",A970)+16)+4,2)),VALUE(MID(A970,FIND("15",A970,FIND("01",A970)+16)+6,2))),"")</f>
        <v/>
      </c>
      <c r="F970" s="8">
        <f>IFERROR(MID(A970,FIND("10",A970,FIND("15",A970,FIND("01",A970)+16)+8)+2,50),"")</f>
        <v/>
      </c>
      <c r="G970" s="8" t="n"/>
    </row>
    <row r="971">
      <c r="A971" s="4" t="n"/>
      <c r="B971" s="5">
        <f>IFERROR(MID(A971,FIND("01",A971)+2,14),"")</f>
        <v/>
      </c>
      <c r="C971" s="4">
        <f>IF(A971="","",IFERROR(VLOOKUP(B971,TblArticles,2,FALSE),"GTIN inconnu"))</f>
        <v/>
      </c>
      <c r="D971" s="5">
        <f>IF(A971="","",IFERROR(VLOOKUP(B971,TblArticles,3,FALSE),""))</f>
        <v/>
      </c>
      <c r="E971" s="6">
        <f>IFERROR(DATE(2000+VALUE(MID(A971,FIND("15",A971,FIND("01",A971)+16)+2,2)),VALUE(MID(A971,FIND("15",A971,FIND("01",A971)+16)+4,2)),VALUE(MID(A971,FIND("15",A971,FIND("01",A971)+16)+6,2))),"")</f>
        <v/>
      </c>
      <c r="F971" s="5">
        <f>IFERROR(MID(A971,FIND("10",A971,FIND("15",A971,FIND("01",A971)+16)+8)+2,50),"")</f>
        <v/>
      </c>
      <c r="G971" s="5" t="n"/>
    </row>
    <row r="972">
      <c r="A972" s="7" t="n"/>
      <c r="B972" s="8">
        <f>IFERROR(MID(A972,FIND("01",A972)+2,14),"")</f>
        <v/>
      </c>
      <c r="C972" s="7">
        <f>IF(A972="","",IFERROR(VLOOKUP(B972,TblArticles,2,FALSE),"GTIN inconnu"))</f>
        <v/>
      </c>
      <c r="D972" s="8">
        <f>IF(A972="","",IFERROR(VLOOKUP(B972,TblArticles,3,FALSE),""))</f>
        <v/>
      </c>
      <c r="E972" s="9">
        <f>IFERROR(DATE(2000+VALUE(MID(A972,FIND("15",A972,FIND("01",A972)+16)+2,2)),VALUE(MID(A972,FIND("15",A972,FIND("01",A972)+16)+4,2)),VALUE(MID(A972,FIND("15",A972,FIND("01",A972)+16)+6,2))),"")</f>
        <v/>
      </c>
      <c r="F972" s="8">
        <f>IFERROR(MID(A972,FIND("10",A972,FIND("15",A972,FIND("01",A972)+16)+8)+2,50),"")</f>
        <v/>
      </c>
      <c r="G972" s="8" t="n"/>
    </row>
    <row r="973">
      <c r="A973" s="4" t="n"/>
      <c r="B973" s="5">
        <f>IFERROR(MID(A973,FIND("01",A973)+2,14),"")</f>
        <v/>
      </c>
      <c r="C973" s="4">
        <f>IF(A973="","",IFERROR(VLOOKUP(B973,TblArticles,2,FALSE),"GTIN inconnu"))</f>
        <v/>
      </c>
      <c r="D973" s="5">
        <f>IF(A973="","",IFERROR(VLOOKUP(B973,TblArticles,3,FALSE),""))</f>
        <v/>
      </c>
      <c r="E973" s="6">
        <f>IFERROR(DATE(2000+VALUE(MID(A973,FIND("15",A973,FIND("01",A973)+16)+2,2)),VALUE(MID(A973,FIND("15",A973,FIND("01",A973)+16)+4,2)),VALUE(MID(A973,FIND("15",A973,FIND("01",A973)+16)+6,2))),"")</f>
        <v/>
      </c>
      <c r="F973" s="5">
        <f>IFERROR(MID(A973,FIND("10",A973,FIND("15",A973,FIND("01",A973)+16)+8)+2,50),"")</f>
        <v/>
      </c>
      <c r="G973" s="5" t="n"/>
    </row>
    <row r="974">
      <c r="A974" s="7" t="n"/>
      <c r="B974" s="8">
        <f>IFERROR(MID(A974,FIND("01",A974)+2,14),"")</f>
        <v/>
      </c>
      <c r="C974" s="7">
        <f>IF(A974="","",IFERROR(VLOOKUP(B974,TblArticles,2,FALSE),"GTIN inconnu"))</f>
        <v/>
      </c>
      <c r="D974" s="8">
        <f>IF(A974="","",IFERROR(VLOOKUP(B974,TblArticles,3,FALSE),""))</f>
        <v/>
      </c>
      <c r="E974" s="9">
        <f>IFERROR(DATE(2000+VALUE(MID(A974,FIND("15",A974,FIND("01",A974)+16)+2,2)),VALUE(MID(A974,FIND("15",A974,FIND("01",A974)+16)+4,2)),VALUE(MID(A974,FIND("15",A974,FIND("01",A974)+16)+6,2))),"")</f>
        <v/>
      </c>
      <c r="F974" s="8">
        <f>IFERROR(MID(A974,FIND("10",A974,FIND("15",A974,FIND("01",A974)+16)+8)+2,50),"")</f>
        <v/>
      </c>
      <c r="G974" s="8" t="n"/>
    </row>
    <row r="975">
      <c r="A975" s="4" t="n"/>
      <c r="B975" s="5">
        <f>IFERROR(MID(A975,FIND("01",A975)+2,14),"")</f>
        <v/>
      </c>
      <c r="C975" s="4">
        <f>IF(A975="","",IFERROR(VLOOKUP(B975,TblArticles,2,FALSE),"GTIN inconnu"))</f>
        <v/>
      </c>
      <c r="D975" s="5">
        <f>IF(A975="","",IFERROR(VLOOKUP(B975,TblArticles,3,FALSE),""))</f>
        <v/>
      </c>
      <c r="E975" s="6">
        <f>IFERROR(DATE(2000+VALUE(MID(A975,FIND("15",A975,FIND("01",A975)+16)+2,2)),VALUE(MID(A975,FIND("15",A975,FIND("01",A975)+16)+4,2)),VALUE(MID(A975,FIND("15",A975,FIND("01",A975)+16)+6,2))),"")</f>
        <v/>
      </c>
      <c r="F975" s="5">
        <f>IFERROR(MID(A975,FIND("10",A975,FIND("15",A975,FIND("01",A975)+16)+8)+2,50),"")</f>
        <v/>
      </c>
      <c r="G975" s="5" t="n"/>
    </row>
    <row r="976">
      <c r="A976" s="7" t="n"/>
      <c r="B976" s="8">
        <f>IFERROR(MID(A976,FIND("01",A976)+2,14),"")</f>
        <v/>
      </c>
      <c r="C976" s="7">
        <f>IF(A976="","",IFERROR(VLOOKUP(B976,TblArticles,2,FALSE),"GTIN inconnu"))</f>
        <v/>
      </c>
      <c r="D976" s="8">
        <f>IF(A976="","",IFERROR(VLOOKUP(B976,TblArticles,3,FALSE),""))</f>
        <v/>
      </c>
      <c r="E976" s="9">
        <f>IFERROR(DATE(2000+VALUE(MID(A976,FIND("15",A976,FIND("01",A976)+16)+2,2)),VALUE(MID(A976,FIND("15",A976,FIND("01",A976)+16)+4,2)),VALUE(MID(A976,FIND("15",A976,FIND("01",A976)+16)+6,2))),"")</f>
        <v/>
      </c>
      <c r="F976" s="8">
        <f>IFERROR(MID(A976,FIND("10",A976,FIND("15",A976,FIND("01",A976)+16)+8)+2,50),"")</f>
        <v/>
      </c>
      <c r="G976" s="8" t="n"/>
    </row>
    <row r="977">
      <c r="A977" s="4" t="n"/>
      <c r="B977" s="5">
        <f>IFERROR(MID(A977,FIND("01",A977)+2,14),"")</f>
        <v/>
      </c>
      <c r="C977" s="4">
        <f>IF(A977="","",IFERROR(VLOOKUP(B977,TblArticles,2,FALSE),"GTIN inconnu"))</f>
        <v/>
      </c>
      <c r="D977" s="5">
        <f>IF(A977="","",IFERROR(VLOOKUP(B977,TblArticles,3,FALSE),""))</f>
        <v/>
      </c>
      <c r="E977" s="6">
        <f>IFERROR(DATE(2000+VALUE(MID(A977,FIND("15",A977,FIND("01",A977)+16)+2,2)),VALUE(MID(A977,FIND("15",A977,FIND("01",A977)+16)+4,2)),VALUE(MID(A977,FIND("15",A977,FIND("01",A977)+16)+6,2))),"")</f>
        <v/>
      </c>
      <c r="F977" s="5">
        <f>IFERROR(MID(A977,FIND("10",A977,FIND("15",A977,FIND("01",A977)+16)+8)+2,50),"")</f>
        <v/>
      </c>
      <c r="G977" s="5" t="n"/>
    </row>
    <row r="978">
      <c r="A978" s="7" t="n"/>
      <c r="B978" s="8">
        <f>IFERROR(MID(A978,FIND("01",A978)+2,14),"")</f>
        <v/>
      </c>
      <c r="C978" s="7">
        <f>IF(A978="","",IFERROR(VLOOKUP(B978,TblArticles,2,FALSE),"GTIN inconnu"))</f>
        <v/>
      </c>
      <c r="D978" s="8">
        <f>IF(A978="","",IFERROR(VLOOKUP(B978,TblArticles,3,FALSE),""))</f>
        <v/>
      </c>
      <c r="E978" s="9">
        <f>IFERROR(DATE(2000+VALUE(MID(A978,FIND("15",A978,FIND("01",A978)+16)+2,2)),VALUE(MID(A978,FIND("15",A978,FIND("01",A978)+16)+4,2)),VALUE(MID(A978,FIND("15",A978,FIND("01",A978)+16)+6,2))),"")</f>
        <v/>
      </c>
      <c r="F978" s="8">
        <f>IFERROR(MID(A978,FIND("10",A978,FIND("15",A978,FIND("01",A978)+16)+8)+2,50),"")</f>
        <v/>
      </c>
      <c r="G978" s="8" t="n"/>
    </row>
    <row r="979">
      <c r="A979" s="4" t="n"/>
      <c r="B979" s="5">
        <f>IFERROR(MID(A979,FIND("01",A979)+2,14),"")</f>
        <v/>
      </c>
      <c r="C979" s="4">
        <f>IF(A979="","",IFERROR(VLOOKUP(B979,TblArticles,2,FALSE),"GTIN inconnu"))</f>
        <v/>
      </c>
      <c r="D979" s="5">
        <f>IF(A979="","",IFERROR(VLOOKUP(B979,TblArticles,3,FALSE),""))</f>
        <v/>
      </c>
      <c r="E979" s="6">
        <f>IFERROR(DATE(2000+VALUE(MID(A979,FIND("15",A979,FIND("01",A979)+16)+2,2)),VALUE(MID(A979,FIND("15",A979,FIND("01",A979)+16)+4,2)),VALUE(MID(A979,FIND("15",A979,FIND("01",A979)+16)+6,2))),"")</f>
        <v/>
      </c>
      <c r="F979" s="5">
        <f>IFERROR(MID(A979,FIND("10",A979,FIND("15",A979,FIND("01",A979)+16)+8)+2,50),"")</f>
        <v/>
      </c>
      <c r="G979" s="5" t="n"/>
    </row>
    <row r="980">
      <c r="A980" s="7" t="n"/>
      <c r="B980" s="8">
        <f>IFERROR(MID(A980,FIND("01",A980)+2,14),"")</f>
        <v/>
      </c>
      <c r="C980" s="7">
        <f>IF(A980="","",IFERROR(VLOOKUP(B980,TblArticles,2,FALSE),"GTIN inconnu"))</f>
        <v/>
      </c>
      <c r="D980" s="8">
        <f>IF(A980="","",IFERROR(VLOOKUP(B980,TblArticles,3,FALSE),""))</f>
        <v/>
      </c>
      <c r="E980" s="9">
        <f>IFERROR(DATE(2000+VALUE(MID(A980,FIND("15",A980,FIND("01",A980)+16)+2,2)),VALUE(MID(A980,FIND("15",A980,FIND("01",A980)+16)+4,2)),VALUE(MID(A980,FIND("15",A980,FIND("01",A980)+16)+6,2))),"")</f>
        <v/>
      </c>
      <c r="F980" s="8">
        <f>IFERROR(MID(A980,FIND("10",A980,FIND("15",A980,FIND("01",A980)+16)+8)+2,50),"")</f>
        <v/>
      </c>
      <c r="G980" s="8" t="n"/>
    </row>
    <row r="981">
      <c r="A981" s="4" t="n"/>
      <c r="B981" s="5">
        <f>IFERROR(MID(A981,FIND("01",A981)+2,14),"")</f>
        <v/>
      </c>
      <c r="C981" s="4">
        <f>IF(A981="","",IFERROR(VLOOKUP(B981,TblArticles,2,FALSE),"GTIN inconnu"))</f>
        <v/>
      </c>
      <c r="D981" s="5">
        <f>IF(A981="","",IFERROR(VLOOKUP(B981,TblArticles,3,FALSE),""))</f>
        <v/>
      </c>
      <c r="E981" s="6">
        <f>IFERROR(DATE(2000+VALUE(MID(A981,FIND("15",A981,FIND("01",A981)+16)+2,2)),VALUE(MID(A981,FIND("15",A981,FIND("01",A981)+16)+4,2)),VALUE(MID(A981,FIND("15",A981,FIND("01",A981)+16)+6,2))),"")</f>
        <v/>
      </c>
      <c r="F981" s="5">
        <f>IFERROR(MID(A981,FIND("10",A981,FIND("15",A981,FIND("01",A981)+16)+8)+2,50),"")</f>
        <v/>
      </c>
      <c r="G981" s="5" t="n"/>
    </row>
    <row r="982">
      <c r="A982" s="7" t="n"/>
      <c r="B982" s="8">
        <f>IFERROR(MID(A982,FIND("01",A982)+2,14),"")</f>
        <v/>
      </c>
      <c r="C982" s="7">
        <f>IF(A982="","",IFERROR(VLOOKUP(B982,TblArticles,2,FALSE),"GTIN inconnu"))</f>
        <v/>
      </c>
      <c r="D982" s="8">
        <f>IF(A982="","",IFERROR(VLOOKUP(B982,TblArticles,3,FALSE),""))</f>
        <v/>
      </c>
      <c r="E982" s="9">
        <f>IFERROR(DATE(2000+VALUE(MID(A982,FIND("15",A982,FIND("01",A982)+16)+2,2)),VALUE(MID(A982,FIND("15",A982,FIND("01",A982)+16)+4,2)),VALUE(MID(A982,FIND("15",A982,FIND("01",A982)+16)+6,2))),"")</f>
        <v/>
      </c>
      <c r="F982" s="8">
        <f>IFERROR(MID(A982,FIND("10",A982,FIND("15",A982,FIND("01",A982)+16)+8)+2,50),"")</f>
        <v/>
      </c>
      <c r="G982" s="8" t="n"/>
    </row>
    <row r="983">
      <c r="A983" s="4" t="n"/>
      <c r="B983" s="5">
        <f>IFERROR(MID(A983,FIND("01",A983)+2,14),"")</f>
        <v/>
      </c>
      <c r="C983" s="4">
        <f>IF(A983="","",IFERROR(VLOOKUP(B983,TblArticles,2,FALSE),"GTIN inconnu"))</f>
        <v/>
      </c>
      <c r="D983" s="5">
        <f>IF(A983="","",IFERROR(VLOOKUP(B983,TblArticles,3,FALSE),""))</f>
        <v/>
      </c>
      <c r="E983" s="6">
        <f>IFERROR(DATE(2000+VALUE(MID(A983,FIND("15",A983,FIND("01",A983)+16)+2,2)),VALUE(MID(A983,FIND("15",A983,FIND("01",A983)+16)+4,2)),VALUE(MID(A983,FIND("15",A983,FIND("01",A983)+16)+6,2))),"")</f>
        <v/>
      </c>
      <c r="F983" s="5">
        <f>IFERROR(MID(A983,FIND("10",A983,FIND("15",A983,FIND("01",A983)+16)+8)+2,50),"")</f>
        <v/>
      </c>
      <c r="G983" s="5" t="n"/>
    </row>
    <row r="984">
      <c r="A984" s="7" t="n"/>
      <c r="B984" s="8">
        <f>IFERROR(MID(A984,FIND("01",A984)+2,14),"")</f>
        <v/>
      </c>
      <c r="C984" s="7">
        <f>IF(A984="","",IFERROR(VLOOKUP(B984,TblArticles,2,FALSE),"GTIN inconnu"))</f>
        <v/>
      </c>
      <c r="D984" s="8">
        <f>IF(A984="","",IFERROR(VLOOKUP(B984,TblArticles,3,FALSE),""))</f>
        <v/>
      </c>
      <c r="E984" s="9">
        <f>IFERROR(DATE(2000+VALUE(MID(A984,FIND("15",A984,FIND("01",A984)+16)+2,2)),VALUE(MID(A984,FIND("15",A984,FIND("01",A984)+16)+4,2)),VALUE(MID(A984,FIND("15",A984,FIND("01",A984)+16)+6,2))),"")</f>
        <v/>
      </c>
      <c r="F984" s="8">
        <f>IFERROR(MID(A984,FIND("10",A984,FIND("15",A984,FIND("01",A984)+16)+8)+2,50),"")</f>
        <v/>
      </c>
      <c r="G984" s="8" t="n"/>
    </row>
    <row r="985">
      <c r="A985" s="4" t="n"/>
      <c r="B985" s="5">
        <f>IFERROR(MID(A985,FIND("01",A985)+2,14),"")</f>
        <v/>
      </c>
      <c r="C985" s="4">
        <f>IF(A985="","",IFERROR(VLOOKUP(B985,TblArticles,2,FALSE),"GTIN inconnu"))</f>
        <v/>
      </c>
      <c r="D985" s="5">
        <f>IF(A985="","",IFERROR(VLOOKUP(B985,TblArticles,3,FALSE),""))</f>
        <v/>
      </c>
      <c r="E985" s="6">
        <f>IFERROR(DATE(2000+VALUE(MID(A985,FIND("15",A985,FIND("01",A985)+16)+2,2)),VALUE(MID(A985,FIND("15",A985,FIND("01",A985)+16)+4,2)),VALUE(MID(A985,FIND("15",A985,FIND("01",A985)+16)+6,2))),"")</f>
        <v/>
      </c>
      <c r="F985" s="5">
        <f>IFERROR(MID(A985,FIND("10",A985,FIND("15",A985,FIND("01",A985)+16)+8)+2,50),"")</f>
        <v/>
      </c>
      <c r="G985" s="5" t="n"/>
    </row>
    <row r="986">
      <c r="A986" s="7" t="n"/>
      <c r="B986" s="8">
        <f>IFERROR(MID(A986,FIND("01",A986)+2,14),"")</f>
        <v/>
      </c>
      <c r="C986" s="7">
        <f>IF(A986="","",IFERROR(VLOOKUP(B986,TblArticles,2,FALSE),"GTIN inconnu"))</f>
        <v/>
      </c>
      <c r="D986" s="8">
        <f>IF(A986="","",IFERROR(VLOOKUP(B986,TblArticles,3,FALSE),""))</f>
        <v/>
      </c>
      <c r="E986" s="9">
        <f>IFERROR(DATE(2000+VALUE(MID(A986,FIND("15",A986,FIND("01",A986)+16)+2,2)),VALUE(MID(A986,FIND("15",A986,FIND("01",A986)+16)+4,2)),VALUE(MID(A986,FIND("15",A986,FIND("01",A986)+16)+6,2))),"")</f>
        <v/>
      </c>
      <c r="F986" s="8">
        <f>IFERROR(MID(A986,FIND("10",A986,FIND("15",A986,FIND("01",A986)+16)+8)+2,50),"")</f>
        <v/>
      </c>
      <c r="G986" s="8" t="n"/>
    </row>
    <row r="987">
      <c r="A987" s="4" t="n"/>
      <c r="B987" s="5">
        <f>IFERROR(MID(A987,FIND("01",A987)+2,14),"")</f>
        <v/>
      </c>
      <c r="C987" s="4">
        <f>IF(A987="","",IFERROR(VLOOKUP(B987,TblArticles,2,FALSE),"GTIN inconnu"))</f>
        <v/>
      </c>
      <c r="D987" s="5">
        <f>IF(A987="","",IFERROR(VLOOKUP(B987,TblArticles,3,FALSE),""))</f>
        <v/>
      </c>
      <c r="E987" s="6">
        <f>IFERROR(DATE(2000+VALUE(MID(A987,FIND("15",A987,FIND("01",A987)+16)+2,2)),VALUE(MID(A987,FIND("15",A987,FIND("01",A987)+16)+4,2)),VALUE(MID(A987,FIND("15",A987,FIND("01",A987)+16)+6,2))),"")</f>
        <v/>
      </c>
      <c r="F987" s="5">
        <f>IFERROR(MID(A987,FIND("10",A987,FIND("15",A987,FIND("01",A987)+16)+8)+2,50),"")</f>
        <v/>
      </c>
      <c r="G987" s="5" t="n"/>
    </row>
    <row r="988">
      <c r="A988" s="7" t="n"/>
      <c r="B988" s="8">
        <f>IFERROR(MID(A988,FIND("01",A988)+2,14),"")</f>
        <v/>
      </c>
      <c r="C988" s="7">
        <f>IF(A988="","",IFERROR(VLOOKUP(B988,TblArticles,2,FALSE),"GTIN inconnu"))</f>
        <v/>
      </c>
      <c r="D988" s="8">
        <f>IF(A988="","",IFERROR(VLOOKUP(B988,TblArticles,3,FALSE),""))</f>
        <v/>
      </c>
      <c r="E988" s="9">
        <f>IFERROR(DATE(2000+VALUE(MID(A988,FIND("15",A988,FIND("01",A988)+16)+2,2)),VALUE(MID(A988,FIND("15",A988,FIND("01",A988)+16)+4,2)),VALUE(MID(A988,FIND("15",A988,FIND("01",A988)+16)+6,2))),"")</f>
        <v/>
      </c>
      <c r="F988" s="8">
        <f>IFERROR(MID(A988,FIND("10",A988,FIND("15",A988,FIND("01",A988)+16)+8)+2,50),"")</f>
        <v/>
      </c>
      <c r="G988" s="8" t="n"/>
    </row>
    <row r="989">
      <c r="A989" s="4" t="n"/>
      <c r="B989" s="5">
        <f>IFERROR(MID(A989,FIND("01",A989)+2,14),"")</f>
        <v/>
      </c>
      <c r="C989" s="4">
        <f>IF(A989="","",IFERROR(VLOOKUP(B989,TblArticles,2,FALSE),"GTIN inconnu"))</f>
        <v/>
      </c>
      <c r="D989" s="5">
        <f>IF(A989="","",IFERROR(VLOOKUP(B989,TblArticles,3,FALSE),""))</f>
        <v/>
      </c>
      <c r="E989" s="6">
        <f>IFERROR(DATE(2000+VALUE(MID(A989,FIND("15",A989,FIND("01",A989)+16)+2,2)),VALUE(MID(A989,FIND("15",A989,FIND("01",A989)+16)+4,2)),VALUE(MID(A989,FIND("15",A989,FIND("01",A989)+16)+6,2))),"")</f>
        <v/>
      </c>
      <c r="F989" s="5">
        <f>IFERROR(MID(A989,FIND("10",A989,FIND("15",A989,FIND("01",A989)+16)+8)+2,50),"")</f>
        <v/>
      </c>
      <c r="G989" s="5" t="n"/>
    </row>
    <row r="990">
      <c r="A990" s="7" t="n"/>
      <c r="B990" s="8">
        <f>IFERROR(MID(A990,FIND("01",A990)+2,14),"")</f>
        <v/>
      </c>
      <c r="C990" s="7">
        <f>IF(A990="","",IFERROR(VLOOKUP(B990,TblArticles,2,FALSE),"GTIN inconnu"))</f>
        <v/>
      </c>
      <c r="D990" s="8">
        <f>IF(A990="","",IFERROR(VLOOKUP(B990,TblArticles,3,FALSE),""))</f>
        <v/>
      </c>
      <c r="E990" s="9">
        <f>IFERROR(DATE(2000+VALUE(MID(A990,FIND("15",A990,FIND("01",A990)+16)+2,2)),VALUE(MID(A990,FIND("15",A990,FIND("01",A990)+16)+4,2)),VALUE(MID(A990,FIND("15",A990,FIND("01",A990)+16)+6,2))),"")</f>
        <v/>
      </c>
      <c r="F990" s="8">
        <f>IFERROR(MID(A990,FIND("10",A990,FIND("15",A990,FIND("01",A990)+16)+8)+2,50),"")</f>
        <v/>
      </c>
      <c r="G990" s="8" t="n"/>
    </row>
    <row r="991">
      <c r="A991" s="4" t="n"/>
      <c r="B991" s="5">
        <f>IFERROR(MID(A991,FIND("01",A991)+2,14),"")</f>
        <v/>
      </c>
      <c r="C991" s="4">
        <f>IF(A991="","",IFERROR(VLOOKUP(B991,TblArticles,2,FALSE),"GTIN inconnu"))</f>
        <v/>
      </c>
      <c r="D991" s="5">
        <f>IF(A991="","",IFERROR(VLOOKUP(B991,TblArticles,3,FALSE),""))</f>
        <v/>
      </c>
      <c r="E991" s="6">
        <f>IFERROR(DATE(2000+VALUE(MID(A991,FIND("15",A991,FIND("01",A991)+16)+2,2)),VALUE(MID(A991,FIND("15",A991,FIND("01",A991)+16)+4,2)),VALUE(MID(A991,FIND("15",A991,FIND("01",A991)+16)+6,2))),"")</f>
        <v/>
      </c>
      <c r="F991" s="5">
        <f>IFERROR(MID(A991,FIND("10",A991,FIND("15",A991,FIND("01",A991)+16)+8)+2,50),"")</f>
        <v/>
      </c>
      <c r="G991" s="5" t="n"/>
    </row>
    <row r="992">
      <c r="A992" s="7" t="n"/>
      <c r="B992" s="8">
        <f>IFERROR(MID(A992,FIND("01",A992)+2,14),"")</f>
        <v/>
      </c>
      <c r="C992" s="7">
        <f>IF(A992="","",IFERROR(VLOOKUP(B992,TblArticles,2,FALSE),"GTIN inconnu"))</f>
        <v/>
      </c>
      <c r="D992" s="8">
        <f>IF(A992="","",IFERROR(VLOOKUP(B992,TblArticles,3,FALSE),""))</f>
        <v/>
      </c>
      <c r="E992" s="9">
        <f>IFERROR(DATE(2000+VALUE(MID(A992,FIND("15",A992,FIND("01",A992)+16)+2,2)),VALUE(MID(A992,FIND("15",A992,FIND("01",A992)+16)+4,2)),VALUE(MID(A992,FIND("15",A992,FIND("01",A992)+16)+6,2))),"")</f>
        <v/>
      </c>
      <c r="F992" s="8">
        <f>IFERROR(MID(A992,FIND("10",A992,FIND("15",A992,FIND("01",A992)+16)+8)+2,50),"")</f>
        <v/>
      </c>
      <c r="G992" s="8" t="n"/>
    </row>
    <row r="993">
      <c r="A993" s="4" t="n"/>
      <c r="B993" s="5">
        <f>IFERROR(MID(A993,FIND("01",A993)+2,14),"")</f>
        <v/>
      </c>
      <c r="C993" s="4">
        <f>IF(A993="","",IFERROR(VLOOKUP(B993,TblArticles,2,FALSE),"GTIN inconnu"))</f>
        <v/>
      </c>
      <c r="D993" s="5">
        <f>IF(A993="","",IFERROR(VLOOKUP(B993,TblArticles,3,FALSE),""))</f>
        <v/>
      </c>
      <c r="E993" s="6">
        <f>IFERROR(DATE(2000+VALUE(MID(A993,FIND("15",A993,FIND("01",A993)+16)+2,2)),VALUE(MID(A993,FIND("15",A993,FIND("01",A993)+16)+4,2)),VALUE(MID(A993,FIND("15",A993,FIND("01",A993)+16)+6,2))),"")</f>
        <v/>
      </c>
      <c r="F993" s="5">
        <f>IFERROR(MID(A993,FIND("10",A993,FIND("15",A993,FIND("01",A993)+16)+8)+2,50),"")</f>
        <v/>
      </c>
      <c r="G993" s="5" t="n"/>
    </row>
    <row r="994">
      <c r="A994" s="7" t="n"/>
      <c r="B994" s="8">
        <f>IFERROR(MID(A994,FIND("01",A994)+2,14),"")</f>
        <v/>
      </c>
      <c r="C994" s="7">
        <f>IF(A994="","",IFERROR(VLOOKUP(B994,TblArticles,2,FALSE),"GTIN inconnu"))</f>
        <v/>
      </c>
      <c r="D994" s="8">
        <f>IF(A994="","",IFERROR(VLOOKUP(B994,TblArticles,3,FALSE),""))</f>
        <v/>
      </c>
      <c r="E994" s="9">
        <f>IFERROR(DATE(2000+VALUE(MID(A994,FIND("15",A994,FIND("01",A994)+16)+2,2)),VALUE(MID(A994,FIND("15",A994,FIND("01",A994)+16)+4,2)),VALUE(MID(A994,FIND("15",A994,FIND("01",A994)+16)+6,2))),"")</f>
        <v/>
      </c>
      <c r="F994" s="8">
        <f>IFERROR(MID(A994,FIND("10",A994,FIND("15",A994,FIND("01",A994)+16)+8)+2,50),"")</f>
        <v/>
      </c>
      <c r="G994" s="8" t="n"/>
    </row>
    <row r="995">
      <c r="A995" s="4" t="n"/>
      <c r="B995" s="5">
        <f>IFERROR(MID(A995,FIND("01",A995)+2,14),"")</f>
        <v/>
      </c>
      <c r="C995" s="4">
        <f>IF(A995="","",IFERROR(VLOOKUP(B995,TblArticles,2,FALSE),"GTIN inconnu"))</f>
        <v/>
      </c>
      <c r="D995" s="5">
        <f>IF(A995="","",IFERROR(VLOOKUP(B995,TblArticles,3,FALSE),""))</f>
        <v/>
      </c>
      <c r="E995" s="6">
        <f>IFERROR(DATE(2000+VALUE(MID(A995,FIND("15",A995,FIND("01",A995)+16)+2,2)),VALUE(MID(A995,FIND("15",A995,FIND("01",A995)+16)+4,2)),VALUE(MID(A995,FIND("15",A995,FIND("01",A995)+16)+6,2))),"")</f>
        <v/>
      </c>
      <c r="F995" s="5">
        <f>IFERROR(MID(A995,FIND("10",A995,FIND("15",A995,FIND("01",A995)+16)+8)+2,50),"")</f>
        <v/>
      </c>
      <c r="G995" s="5" t="n"/>
    </row>
    <row r="996">
      <c r="A996" s="7" t="n"/>
      <c r="B996" s="8">
        <f>IFERROR(MID(A996,FIND("01",A996)+2,14),"")</f>
        <v/>
      </c>
      <c r="C996" s="7">
        <f>IF(A996="","",IFERROR(VLOOKUP(B996,TblArticles,2,FALSE),"GTIN inconnu"))</f>
        <v/>
      </c>
      <c r="D996" s="8">
        <f>IF(A996="","",IFERROR(VLOOKUP(B996,TblArticles,3,FALSE),""))</f>
        <v/>
      </c>
      <c r="E996" s="9">
        <f>IFERROR(DATE(2000+VALUE(MID(A996,FIND("15",A996,FIND("01",A996)+16)+2,2)),VALUE(MID(A996,FIND("15",A996,FIND("01",A996)+16)+4,2)),VALUE(MID(A996,FIND("15",A996,FIND("01",A996)+16)+6,2))),"")</f>
        <v/>
      </c>
      <c r="F996" s="8">
        <f>IFERROR(MID(A996,FIND("10",A996,FIND("15",A996,FIND("01",A996)+16)+8)+2,50),"")</f>
        <v/>
      </c>
      <c r="G996" s="8" t="n"/>
    </row>
    <row r="997">
      <c r="A997" s="4" t="n"/>
      <c r="B997" s="5">
        <f>IFERROR(MID(A997,FIND("01",A997)+2,14),"")</f>
        <v/>
      </c>
      <c r="C997" s="4">
        <f>IF(A997="","",IFERROR(VLOOKUP(B997,TblArticles,2,FALSE),"GTIN inconnu"))</f>
        <v/>
      </c>
      <c r="D997" s="5">
        <f>IF(A997="","",IFERROR(VLOOKUP(B997,TblArticles,3,FALSE),""))</f>
        <v/>
      </c>
      <c r="E997" s="6">
        <f>IFERROR(DATE(2000+VALUE(MID(A997,FIND("15",A997,FIND("01",A997)+16)+2,2)),VALUE(MID(A997,FIND("15",A997,FIND("01",A997)+16)+4,2)),VALUE(MID(A997,FIND("15",A997,FIND("01",A997)+16)+6,2))),"")</f>
        <v/>
      </c>
      <c r="F997" s="5">
        <f>IFERROR(MID(A997,FIND("10",A997,FIND("15",A997,FIND("01",A997)+16)+8)+2,50),"")</f>
        <v/>
      </c>
      <c r="G997" s="5" t="n"/>
    </row>
    <row r="998">
      <c r="A998" s="7" t="n"/>
      <c r="B998" s="8">
        <f>IFERROR(MID(A998,FIND("01",A998)+2,14),"")</f>
        <v/>
      </c>
      <c r="C998" s="7">
        <f>IF(A998="","",IFERROR(VLOOKUP(B998,TblArticles,2,FALSE),"GTIN inconnu"))</f>
        <v/>
      </c>
      <c r="D998" s="8">
        <f>IF(A998="","",IFERROR(VLOOKUP(B998,TblArticles,3,FALSE),""))</f>
        <v/>
      </c>
      <c r="E998" s="9">
        <f>IFERROR(DATE(2000+VALUE(MID(A998,FIND("15",A998,FIND("01",A998)+16)+2,2)),VALUE(MID(A998,FIND("15",A998,FIND("01",A998)+16)+4,2)),VALUE(MID(A998,FIND("15",A998,FIND("01",A998)+16)+6,2))),"")</f>
        <v/>
      </c>
      <c r="F998" s="8">
        <f>IFERROR(MID(A998,FIND("10",A998,FIND("15",A998,FIND("01",A998)+16)+8)+2,50),"")</f>
        <v/>
      </c>
      <c r="G998" s="8" t="n"/>
    </row>
    <row r="999">
      <c r="A999" s="4" t="n"/>
      <c r="B999" s="5">
        <f>IFERROR(MID(A999,FIND("01",A999)+2,14),"")</f>
        <v/>
      </c>
      <c r="C999" s="4">
        <f>IF(A999="","",IFERROR(VLOOKUP(B999,TblArticles,2,FALSE),"GTIN inconnu"))</f>
        <v/>
      </c>
      <c r="D999" s="5">
        <f>IF(A999="","",IFERROR(VLOOKUP(B999,TblArticles,3,FALSE),""))</f>
        <v/>
      </c>
      <c r="E999" s="6">
        <f>IFERROR(DATE(2000+VALUE(MID(A999,FIND("15",A999,FIND("01",A999)+16)+2,2)),VALUE(MID(A999,FIND("15",A999,FIND("01",A999)+16)+4,2)),VALUE(MID(A999,FIND("15",A999,FIND("01",A999)+16)+6,2))),"")</f>
        <v/>
      </c>
      <c r="F999" s="5">
        <f>IFERROR(MID(A999,FIND("10",A999,FIND("15",A999,FIND("01",A999)+16)+8)+2,50),"")</f>
        <v/>
      </c>
      <c r="G999" s="5" t="n"/>
    </row>
    <row r="1000">
      <c r="A1000" s="7" t="n"/>
      <c r="B1000" s="8">
        <f>IFERROR(MID(A1000,FIND("01",A1000)+2,14),"")</f>
        <v/>
      </c>
      <c r="C1000" s="7">
        <f>IF(A1000="","",IFERROR(VLOOKUP(B1000,TblArticles,2,FALSE),"GTIN inconnu"))</f>
        <v/>
      </c>
      <c r="D1000" s="8">
        <f>IF(A1000="","",IFERROR(VLOOKUP(B1000,TblArticles,3,FALSE),""))</f>
        <v/>
      </c>
      <c r="E1000" s="9">
        <f>IFERROR(DATE(2000+VALUE(MID(A1000,FIND("15",A1000,FIND("01",A1000)+16)+2,2)),VALUE(MID(A1000,FIND("15",A1000,FIND("01",A1000)+16)+4,2)),VALUE(MID(A1000,FIND("15",A1000,FIND("01",A1000)+16)+6,2))),"")</f>
        <v/>
      </c>
      <c r="F1000" s="8">
        <f>IFERROR(MID(A1000,FIND("10",A1000,FIND("15",A1000,FIND("01",A1000)+16)+8)+2,50),"")</f>
        <v/>
      </c>
      <c r="G1000" s="8" t="n"/>
    </row>
    <row r="1001">
      <c r="A1001" s="4" t="n"/>
      <c r="B1001" s="5">
        <f>IFERROR(MID(A1001,FIND("01",A1001)+2,14),"")</f>
        <v/>
      </c>
      <c r="C1001" s="4">
        <f>IF(A1001="","",IFERROR(VLOOKUP(B1001,TblArticles,2,FALSE),"GTIN inconnu"))</f>
        <v/>
      </c>
      <c r="D1001" s="5">
        <f>IF(A1001="","",IFERROR(VLOOKUP(B1001,TblArticles,3,FALSE),""))</f>
        <v/>
      </c>
      <c r="E1001" s="6">
        <f>IFERROR(DATE(2000+VALUE(MID(A1001,FIND("15",A1001,FIND("01",A1001)+16)+2,2)),VALUE(MID(A1001,FIND("15",A1001,FIND("01",A1001)+16)+4,2)),VALUE(MID(A1001,FIND("15",A1001,FIND("01",A1001)+16)+6,2))),"")</f>
        <v/>
      </c>
      <c r="F1001" s="5">
        <f>IFERROR(MID(A1001,FIND("10",A1001,FIND("15",A1001,FIND("01",A1001)+16)+8)+2,50),"")</f>
        <v/>
      </c>
      <c r="G1001" s="5" t="n"/>
    </row>
    <row r="1002">
      <c r="A1002" s="7" t="n"/>
      <c r="B1002" s="8">
        <f>IFERROR(MID(A1002,FIND("01",A1002)+2,14),"")</f>
        <v/>
      </c>
      <c r="C1002" s="7">
        <f>IF(A1002="","",IFERROR(VLOOKUP(B1002,TblArticles,2,FALSE),"GTIN inconnu"))</f>
        <v/>
      </c>
      <c r="D1002" s="8">
        <f>IF(A1002="","",IFERROR(VLOOKUP(B1002,TblArticles,3,FALSE),""))</f>
        <v/>
      </c>
      <c r="E1002" s="9">
        <f>IFERROR(DATE(2000+VALUE(MID(A1002,FIND("15",A1002,FIND("01",A1002)+16)+2,2)),VALUE(MID(A1002,FIND("15",A1002,FIND("01",A1002)+16)+4,2)),VALUE(MID(A1002,FIND("15",A1002,FIND("01",A1002)+16)+6,2))),"")</f>
        <v/>
      </c>
      <c r="F1002" s="8">
        <f>IFERROR(MID(A1002,FIND("10",A1002,FIND("15",A1002,FIND("01",A1002)+16)+8)+2,50),"")</f>
        <v/>
      </c>
      <c r="G1002" s="8" t="n"/>
    </row>
    <row r="1003">
      <c r="A1003" s="4" t="n"/>
      <c r="B1003" s="5">
        <f>IFERROR(MID(A1003,FIND("01",A1003)+2,14),"")</f>
        <v/>
      </c>
      <c r="C1003" s="4">
        <f>IF(A1003="","",IFERROR(VLOOKUP(B1003,TblArticles,2,FALSE),"GTIN inconnu"))</f>
        <v/>
      </c>
      <c r="D1003" s="5">
        <f>IF(A1003="","",IFERROR(VLOOKUP(B1003,TblArticles,3,FALSE),""))</f>
        <v/>
      </c>
      <c r="E1003" s="6">
        <f>IFERROR(DATE(2000+VALUE(MID(A1003,FIND("15",A1003,FIND("01",A1003)+16)+2,2)),VALUE(MID(A1003,FIND("15",A1003,FIND("01",A1003)+16)+4,2)),VALUE(MID(A1003,FIND("15",A1003,FIND("01",A1003)+16)+6,2))),"")</f>
        <v/>
      </c>
      <c r="F1003" s="5">
        <f>IFERROR(MID(A1003,FIND("10",A1003,FIND("15",A1003,FIND("01",A1003)+16)+8)+2,50),"")</f>
        <v/>
      </c>
      <c r="G1003" s="5" t="n"/>
    </row>
    <row r="1004">
      <c r="A1004" s="7" t="n"/>
      <c r="B1004" s="8">
        <f>IFERROR(MID(A1004,FIND("01",A1004)+2,14),"")</f>
        <v/>
      </c>
      <c r="C1004" s="7">
        <f>IF(A1004="","",IFERROR(VLOOKUP(B1004,TblArticles,2,FALSE),"GTIN inconnu"))</f>
        <v/>
      </c>
      <c r="D1004" s="8">
        <f>IF(A1004="","",IFERROR(VLOOKUP(B1004,TblArticles,3,FALSE),""))</f>
        <v/>
      </c>
      <c r="E1004" s="9">
        <f>IFERROR(DATE(2000+VALUE(MID(A1004,FIND("15",A1004,FIND("01",A1004)+16)+2,2)),VALUE(MID(A1004,FIND("15",A1004,FIND("01",A1004)+16)+4,2)),VALUE(MID(A1004,FIND("15",A1004,FIND("01",A1004)+16)+6,2))),"")</f>
        <v/>
      </c>
      <c r="F1004" s="8">
        <f>IFERROR(MID(A1004,FIND("10",A1004,FIND("15",A1004,FIND("01",A1004)+16)+8)+2,50),"")</f>
        <v/>
      </c>
      <c r="G1004" s="8" t="n"/>
    </row>
    <row r="1005">
      <c r="A1005" s="4" t="n"/>
      <c r="B1005" s="5">
        <f>IFERROR(MID(A1005,FIND("01",A1005)+2,14),"")</f>
        <v/>
      </c>
      <c r="C1005" s="4">
        <f>IF(A1005="","",IFERROR(VLOOKUP(B1005,TblArticles,2,FALSE),"GTIN inconnu"))</f>
        <v/>
      </c>
      <c r="D1005" s="5">
        <f>IF(A1005="","",IFERROR(VLOOKUP(B1005,TblArticles,3,FALSE),""))</f>
        <v/>
      </c>
      <c r="E1005" s="6">
        <f>IFERROR(DATE(2000+VALUE(MID(A1005,FIND("15",A1005,FIND("01",A1005)+16)+2,2)),VALUE(MID(A1005,FIND("15",A1005,FIND("01",A1005)+16)+4,2)),VALUE(MID(A1005,FIND("15",A1005,FIND("01",A1005)+16)+6,2))),"")</f>
        <v/>
      </c>
      <c r="F1005" s="5">
        <f>IFERROR(MID(A1005,FIND("10",A1005,FIND("15",A1005,FIND("01",A1005)+16)+8)+2,50),"")</f>
        <v/>
      </c>
      <c r="G1005" s="5" t="n"/>
    </row>
    <row r="1006">
      <c r="A1006" s="7" t="n"/>
      <c r="B1006" s="8">
        <f>IFERROR(MID(A1006,FIND("01",A1006)+2,14),"")</f>
        <v/>
      </c>
      <c r="C1006" s="7">
        <f>IF(A1006="","",IFERROR(VLOOKUP(B1006,TblArticles,2,FALSE),"GTIN inconnu"))</f>
        <v/>
      </c>
      <c r="D1006" s="8">
        <f>IF(A1006="","",IFERROR(VLOOKUP(B1006,TblArticles,3,FALSE),""))</f>
        <v/>
      </c>
      <c r="E1006" s="9">
        <f>IFERROR(DATE(2000+VALUE(MID(A1006,FIND("15",A1006,FIND("01",A1006)+16)+2,2)),VALUE(MID(A1006,FIND("15",A1006,FIND("01",A1006)+16)+4,2)),VALUE(MID(A1006,FIND("15",A1006,FIND("01",A1006)+16)+6,2))),"")</f>
        <v/>
      </c>
      <c r="F1006" s="8">
        <f>IFERROR(MID(A1006,FIND("10",A1006,FIND("15",A1006,FIND("01",A1006)+16)+8)+2,50),"")</f>
        <v/>
      </c>
      <c r="G1006" s="8" t="n"/>
    </row>
    <row r="1007">
      <c r="A1007" s="4" t="n"/>
      <c r="B1007" s="5">
        <f>IFERROR(MID(A1007,FIND("01",A1007)+2,14),"")</f>
        <v/>
      </c>
      <c r="C1007" s="4">
        <f>IF(A1007="","",IFERROR(VLOOKUP(B1007,TblArticles,2,FALSE),"GTIN inconnu"))</f>
        <v/>
      </c>
      <c r="D1007" s="5">
        <f>IF(A1007="","",IFERROR(VLOOKUP(B1007,TblArticles,3,FALSE),""))</f>
        <v/>
      </c>
      <c r="E1007" s="6">
        <f>IFERROR(DATE(2000+VALUE(MID(A1007,FIND("15",A1007,FIND("01",A1007)+16)+2,2)),VALUE(MID(A1007,FIND("15",A1007,FIND("01",A1007)+16)+4,2)),VALUE(MID(A1007,FIND("15",A1007,FIND("01",A1007)+16)+6,2))),"")</f>
        <v/>
      </c>
      <c r="F1007" s="5">
        <f>IFERROR(MID(A1007,FIND("10",A1007,FIND("15",A1007,FIND("01",A1007)+16)+8)+2,50),"")</f>
        <v/>
      </c>
      <c r="G1007" s="5" t="n"/>
    </row>
    <row r="1008">
      <c r="A1008" s="7" t="n"/>
      <c r="B1008" s="8">
        <f>IFERROR(MID(A1008,FIND("01",A1008)+2,14),"")</f>
        <v/>
      </c>
      <c r="C1008" s="7">
        <f>IF(A1008="","",IFERROR(VLOOKUP(B1008,TblArticles,2,FALSE),"GTIN inconnu"))</f>
        <v/>
      </c>
      <c r="D1008" s="8">
        <f>IF(A1008="","",IFERROR(VLOOKUP(B1008,TblArticles,3,FALSE),""))</f>
        <v/>
      </c>
      <c r="E1008" s="9">
        <f>IFERROR(DATE(2000+VALUE(MID(A1008,FIND("15",A1008,FIND("01",A1008)+16)+2,2)),VALUE(MID(A1008,FIND("15",A1008,FIND("01",A1008)+16)+4,2)),VALUE(MID(A1008,FIND("15",A1008,FIND("01",A1008)+16)+6,2))),"")</f>
        <v/>
      </c>
      <c r="F1008" s="8">
        <f>IFERROR(MID(A1008,FIND("10",A1008,FIND("15",A1008,FIND("01",A1008)+16)+8)+2,50),"")</f>
        <v/>
      </c>
      <c r="G1008" s="8" t="n"/>
    </row>
    <row r="1009">
      <c r="A1009" s="4" t="n"/>
      <c r="B1009" s="5">
        <f>IFERROR(MID(A1009,FIND("01",A1009)+2,14),"")</f>
        <v/>
      </c>
      <c r="C1009" s="4">
        <f>IF(A1009="","",IFERROR(VLOOKUP(B1009,TblArticles,2,FALSE),"GTIN inconnu"))</f>
        <v/>
      </c>
      <c r="D1009" s="5">
        <f>IF(A1009="","",IFERROR(VLOOKUP(B1009,TblArticles,3,FALSE),""))</f>
        <v/>
      </c>
      <c r="E1009" s="6">
        <f>IFERROR(DATE(2000+VALUE(MID(A1009,FIND("15",A1009,FIND("01",A1009)+16)+2,2)),VALUE(MID(A1009,FIND("15",A1009,FIND("01",A1009)+16)+4,2)),VALUE(MID(A1009,FIND("15",A1009,FIND("01",A1009)+16)+6,2))),"")</f>
        <v/>
      </c>
      <c r="F1009" s="5">
        <f>IFERROR(MID(A1009,FIND("10",A1009,FIND("15",A1009,FIND("01",A1009)+16)+8)+2,50),"")</f>
        <v/>
      </c>
      <c r="G1009" s="5" t="n"/>
    </row>
    <row r="1010">
      <c r="A1010" s="7" t="n"/>
      <c r="B1010" s="8">
        <f>IFERROR(MID(A1010,FIND("01",A1010)+2,14),"")</f>
        <v/>
      </c>
      <c r="C1010" s="7">
        <f>IF(A1010="","",IFERROR(VLOOKUP(B1010,TblArticles,2,FALSE),"GTIN inconnu"))</f>
        <v/>
      </c>
      <c r="D1010" s="8">
        <f>IF(A1010="","",IFERROR(VLOOKUP(B1010,TblArticles,3,FALSE),""))</f>
        <v/>
      </c>
      <c r="E1010" s="9">
        <f>IFERROR(DATE(2000+VALUE(MID(A1010,FIND("15",A1010,FIND("01",A1010)+16)+2,2)),VALUE(MID(A1010,FIND("15",A1010,FIND("01",A1010)+16)+4,2)),VALUE(MID(A1010,FIND("15",A1010,FIND("01",A1010)+16)+6,2))),"")</f>
        <v/>
      </c>
      <c r="F1010" s="8">
        <f>IFERROR(MID(A1010,FIND("10",A1010,FIND("15",A1010,FIND("01",A1010)+16)+8)+2,50),"")</f>
        <v/>
      </c>
      <c r="G1010" s="8" t="n"/>
    </row>
    <row r="1011">
      <c r="A1011" s="4" t="n"/>
      <c r="B1011" s="5">
        <f>IFERROR(MID(A1011,FIND("01",A1011)+2,14),"")</f>
        <v/>
      </c>
      <c r="C1011" s="4">
        <f>IF(A1011="","",IFERROR(VLOOKUP(B1011,TblArticles,2,FALSE),"GTIN inconnu"))</f>
        <v/>
      </c>
      <c r="D1011" s="5">
        <f>IF(A1011="","",IFERROR(VLOOKUP(B1011,TblArticles,3,FALSE),""))</f>
        <v/>
      </c>
      <c r="E1011" s="6">
        <f>IFERROR(DATE(2000+VALUE(MID(A1011,FIND("15",A1011,FIND("01",A1011)+16)+2,2)),VALUE(MID(A1011,FIND("15",A1011,FIND("01",A1011)+16)+4,2)),VALUE(MID(A1011,FIND("15",A1011,FIND("01",A1011)+16)+6,2))),"")</f>
        <v/>
      </c>
      <c r="F1011" s="5">
        <f>IFERROR(MID(A1011,FIND("10",A1011,FIND("15",A1011,FIND("01",A1011)+16)+8)+2,50),"")</f>
        <v/>
      </c>
      <c r="G1011" s="5" t="n"/>
    </row>
    <row r="1012">
      <c r="A1012" s="7" t="n"/>
      <c r="B1012" s="8">
        <f>IFERROR(MID(A1012,FIND("01",A1012)+2,14),"")</f>
        <v/>
      </c>
      <c r="C1012" s="7">
        <f>IF(A1012="","",IFERROR(VLOOKUP(B1012,TblArticles,2,FALSE),"GTIN inconnu"))</f>
        <v/>
      </c>
      <c r="D1012" s="8">
        <f>IF(A1012="","",IFERROR(VLOOKUP(B1012,TblArticles,3,FALSE),""))</f>
        <v/>
      </c>
      <c r="E1012" s="9">
        <f>IFERROR(DATE(2000+VALUE(MID(A1012,FIND("15",A1012,FIND("01",A1012)+16)+2,2)),VALUE(MID(A1012,FIND("15",A1012,FIND("01",A1012)+16)+4,2)),VALUE(MID(A1012,FIND("15",A1012,FIND("01",A1012)+16)+6,2))),"")</f>
        <v/>
      </c>
      <c r="F1012" s="8">
        <f>IFERROR(MID(A1012,FIND("10",A1012,FIND("15",A1012,FIND("01",A1012)+16)+8)+2,50),"")</f>
        <v/>
      </c>
      <c r="G1012" s="8" t="n"/>
    </row>
    <row r="1013">
      <c r="A1013" s="4" t="n"/>
      <c r="B1013" s="5">
        <f>IFERROR(MID(A1013,FIND("01",A1013)+2,14),"")</f>
        <v/>
      </c>
      <c r="C1013" s="4">
        <f>IF(A1013="","",IFERROR(VLOOKUP(B1013,TblArticles,2,FALSE),"GTIN inconnu"))</f>
        <v/>
      </c>
      <c r="D1013" s="5">
        <f>IF(A1013="","",IFERROR(VLOOKUP(B1013,TblArticles,3,FALSE),""))</f>
        <v/>
      </c>
      <c r="E1013" s="6">
        <f>IFERROR(DATE(2000+VALUE(MID(A1013,FIND("15",A1013,FIND("01",A1013)+16)+2,2)),VALUE(MID(A1013,FIND("15",A1013,FIND("01",A1013)+16)+4,2)),VALUE(MID(A1013,FIND("15",A1013,FIND("01",A1013)+16)+6,2))),"")</f>
        <v/>
      </c>
      <c r="F1013" s="5">
        <f>IFERROR(MID(A1013,FIND("10",A1013,FIND("15",A1013,FIND("01",A1013)+16)+8)+2,50),"")</f>
        <v/>
      </c>
      <c r="G1013" s="5" t="n"/>
    </row>
    <row r="1014">
      <c r="A1014" s="7" t="n"/>
      <c r="B1014" s="8">
        <f>IFERROR(MID(A1014,FIND("01",A1014)+2,14),"")</f>
        <v/>
      </c>
      <c r="C1014" s="7">
        <f>IF(A1014="","",IFERROR(VLOOKUP(B1014,TblArticles,2,FALSE),"GTIN inconnu"))</f>
        <v/>
      </c>
      <c r="D1014" s="8">
        <f>IF(A1014="","",IFERROR(VLOOKUP(B1014,TblArticles,3,FALSE),""))</f>
        <v/>
      </c>
      <c r="E1014" s="9">
        <f>IFERROR(DATE(2000+VALUE(MID(A1014,FIND("15",A1014,FIND("01",A1014)+16)+2,2)),VALUE(MID(A1014,FIND("15",A1014,FIND("01",A1014)+16)+4,2)),VALUE(MID(A1014,FIND("15",A1014,FIND("01",A1014)+16)+6,2))),"")</f>
        <v/>
      </c>
      <c r="F1014" s="8">
        <f>IFERROR(MID(A1014,FIND("10",A1014,FIND("15",A1014,FIND("01",A1014)+16)+8)+2,50),"")</f>
        <v/>
      </c>
      <c r="G1014" s="8" t="n"/>
    </row>
    <row r="1015">
      <c r="A1015" s="4" t="n"/>
      <c r="B1015" s="5">
        <f>IFERROR(MID(A1015,FIND("01",A1015)+2,14),"")</f>
        <v/>
      </c>
      <c r="C1015" s="4">
        <f>IF(A1015="","",IFERROR(VLOOKUP(B1015,TblArticles,2,FALSE),"GTIN inconnu"))</f>
        <v/>
      </c>
      <c r="D1015" s="5">
        <f>IF(A1015="","",IFERROR(VLOOKUP(B1015,TblArticles,3,FALSE),""))</f>
        <v/>
      </c>
      <c r="E1015" s="6">
        <f>IFERROR(DATE(2000+VALUE(MID(A1015,FIND("15",A1015,FIND("01",A1015)+16)+2,2)),VALUE(MID(A1015,FIND("15",A1015,FIND("01",A1015)+16)+4,2)),VALUE(MID(A1015,FIND("15",A1015,FIND("01",A1015)+16)+6,2))),"")</f>
        <v/>
      </c>
      <c r="F1015" s="5">
        <f>IFERROR(MID(A1015,FIND("10",A1015,FIND("15",A1015,FIND("01",A1015)+16)+8)+2,50),"")</f>
        <v/>
      </c>
      <c r="G1015" s="5" t="n"/>
    </row>
    <row r="1016">
      <c r="A1016" s="7" t="n"/>
      <c r="B1016" s="8">
        <f>IFERROR(MID(A1016,FIND("01",A1016)+2,14),"")</f>
        <v/>
      </c>
      <c r="C1016" s="7">
        <f>IF(A1016="","",IFERROR(VLOOKUP(B1016,TblArticles,2,FALSE),"GTIN inconnu"))</f>
        <v/>
      </c>
      <c r="D1016" s="8">
        <f>IF(A1016="","",IFERROR(VLOOKUP(B1016,TblArticles,3,FALSE),""))</f>
        <v/>
      </c>
      <c r="E1016" s="9">
        <f>IFERROR(DATE(2000+VALUE(MID(A1016,FIND("15",A1016,FIND("01",A1016)+16)+2,2)),VALUE(MID(A1016,FIND("15",A1016,FIND("01",A1016)+16)+4,2)),VALUE(MID(A1016,FIND("15",A1016,FIND("01",A1016)+16)+6,2))),"")</f>
        <v/>
      </c>
      <c r="F1016" s="8">
        <f>IFERROR(MID(A1016,FIND("10",A1016,FIND("15",A1016,FIND("01",A1016)+16)+8)+2,50),"")</f>
        <v/>
      </c>
      <c r="G1016" s="8" t="n"/>
    </row>
    <row r="1017">
      <c r="A1017" s="4" t="n"/>
      <c r="B1017" s="5">
        <f>IFERROR(MID(A1017,FIND("01",A1017)+2,14),"")</f>
        <v/>
      </c>
      <c r="C1017" s="4">
        <f>IF(A1017="","",IFERROR(VLOOKUP(B1017,TblArticles,2,FALSE),"GTIN inconnu"))</f>
        <v/>
      </c>
      <c r="D1017" s="5">
        <f>IF(A1017="","",IFERROR(VLOOKUP(B1017,TblArticles,3,FALSE),""))</f>
        <v/>
      </c>
      <c r="E1017" s="6">
        <f>IFERROR(DATE(2000+VALUE(MID(A1017,FIND("15",A1017,FIND("01",A1017)+16)+2,2)),VALUE(MID(A1017,FIND("15",A1017,FIND("01",A1017)+16)+4,2)),VALUE(MID(A1017,FIND("15",A1017,FIND("01",A1017)+16)+6,2))),"")</f>
        <v/>
      </c>
      <c r="F1017" s="5">
        <f>IFERROR(MID(A1017,FIND("10",A1017,FIND("15",A1017,FIND("01",A1017)+16)+8)+2,50),"")</f>
        <v/>
      </c>
      <c r="G1017" s="5" t="n"/>
    </row>
    <row r="1018">
      <c r="A1018" s="7" t="n"/>
      <c r="B1018" s="8">
        <f>IFERROR(MID(A1018,FIND("01",A1018)+2,14),"")</f>
        <v/>
      </c>
      <c r="C1018" s="7">
        <f>IF(A1018="","",IFERROR(VLOOKUP(B1018,TblArticles,2,FALSE),"GTIN inconnu"))</f>
        <v/>
      </c>
      <c r="D1018" s="8">
        <f>IF(A1018="","",IFERROR(VLOOKUP(B1018,TblArticles,3,FALSE),""))</f>
        <v/>
      </c>
      <c r="E1018" s="9">
        <f>IFERROR(DATE(2000+VALUE(MID(A1018,FIND("15",A1018,FIND("01",A1018)+16)+2,2)),VALUE(MID(A1018,FIND("15",A1018,FIND("01",A1018)+16)+4,2)),VALUE(MID(A1018,FIND("15",A1018,FIND("01",A1018)+16)+6,2))),"")</f>
        <v/>
      </c>
      <c r="F1018" s="8">
        <f>IFERROR(MID(A1018,FIND("10",A1018,FIND("15",A1018,FIND("01",A1018)+16)+8)+2,50),"")</f>
        <v/>
      </c>
      <c r="G1018" s="8" t="n"/>
    </row>
    <row r="1019">
      <c r="A1019" s="4" t="n"/>
      <c r="B1019" s="5">
        <f>IFERROR(MID(A1019,FIND("01",A1019)+2,14),"")</f>
        <v/>
      </c>
      <c r="C1019" s="4">
        <f>IF(A1019="","",IFERROR(VLOOKUP(B1019,TblArticles,2,FALSE),"GTIN inconnu"))</f>
        <v/>
      </c>
      <c r="D1019" s="5">
        <f>IF(A1019="","",IFERROR(VLOOKUP(B1019,TblArticles,3,FALSE),""))</f>
        <v/>
      </c>
      <c r="E1019" s="6">
        <f>IFERROR(DATE(2000+VALUE(MID(A1019,FIND("15",A1019,FIND("01",A1019)+16)+2,2)),VALUE(MID(A1019,FIND("15",A1019,FIND("01",A1019)+16)+4,2)),VALUE(MID(A1019,FIND("15",A1019,FIND("01",A1019)+16)+6,2))),"")</f>
        <v/>
      </c>
      <c r="F1019" s="5">
        <f>IFERROR(MID(A1019,FIND("10",A1019,FIND("15",A1019,FIND("01",A1019)+16)+8)+2,50),"")</f>
        <v/>
      </c>
      <c r="G1019" s="5" t="n"/>
    </row>
    <row r="1020">
      <c r="A1020" s="7" t="n"/>
      <c r="B1020" s="8">
        <f>IFERROR(MID(A1020,FIND("01",A1020)+2,14),"")</f>
        <v/>
      </c>
      <c r="C1020" s="7">
        <f>IF(A1020="","",IFERROR(VLOOKUP(B1020,TblArticles,2,FALSE),"GTIN inconnu"))</f>
        <v/>
      </c>
      <c r="D1020" s="8">
        <f>IF(A1020="","",IFERROR(VLOOKUP(B1020,TblArticles,3,FALSE),""))</f>
        <v/>
      </c>
      <c r="E1020" s="9">
        <f>IFERROR(DATE(2000+VALUE(MID(A1020,FIND("15",A1020,FIND("01",A1020)+16)+2,2)),VALUE(MID(A1020,FIND("15",A1020,FIND("01",A1020)+16)+4,2)),VALUE(MID(A1020,FIND("15",A1020,FIND("01",A1020)+16)+6,2))),"")</f>
        <v/>
      </c>
      <c r="F1020" s="8">
        <f>IFERROR(MID(A1020,FIND("10",A1020,FIND("15",A1020,FIND("01",A1020)+16)+8)+2,50),"")</f>
        <v/>
      </c>
      <c r="G1020" s="8" t="n"/>
    </row>
    <row r="1021">
      <c r="A1021" s="4" t="n"/>
      <c r="B1021" s="5">
        <f>IFERROR(MID(A1021,FIND("01",A1021)+2,14),"")</f>
        <v/>
      </c>
      <c r="C1021" s="4">
        <f>IF(A1021="","",IFERROR(VLOOKUP(B1021,TblArticles,2,FALSE),"GTIN inconnu"))</f>
        <v/>
      </c>
      <c r="D1021" s="5">
        <f>IF(A1021="","",IFERROR(VLOOKUP(B1021,TblArticles,3,FALSE),""))</f>
        <v/>
      </c>
      <c r="E1021" s="6">
        <f>IFERROR(DATE(2000+VALUE(MID(A1021,FIND("15",A1021,FIND("01",A1021)+16)+2,2)),VALUE(MID(A1021,FIND("15",A1021,FIND("01",A1021)+16)+4,2)),VALUE(MID(A1021,FIND("15",A1021,FIND("01",A1021)+16)+6,2))),"")</f>
        <v/>
      </c>
      <c r="F1021" s="5">
        <f>IFERROR(MID(A1021,FIND("10",A1021,FIND("15",A1021,FIND("01",A1021)+16)+8)+2,50),"")</f>
        <v/>
      </c>
      <c r="G1021" s="5" t="n"/>
    </row>
    <row r="1022">
      <c r="A1022" s="7" t="n"/>
      <c r="B1022" s="8">
        <f>IFERROR(MID(A1022,FIND("01",A1022)+2,14),"")</f>
        <v/>
      </c>
      <c r="C1022" s="7">
        <f>IF(A1022="","",IFERROR(VLOOKUP(B1022,TblArticles,2,FALSE),"GTIN inconnu"))</f>
        <v/>
      </c>
      <c r="D1022" s="8">
        <f>IF(A1022="","",IFERROR(VLOOKUP(B1022,TblArticles,3,FALSE),""))</f>
        <v/>
      </c>
      <c r="E1022" s="9">
        <f>IFERROR(DATE(2000+VALUE(MID(A1022,FIND("15",A1022,FIND("01",A1022)+16)+2,2)),VALUE(MID(A1022,FIND("15",A1022,FIND("01",A1022)+16)+4,2)),VALUE(MID(A1022,FIND("15",A1022,FIND("01",A1022)+16)+6,2))),"")</f>
        <v/>
      </c>
      <c r="F1022" s="8">
        <f>IFERROR(MID(A1022,FIND("10",A1022,FIND("15",A1022,FIND("01",A1022)+16)+8)+2,50),"")</f>
        <v/>
      </c>
      <c r="G1022" s="8" t="n"/>
    </row>
    <row r="1023">
      <c r="A1023" s="4" t="n"/>
      <c r="B1023" s="5">
        <f>IFERROR(MID(A1023,FIND("01",A1023)+2,14),"")</f>
        <v/>
      </c>
      <c r="C1023" s="4">
        <f>IF(A1023="","",IFERROR(VLOOKUP(B1023,TblArticles,2,FALSE),"GTIN inconnu"))</f>
        <v/>
      </c>
      <c r="D1023" s="5">
        <f>IF(A1023="","",IFERROR(VLOOKUP(B1023,TblArticles,3,FALSE),""))</f>
        <v/>
      </c>
      <c r="E1023" s="6">
        <f>IFERROR(DATE(2000+VALUE(MID(A1023,FIND("15",A1023,FIND("01",A1023)+16)+2,2)),VALUE(MID(A1023,FIND("15",A1023,FIND("01",A1023)+16)+4,2)),VALUE(MID(A1023,FIND("15",A1023,FIND("01",A1023)+16)+6,2))),"")</f>
        <v/>
      </c>
      <c r="F1023" s="5">
        <f>IFERROR(MID(A1023,FIND("10",A1023,FIND("15",A1023,FIND("01",A1023)+16)+8)+2,50),"")</f>
        <v/>
      </c>
      <c r="G1023" s="5" t="n"/>
    </row>
    <row r="1024">
      <c r="A1024" s="7" t="n"/>
      <c r="B1024" s="8">
        <f>IFERROR(MID(A1024,FIND("01",A1024)+2,14),"")</f>
        <v/>
      </c>
      <c r="C1024" s="7">
        <f>IF(A1024="","",IFERROR(VLOOKUP(B1024,TblArticles,2,FALSE),"GTIN inconnu"))</f>
        <v/>
      </c>
      <c r="D1024" s="8">
        <f>IF(A1024="","",IFERROR(VLOOKUP(B1024,TblArticles,3,FALSE),""))</f>
        <v/>
      </c>
      <c r="E1024" s="9">
        <f>IFERROR(DATE(2000+VALUE(MID(A1024,FIND("15",A1024,FIND("01",A1024)+16)+2,2)),VALUE(MID(A1024,FIND("15",A1024,FIND("01",A1024)+16)+4,2)),VALUE(MID(A1024,FIND("15",A1024,FIND("01",A1024)+16)+6,2))),"")</f>
        <v/>
      </c>
      <c r="F1024" s="8">
        <f>IFERROR(MID(A1024,FIND("10",A1024,FIND("15",A1024,FIND("01",A1024)+16)+8)+2,50),"")</f>
        <v/>
      </c>
      <c r="G1024" s="8" t="n"/>
    </row>
    <row r="1025">
      <c r="A1025" s="4" t="n"/>
      <c r="B1025" s="5">
        <f>IFERROR(MID(A1025,FIND("01",A1025)+2,14),"")</f>
        <v/>
      </c>
      <c r="C1025" s="4">
        <f>IF(A1025="","",IFERROR(VLOOKUP(B1025,TblArticles,2,FALSE),"GTIN inconnu"))</f>
        <v/>
      </c>
      <c r="D1025" s="5">
        <f>IF(A1025="","",IFERROR(VLOOKUP(B1025,TblArticles,3,FALSE),""))</f>
        <v/>
      </c>
      <c r="E1025" s="6">
        <f>IFERROR(DATE(2000+VALUE(MID(A1025,FIND("15",A1025,FIND("01",A1025)+16)+2,2)),VALUE(MID(A1025,FIND("15",A1025,FIND("01",A1025)+16)+4,2)),VALUE(MID(A1025,FIND("15",A1025,FIND("01",A1025)+16)+6,2))),"")</f>
        <v/>
      </c>
      <c r="F1025" s="5">
        <f>IFERROR(MID(A1025,FIND("10",A1025,FIND("15",A1025,FIND("01",A1025)+16)+8)+2,50),"")</f>
        <v/>
      </c>
      <c r="G1025" s="5" t="n"/>
    </row>
    <row r="1026">
      <c r="A1026" s="7" t="n"/>
      <c r="B1026" s="8">
        <f>IFERROR(MID(A1026,FIND("01",A1026)+2,14),"")</f>
        <v/>
      </c>
      <c r="C1026" s="7">
        <f>IF(A1026="","",IFERROR(VLOOKUP(B1026,TblArticles,2,FALSE),"GTIN inconnu"))</f>
        <v/>
      </c>
      <c r="D1026" s="8">
        <f>IF(A1026="","",IFERROR(VLOOKUP(B1026,TblArticles,3,FALSE),""))</f>
        <v/>
      </c>
      <c r="E1026" s="9">
        <f>IFERROR(DATE(2000+VALUE(MID(A1026,FIND("15",A1026,FIND("01",A1026)+16)+2,2)),VALUE(MID(A1026,FIND("15",A1026,FIND("01",A1026)+16)+4,2)),VALUE(MID(A1026,FIND("15",A1026,FIND("01",A1026)+16)+6,2))),"")</f>
        <v/>
      </c>
      <c r="F1026" s="8">
        <f>IFERROR(MID(A1026,FIND("10",A1026,FIND("15",A1026,FIND("01",A1026)+16)+8)+2,50),"")</f>
        <v/>
      </c>
      <c r="G1026" s="8" t="n"/>
    </row>
    <row r="1027">
      <c r="A1027" s="4" t="n"/>
      <c r="B1027" s="5">
        <f>IFERROR(MID(A1027,FIND("01",A1027)+2,14),"")</f>
        <v/>
      </c>
      <c r="C1027" s="4">
        <f>IF(A1027="","",IFERROR(VLOOKUP(B1027,TblArticles,2,FALSE),"GTIN inconnu"))</f>
        <v/>
      </c>
      <c r="D1027" s="5">
        <f>IF(A1027="","",IFERROR(VLOOKUP(B1027,TblArticles,3,FALSE),""))</f>
        <v/>
      </c>
      <c r="E1027" s="6">
        <f>IFERROR(DATE(2000+VALUE(MID(A1027,FIND("15",A1027,FIND("01",A1027)+16)+2,2)),VALUE(MID(A1027,FIND("15",A1027,FIND("01",A1027)+16)+4,2)),VALUE(MID(A1027,FIND("15",A1027,FIND("01",A1027)+16)+6,2))),"")</f>
        <v/>
      </c>
      <c r="F1027" s="5">
        <f>IFERROR(MID(A1027,FIND("10",A1027,FIND("15",A1027,FIND("01",A1027)+16)+8)+2,50),"")</f>
        <v/>
      </c>
      <c r="G1027" s="5" t="n"/>
    </row>
    <row r="1028">
      <c r="A1028" s="7" t="n"/>
      <c r="B1028" s="8">
        <f>IFERROR(MID(A1028,FIND("01",A1028)+2,14),"")</f>
        <v/>
      </c>
      <c r="C1028" s="7">
        <f>IF(A1028="","",IFERROR(VLOOKUP(B1028,TblArticles,2,FALSE),"GTIN inconnu"))</f>
        <v/>
      </c>
      <c r="D1028" s="8">
        <f>IF(A1028="","",IFERROR(VLOOKUP(B1028,TblArticles,3,FALSE),""))</f>
        <v/>
      </c>
      <c r="E1028" s="9">
        <f>IFERROR(DATE(2000+VALUE(MID(A1028,FIND("15",A1028,FIND("01",A1028)+16)+2,2)),VALUE(MID(A1028,FIND("15",A1028,FIND("01",A1028)+16)+4,2)),VALUE(MID(A1028,FIND("15",A1028,FIND("01",A1028)+16)+6,2))),"")</f>
        <v/>
      </c>
      <c r="F1028" s="8">
        <f>IFERROR(MID(A1028,FIND("10",A1028,FIND("15",A1028,FIND("01",A1028)+16)+8)+2,50),"")</f>
        <v/>
      </c>
      <c r="G1028" s="8" t="n"/>
    </row>
    <row r="1029">
      <c r="A1029" s="4" t="n"/>
      <c r="B1029" s="5">
        <f>IFERROR(MID(A1029,FIND("01",A1029)+2,14),"")</f>
        <v/>
      </c>
      <c r="C1029" s="4">
        <f>IF(A1029="","",IFERROR(VLOOKUP(B1029,TblArticles,2,FALSE),"GTIN inconnu"))</f>
        <v/>
      </c>
      <c r="D1029" s="5">
        <f>IF(A1029="","",IFERROR(VLOOKUP(B1029,TblArticles,3,FALSE),""))</f>
        <v/>
      </c>
      <c r="E1029" s="6">
        <f>IFERROR(DATE(2000+VALUE(MID(A1029,FIND("15",A1029,FIND("01",A1029)+16)+2,2)),VALUE(MID(A1029,FIND("15",A1029,FIND("01",A1029)+16)+4,2)),VALUE(MID(A1029,FIND("15",A1029,FIND("01",A1029)+16)+6,2))),"")</f>
        <v/>
      </c>
      <c r="F1029" s="5">
        <f>IFERROR(MID(A1029,FIND("10",A1029,FIND("15",A1029,FIND("01",A1029)+16)+8)+2,50),"")</f>
        <v/>
      </c>
      <c r="G1029" s="5" t="n"/>
    </row>
    <row r="1030">
      <c r="A1030" s="7" t="n"/>
      <c r="B1030" s="8">
        <f>IFERROR(MID(A1030,FIND("01",A1030)+2,14),"")</f>
        <v/>
      </c>
      <c r="C1030" s="7">
        <f>IF(A1030="","",IFERROR(VLOOKUP(B1030,TblArticles,2,FALSE),"GTIN inconnu"))</f>
        <v/>
      </c>
      <c r="D1030" s="8">
        <f>IF(A1030="","",IFERROR(VLOOKUP(B1030,TblArticles,3,FALSE),""))</f>
        <v/>
      </c>
      <c r="E1030" s="9">
        <f>IFERROR(DATE(2000+VALUE(MID(A1030,FIND("15",A1030,FIND("01",A1030)+16)+2,2)),VALUE(MID(A1030,FIND("15",A1030,FIND("01",A1030)+16)+4,2)),VALUE(MID(A1030,FIND("15",A1030,FIND("01",A1030)+16)+6,2))),"")</f>
        <v/>
      </c>
      <c r="F1030" s="8">
        <f>IFERROR(MID(A1030,FIND("10",A1030,FIND("15",A1030,FIND("01",A1030)+16)+8)+2,50),"")</f>
        <v/>
      </c>
      <c r="G1030" s="8" t="n"/>
    </row>
    <row r="1031">
      <c r="A1031" s="4" t="n"/>
      <c r="B1031" s="5">
        <f>IFERROR(MID(A1031,FIND("01",A1031)+2,14),"")</f>
        <v/>
      </c>
      <c r="C1031" s="4">
        <f>IF(A1031="","",IFERROR(VLOOKUP(B1031,TblArticles,2,FALSE),"GTIN inconnu"))</f>
        <v/>
      </c>
      <c r="D1031" s="5">
        <f>IF(A1031="","",IFERROR(VLOOKUP(B1031,TblArticles,3,FALSE),""))</f>
        <v/>
      </c>
      <c r="E1031" s="6">
        <f>IFERROR(DATE(2000+VALUE(MID(A1031,FIND("15",A1031,FIND("01",A1031)+16)+2,2)),VALUE(MID(A1031,FIND("15",A1031,FIND("01",A1031)+16)+4,2)),VALUE(MID(A1031,FIND("15",A1031,FIND("01",A1031)+16)+6,2))),"")</f>
        <v/>
      </c>
      <c r="F1031" s="5">
        <f>IFERROR(MID(A1031,FIND("10",A1031,FIND("15",A1031,FIND("01",A1031)+16)+8)+2,50),"")</f>
        <v/>
      </c>
      <c r="G1031" s="5" t="n"/>
    </row>
    <row r="1032">
      <c r="A1032" s="7" t="n"/>
      <c r="B1032" s="8">
        <f>IFERROR(MID(A1032,FIND("01",A1032)+2,14),"")</f>
        <v/>
      </c>
      <c r="C1032" s="7">
        <f>IF(A1032="","",IFERROR(VLOOKUP(B1032,TblArticles,2,FALSE),"GTIN inconnu"))</f>
        <v/>
      </c>
      <c r="D1032" s="8">
        <f>IF(A1032="","",IFERROR(VLOOKUP(B1032,TblArticles,3,FALSE),""))</f>
        <v/>
      </c>
      <c r="E1032" s="9">
        <f>IFERROR(DATE(2000+VALUE(MID(A1032,FIND("15",A1032,FIND("01",A1032)+16)+2,2)),VALUE(MID(A1032,FIND("15",A1032,FIND("01",A1032)+16)+4,2)),VALUE(MID(A1032,FIND("15",A1032,FIND("01",A1032)+16)+6,2))),"")</f>
        <v/>
      </c>
      <c r="F1032" s="8">
        <f>IFERROR(MID(A1032,FIND("10",A1032,FIND("15",A1032,FIND("01",A1032)+16)+8)+2,50),"")</f>
        <v/>
      </c>
      <c r="G1032" s="8" t="n"/>
    </row>
    <row r="1033">
      <c r="A1033" s="4" t="n"/>
      <c r="B1033" s="5">
        <f>IFERROR(MID(A1033,FIND("01",A1033)+2,14),"")</f>
        <v/>
      </c>
      <c r="C1033" s="4">
        <f>IF(A1033="","",IFERROR(VLOOKUP(B1033,TblArticles,2,FALSE),"GTIN inconnu"))</f>
        <v/>
      </c>
      <c r="D1033" s="5">
        <f>IF(A1033="","",IFERROR(VLOOKUP(B1033,TblArticles,3,FALSE),""))</f>
        <v/>
      </c>
      <c r="E1033" s="6">
        <f>IFERROR(DATE(2000+VALUE(MID(A1033,FIND("15",A1033,FIND("01",A1033)+16)+2,2)),VALUE(MID(A1033,FIND("15",A1033,FIND("01",A1033)+16)+4,2)),VALUE(MID(A1033,FIND("15",A1033,FIND("01",A1033)+16)+6,2))),"")</f>
        <v/>
      </c>
      <c r="F1033" s="5">
        <f>IFERROR(MID(A1033,FIND("10",A1033,FIND("15",A1033,FIND("01",A1033)+16)+8)+2,50),"")</f>
        <v/>
      </c>
      <c r="G1033" s="5" t="n"/>
    </row>
    <row r="1034">
      <c r="A1034" s="7" t="n"/>
      <c r="B1034" s="8">
        <f>IFERROR(MID(A1034,FIND("01",A1034)+2,14),"")</f>
        <v/>
      </c>
      <c r="C1034" s="7">
        <f>IF(A1034="","",IFERROR(VLOOKUP(B1034,TblArticles,2,FALSE),"GTIN inconnu"))</f>
        <v/>
      </c>
      <c r="D1034" s="8">
        <f>IF(A1034="","",IFERROR(VLOOKUP(B1034,TblArticles,3,FALSE),""))</f>
        <v/>
      </c>
      <c r="E1034" s="9">
        <f>IFERROR(DATE(2000+VALUE(MID(A1034,FIND("15",A1034,FIND("01",A1034)+16)+2,2)),VALUE(MID(A1034,FIND("15",A1034,FIND("01",A1034)+16)+4,2)),VALUE(MID(A1034,FIND("15",A1034,FIND("01",A1034)+16)+6,2))),"")</f>
        <v/>
      </c>
      <c r="F1034" s="8">
        <f>IFERROR(MID(A1034,FIND("10",A1034,FIND("15",A1034,FIND("01",A1034)+16)+8)+2,50),"")</f>
        <v/>
      </c>
      <c r="G1034" s="8" t="n"/>
    </row>
    <row r="1035">
      <c r="A1035" s="4" t="n"/>
      <c r="B1035" s="5">
        <f>IFERROR(MID(A1035,FIND("01",A1035)+2,14),"")</f>
        <v/>
      </c>
      <c r="C1035" s="4">
        <f>IF(A1035="","",IFERROR(VLOOKUP(B1035,TblArticles,2,FALSE),"GTIN inconnu"))</f>
        <v/>
      </c>
      <c r="D1035" s="5">
        <f>IF(A1035="","",IFERROR(VLOOKUP(B1035,TblArticles,3,FALSE),""))</f>
        <v/>
      </c>
      <c r="E1035" s="6">
        <f>IFERROR(DATE(2000+VALUE(MID(A1035,FIND("15",A1035,FIND("01",A1035)+16)+2,2)),VALUE(MID(A1035,FIND("15",A1035,FIND("01",A1035)+16)+4,2)),VALUE(MID(A1035,FIND("15",A1035,FIND("01",A1035)+16)+6,2))),"")</f>
        <v/>
      </c>
      <c r="F1035" s="5">
        <f>IFERROR(MID(A1035,FIND("10",A1035,FIND("15",A1035,FIND("01",A1035)+16)+8)+2,50),"")</f>
        <v/>
      </c>
      <c r="G1035" s="5" t="n"/>
    </row>
    <row r="1036">
      <c r="A1036" s="7" t="n"/>
      <c r="B1036" s="8">
        <f>IFERROR(MID(A1036,FIND("01",A1036)+2,14),"")</f>
        <v/>
      </c>
      <c r="C1036" s="7">
        <f>IF(A1036="","",IFERROR(VLOOKUP(B1036,TblArticles,2,FALSE),"GTIN inconnu"))</f>
        <v/>
      </c>
      <c r="D1036" s="8">
        <f>IF(A1036="","",IFERROR(VLOOKUP(B1036,TblArticles,3,FALSE),""))</f>
        <v/>
      </c>
      <c r="E1036" s="9">
        <f>IFERROR(DATE(2000+VALUE(MID(A1036,FIND("15",A1036,FIND("01",A1036)+16)+2,2)),VALUE(MID(A1036,FIND("15",A1036,FIND("01",A1036)+16)+4,2)),VALUE(MID(A1036,FIND("15",A1036,FIND("01",A1036)+16)+6,2))),"")</f>
        <v/>
      </c>
      <c r="F1036" s="8">
        <f>IFERROR(MID(A1036,FIND("10",A1036,FIND("15",A1036,FIND("01",A1036)+16)+8)+2,50),"")</f>
        <v/>
      </c>
      <c r="G1036" s="8" t="n"/>
    </row>
    <row r="1037">
      <c r="A1037" s="4" t="n"/>
      <c r="B1037" s="5">
        <f>IFERROR(MID(A1037,FIND("01",A1037)+2,14),"")</f>
        <v/>
      </c>
      <c r="C1037" s="4">
        <f>IF(A1037="","",IFERROR(VLOOKUP(B1037,TblArticles,2,FALSE),"GTIN inconnu"))</f>
        <v/>
      </c>
      <c r="D1037" s="5">
        <f>IF(A1037="","",IFERROR(VLOOKUP(B1037,TblArticles,3,FALSE),""))</f>
        <v/>
      </c>
      <c r="E1037" s="6">
        <f>IFERROR(DATE(2000+VALUE(MID(A1037,FIND("15",A1037,FIND("01",A1037)+16)+2,2)),VALUE(MID(A1037,FIND("15",A1037,FIND("01",A1037)+16)+4,2)),VALUE(MID(A1037,FIND("15",A1037,FIND("01",A1037)+16)+6,2))),"")</f>
        <v/>
      </c>
      <c r="F1037" s="5">
        <f>IFERROR(MID(A1037,FIND("10",A1037,FIND("15",A1037,FIND("01",A1037)+16)+8)+2,50),"")</f>
        <v/>
      </c>
      <c r="G1037" s="5" t="n"/>
    </row>
    <row r="1038">
      <c r="A1038" s="7" t="n"/>
      <c r="B1038" s="8">
        <f>IFERROR(MID(A1038,FIND("01",A1038)+2,14),"")</f>
        <v/>
      </c>
      <c r="C1038" s="7">
        <f>IF(A1038="","",IFERROR(VLOOKUP(B1038,TblArticles,2,FALSE),"GTIN inconnu"))</f>
        <v/>
      </c>
      <c r="D1038" s="8">
        <f>IF(A1038="","",IFERROR(VLOOKUP(B1038,TblArticles,3,FALSE),""))</f>
        <v/>
      </c>
      <c r="E1038" s="9">
        <f>IFERROR(DATE(2000+VALUE(MID(A1038,FIND("15",A1038,FIND("01",A1038)+16)+2,2)),VALUE(MID(A1038,FIND("15",A1038,FIND("01",A1038)+16)+4,2)),VALUE(MID(A1038,FIND("15",A1038,FIND("01",A1038)+16)+6,2))),"")</f>
        <v/>
      </c>
      <c r="F1038" s="8">
        <f>IFERROR(MID(A1038,FIND("10",A1038,FIND("15",A1038,FIND("01",A1038)+16)+8)+2,50),"")</f>
        <v/>
      </c>
      <c r="G1038" s="8" t="n"/>
    </row>
    <row r="1039">
      <c r="A1039" s="4" t="n"/>
      <c r="B1039" s="5">
        <f>IFERROR(MID(A1039,FIND("01",A1039)+2,14),"")</f>
        <v/>
      </c>
      <c r="C1039" s="4">
        <f>IF(A1039="","",IFERROR(VLOOKUP(B1039,TblArticles,2,FALSE),"GTIN inconnu"))</f>
        <v/>
      </c>
      <c r="D1039" s="5">
        <f>IF(A1039="","",IFERROR(VLOOKUP(B1039,TblArticles,3,FALSE),""))</f>
        <v/>
      </c>
      <c r="E1039" s="6">
        <f>IFERROR(DATE(2000+VALUE(MID(A1039,FIND("15",A1039,FIND("01",A1039)+16)+2,2)),VALUE(MID(A1039,FIND("15",A1039,FIND("01",A1039)+16)+4,2)),VALUE(MID(A1039,FIND("15",A1039,FIND("01",A1039)+16)+6,2))),"")</f>
        <v/>
      </c>
      <c r="F1039" s="5">
        <f>IFERROR(MID(A1039,FIND("10",A1039,FIND("15",A1039,FIND("01",A1039)+16)+8)+2,50),"")</f>
        <v/>
      </c>
      <c r="G1039" s="5" t="n"/>
    </row>
    <row r="1040">
      <c r="A1040" s="7" t="n"/>
      <c r="B1040" s="8">
        <f>IFERROR(MID(A1040,FIND("01",A1040)+2,14),"")</f>
        <v/>
      </c>
      <c r="C1040" s="7">
        <f>IF(A1040="","",IFERROR(VLOOKUP(B1040,TblArticles,2,FALSE),"GTIN inconnu"))</f>
        <v/>
      </c>
      <c r="D1040" s="8">
        <f>IF(A1040="","",IFERROR(VLOOKUP(B1040,TblArticles,3,FALSE),""))</f>
        <v/>
      </c>
      <c r="E1040" s="9">
        <f>IFERROR(DATE(2000+VALUE(MID(A1040,FIND("15",A1040,FIND("01",A1040)+16)+2,2)),VALUE(MID(A1040,FIND("15",A1040,FIND("01",A1040)+16)+4,2)),VALUE(MID(A1040,FIND("15",A1040,FIND("01",A1040)+16)+6,2))),"")</f>
        <v/>
      </c>
      <c r="F1040" s="8">
        <f>IFERROR(MID(A1040,FIND("10",A1040,FIND("15",A1040,FIND("01",A1040)+16)+8)+2,50),"")</f>
        <v/>
      </c>
      <c r="G1040" s="8" t="n"/>
    </row>
    <row r="1041">
      <c r="A1041" s="4" t="n"/>
      <c r="B1041" s="5">
        <f>IFERROR(MID(A1041,FIND("01",A1041)+2,14),"")</f>
        <v/>
      </c>
      <c r="C1041" s="4">
        <f>IF(A1041="","",IFERROR(VLOOKUP(B1041,TblArticles,2,FALSE),"GTIN inconnu"))</f>
        <v/>
      </c>
      <c r="D1041" s="5">
        <f>IF(A1041="","",IFERROR(VLOOKUP(B1041,TblArticles,3,FALSE),""))</f>
        <v/>
      </c>
      <c r="E1041" s="6">
        <f>IFERROR(DATE(2000+VALUE(MID(A1041,FIND("15",A1041,FIND("01",A1041)+16)+2,2)),VALUE(MID(A1041,FIND("15",A1041,FIND("01",A1041)+16)+4,2)),VALUE(MID(A1041,FIND("15",A1041,FIND("01",A1041)+16)+6,2))),"")</f>
        <v/>
      </c>
      <c r="F1041" s="5">
        <f>IFERROR(MID(A1041,FIND("10",A1041,FIND("15",A1041,FIND("01",A1041)+16)+8)+2,50),"")</f>
        <v/>
      </c>
      <c r="G1041" s="5" t="n"/>
    </row>
    <row r="1042">
      <c r="A1042" s="7" t="n"/>
      <c r="B1042" s="8">
        <f>IFERROR(MID(A1042,FIND("01",A1042)+2,14),"")</f>
        <v/>
      </c>
      <c r="C1042" s="7">
        <f>IF(A1042="","",IFERROR(VLOOKUP(B1042,TblArticles,2,FALSE),"GTIN inconnu"))</f>
        <v/>
      </c>
      <c r="D1042" s="8">
        <f>IF(A1042="","",IFERROR(VLOOKUP(B1042,TblArticles,3,FALSE),""))</f>
        <v/>
      </c>
      <c r="E1042" s="9">
        <f>IFERROR(DATE(2000+VALUE(MID(A1042,FIND("15",A1042,FIND("01",A1042)+16)+2,2)),VALUE(MID(A1042,FIND("15",A1042,FIND("01",A1042)+16)+4,2)),VALUE(MID(A1042,FIND("15",A1042,FIND("01",A1042)+16)+6,2))),"")</f>
        <v/>
      </c>
      <c r="F1042" s="8">
        <f>IFERROR(MID(A1042,FIND("10",A1042,FIND("15",A1042,FIND("01",A1042)+16)+8)+2,50),"")</f>
        <v/>
      </c>
      <c r="G1042" s="8" t="n"/>
    </row>
    <row r="1043">
      <c r="A1043" s="4" t="n"/>
      <c r="B1043" s="5">
        <f>IFERROR(MID(A1043,FIND("01",A1043)+2,14),"")</f>
        <v/>
      </c>
      <c r="C1043" s="4">
        <f>IF(A1043="","",IFERROR(VLOOKUP(B1043,TblArticles,2,FALSE),"GTIN inconnu"))</f>
        <v/>
      </c>
      <c r="D1043" s="5">
        <f>IF(A1043="","",IFERROR(VLOOKUP(B1043,TblArticles,3,FALSE),""))</f>
        <v/>
      </c>
      <c r="E1043" s="6">
        <f>IFERROR(DATE(2000+VALUE(MID(A1043,FIND("15",A1043,FIND("01",A1043)+16)+2,2)),VALUE(MID(A1043,FIND("15",A1043,FIND("01",A1043)+16)+4,2)),VALUE(MID(A1043,FIND("15",A1043,FIND("01",A1043)+16)+6,2))),"")</f>
        <v/>
      </c>
      <c r="F1043" s="5">
        <f>IFERROR(MID(A1043,FIND("10",A1043,FIND("15",A1043,FIND("01",A1043)+16)+8)+2,50),"")</f>
        <v/>
      </c>
      <c r="G1043" s="5" t="n"/>
    </row>
    <row r="1044">
      <c r="A1044" s="7" t="n"/>
      <c r="B1044" s="8">
        <f>IFERROR(MID(A1044,FIND("01",A1044)+2,14),"")</f>
        <v/>
      </c>
      <c r="C1044" s="7">
        <f>IF(A1044="","",IFERROR(VLOOKUP(B1044,TblArticles,2,FALSE),"GTIN inconnu"))</f>
        <v/>
      </c>
      <c r="D1044" s="8">
        <f>IF(A1044="","",IFERROR(VLOOKUP(B1044,TblArticles,3,FALSE),""))</f>
        <v/>
      </c>
      <c r="E1044" s="9">
        <f>IFERROR(DATE(2000+VALUE(MID(A1044,FIND("15",A1044,FIND("01",A1044)+16)+2,2)),VALUE(MID(A1044,FIND("15",A1044,FIND("01",A1044)+16)+4,2)),VALUE(MID(A1044,FIND("15",A1044,FIND("01",A1044)+16)+6,2))),"")</f>
        <v/>
      </c>
      <c r="F1044" s="8">
        <f>IFERROR(MID(A1044,FIND("10",A1044,FIND("15",A1044,FIND("01",A1044)+16)+8)+2,50),"")</f>
        <v/>
      </c>
      <c r="G1044" s="8" t="n"/>
    </row>
    <row r="1045">
      <c r="A1045" s="4" t="n"/>
      <c r="B1045" s="5">
        <f>IFERROR(MID(A1045,FIND("01",A1045)+2,14),"")</f>
        <v/>
      </c>
      <c r="C1045" s="4">
        <f>IF(A1045="","",IFERROR(VLOOKUP(B1045,TblArticles,2,FALSE),"GTIN inconnu"))</f>
        <v/>
      </c>
      <c r="D1045" s="5">
        <f>IF(A1045="","",IFERROR(VLOOKUP(B1045,TblArticles,3,FALSE),""))</f>
        <v/>
      </c>
      <c r="E1045" s="6">
        <f>IFERROR(DATE(2000+VALUE(MID(A1045,FIND("15",A1045,FIND("01",A1045)+16)+2,2)),VALUE(MID(A1045,FIND("15",A1045,FIND("01",A1045)+16)+4,2)),VALUE(MID(A1045,FIND("15",A1045,FIND("01",A1045)+16)+6,2))),"")</f>
        <v/>
      </c>
      <c r="F1045" s="5">
        <f>IFERROR(MID(A1045,FIND("10",A1045,FIND("15",A1045,FIND("01",A1045)+16)+8)+2,50),"")</f>
        <v/>
      </c>
      <c r="G1045" s="5" t="n"/>
    </row>
    <row r="1046">
      <c r="A1046" s="7" t="n"/>
      <c r="B1046" s="8">
        <f>IFERROR(MID(A1046,FIND("01",A1046)+2,14),"")</f>
        <v/>
      </c>
      <c r="C1046" s="7">
        <f>IF(A1046="","",IFERROR(VLOOKUP(B1046,TblArticles,2,FALSE),"GTIN inconnu"))</f>
        <v/>
      </c>
      <c r="D1046" s="8">
        <f>IF(A1046="","",IFERROR(VLOOKUP(B1046,TblArticles,3,FALSE),""))</f>
        <v/>
      </c>
      <c r="E1046" s="9">
        <f>IFERROR(DATE(2000+VALUE(MID(A1046,FIND("15",A1046,FIND("01",A1046)+16)+2,2)),VALUE(MID(A1046,FIND("15",A1046,FIND("01",A1046)+16)+4,2)),VALUE(MID(A1046,FIND("15",A1046,FIND("01",A1046)+16)+6,2))),"")</f>
        <v/>
      </c>
      <c r="F1046" s="8">
        <f>IFERROR(MID(A1046,FIND("10",A1046,FIND("15",A1046,FIND("01",A1046)+16)+8)+2,50),"")</f>
        <v/>
      </c>
      <c r="G1046" s="8" t="n"/>
    </row>
    <row r="1047">
      <c r="A1047" s="4" t="n"/>
      <c r="B1047" s="5">
        <f>IFERROR(MID(A1047,FIND("01",A1047)+2,14),"")</f>
        <v/>
      </c>
      <c r="C1047" s="4">
        <f>IF(A1047="","",IFERROR(VLOOKUP(B1047,TblArticles,2,FALSE),"GTIN inconnu"))</f>
        <v/>
      </c>
      <c r="D1047" s="5">
        <f>IF(A1047="","",IFERROR(VLOOKUP(B1047,TblArticles,3,FALSE),""))</f>
        <v/>
      </c>
      <c r="E1047" s="6">
        <f>IFERROR(DATE(2000+VALUE(MID(A1047,FIND("15",A1047,FIND("01",A1047)+16)+2,2)),VALUE(MID(A1047,FIND("15",A1047,FIND("01",A1047)+16)+4,2)),VALUE(MID(A1047,FIND("15",A1047,FIND("01",A1047)+16)+6,2))),"")</f>
        <v/>
      </c>
      <c r="F1047" s="5">
        <f>IFERROR(MID(A1047,FIND("10",A1047,FIND("15",A1047,FIND("01",A1047)+16)+8)+2,50),"")</f>
        <v/>
      </c>
      <c r="G1047" s="5" t="n"/>
    </row>
    <row r="1048">
      <c r="A1048" s="7" t="n"/>
      <c r="B1048" s="8">
        <f>IFERROR(MID(A1048,FIND("01",A1048)+2,14),"")</f>
        <v/>
      </c>
      <c r="C1048" s="7">
        <f>IF(A1048="","",IFERROR(VLOOKUP(B1048,TblArticles,2,FALSE),"GTIN inconnu"))</f>
        <v/>
      </c>
      <c r="D1048" s="8">
        <f>IF(A1048="","",IFERROR(VLOOKUP(B1048,TblArticles,3,FALSE),""))</f>
        <v/>
      </c>
      <c r="E1048" s="9">
        <f>IFERROR(DATE(2000+VALUE(MID(A1048,FIND("15",A1048,FIND("01",A1048)+16)+2,2)),VALUE(MID(A1048,FIND("15",A1048,FIND("01",A1048)+16)+4,2)),VALUE(MID(A1048,FIND("15",A1048,FIND("01",A1048)+16)+6,2))),"")</f>
        <v/>
      </c>
      <c r="F1048" s="8">
        <f>IFERROR(MID(A1048,FIND("10",A1048,FIND("15",A1048,FIND("01",A1048)+16)+8)+2,50),"")</f>
        <v/>
      </c>
      <c r="G1048" s="8" t="n"/>
    </row>
    <row r="1049">
      <c r="A1049" s="4" t="n"/>
      <c r="B1049" s="5">
        <f>IFERROR(MID(A1049,FIND("01",A1049)+2,14),"")</f>
        <v/>
      </c>
      <c r="C1049" s="4">
        <f>IF(A1049="","",IFERROR(VLOOKUP(B1049,TblArticles,2,FALSE),"GTIN inconnu"))</f>
        <v/>
      </c>
      <c r="D1049" s="5">
        <f>IF(A1049="","",IFERROR(VLOOKUP(B1049,TblArticles,3,FALSE),""))</f>
        <v/>
      </c>
      <c r="E1049" s="6">
        <f>IFERROR(DATE(2000+VALUE(MID(A1049,FIND("15",A1049,FIND("01",A1049)+16)+2,2)),VALUE(MID(A1049,FIND("15",A1049,FIND("01",A1049)+16)+4,2)),VALUE(MID(A1049,FIND("15",A1049,FIND("01",A1049)+16)+6,2))),"")</f>
        <v/>
      </c>
      <c r="F1049" s="5">
        <f>IFERROR(MID(A1049,FIND("10",A1049,FIND("15",A1049,FIND("01",A1049)+16)+8)+2,50),"")</f>
        <v/>
      </c>
      <c r="G1049" s="5" t="n"/>
    </row>
    <row r="1050">
      <c r="A1050" s="7" t="n"/>
      <c r="B1050" s="8">
        <f>IFERROR(MID(A1050,FIND("01",A1050)+2,14),"")</f>
        <v/>
      </c>
      <c r="C1050" s="7">
        <f>IF(A1050="","",IFERROR(VLOOKUP(B1050,TblArticles,2,FALSE),"GTIN inconnu"))</f>
        <v/>
      </c>
      <c r="D1050" s="8">
        <f>IF(A1050="","",IFERROR(VLOOKUP(B1050,TblArticles,3,FALSE),""))</f>
        <v/>
      </c>
      <c r="E1050" s="9">
        <f>IFERROR(DATE(2000+VALUE(MID(A1050,FIND("15",A1050,FIND("01",A1050)+16)+2,2)),VALUE(MID(A1050,FIND("15",A1050,FIND("01",A1050)+16)+4,2)),VALUE(MID(A1050,FIND("15",A1050,FIND("01",A1050)+16)+6,2))),"")</f>
        <v/>
      </c>
      <c r="F1050" s="8">
        <f>IFERROR(MID(A1050,FIND("10",A1050,FIND("15",A1050,FIND("01",A1050)+16)+8)+2,50),"")</f>
        <v/>
      </c>
      <c r="G1050" s="8" t="n"/>
    </row>
    <row r="1051">
      <c r="A1051" s="4" t="n"/>
      <c r="B1051" s="5">
        <f>IFERROR(MID(A1051,FIND("01",A1051)+2,14),"")</f>
        <v/>
      </c>
      <c r="C1051" s="4">
        <f>IF(A1051="","",IFERROR(VLOOKUP(B1051,TblArticles,2,FALSE),"GTIN inconnu"))</f>
        <v/>
      </c>
      <c r="D1051" s="5">
        <f>IF(A1051="","",IFERROR(VLOOKUP(B1051,TblArticles,3,FALSE),""))</f>
        <v/>
      </c>
      <c r="E1051" s="6">
        <f>IFERROR(DATE(2000+VALUE(MID(A1051,FIND("15",A1051,FIND("01",A1051)+16)+2,2)),VALUE(MID(A1051,FIND("15",A1051,FIND("01",A1051)+16)+4,2)),VALUE(MID(A1051,FIND("15",A1051,FIND("01",A1051)+16)+6,2))),"")</f>
        <v/>
      </c>
      <c r="F1051" s="5">
        <f>IFERROR(MID(A1051,FIND("10",A1051,FIND("15",A1051,FIND("01",A1051)+16)+8)+2,50),"")</f>
        <v/>
      </c>
      <c r="G1051" s="5" t="n"/>
    </row>
    <row r="1052">
      <c r="A1052" s="7" t="n"/>
      <c r="B1052" s="8">
        <f>IFERROR(MID(A1052,FIND("01",A1052)+2,14),"")</f>
        <v/>
      </c>
      <c r="C1052" s="7">
        <f>IF(A1052="","",IFERROR(VLOOKUP(B1052,TblArticles,2,FALSE),"GTIN inconnu"))</f>
        <v/>
      </c>
      <c r="D1052" s="8">
        <f>IF(A1052="","",IFERROR(VLOOKUP(B1052,TblArticles,3,FALSE),""))</f>
        <v/>
      </c>
      <c r="E1052" s="9">
        <f>IFERROR(DATE(2000+VALUE(MID(A1052,FIND("15",A1052,FIND("01",A1052)+16)+2,2)),VALUE(MID(A1052,FIND("15",A1052,FIND("01",A1052)+16)+4,2)),VALUE(MID(A1052,FIND("15",A1052,FIND("01",A1052)+16)+6,2))),"")</f>
        <v/>
      </c>
      <c r="F1052" s="8">
        <f>IFERROR(MID(A1052,FIND("10",A1052,FIND("15",A1052,FIND("01",A1052)+16)+8)+2,50),"")</f>
        <v/>
      </c>
      <c r="G1052" s="8" t="n"/>
    </row>
    <row r="1053">
      <c r="A1053" s="4" t="n"/>
      <c r="B1053" s="5">
        <f>IFERROR(MID(A1053,FIND("01",A1053)+2,14),"")</f>
        <v/>
      </c>
      <c r="C1053" s="4">
        <f>IF(A1053="","",IFERROR(VLOOKUP(B1053,TblArticles,2,FALSE),"GTIN inconnu"))</f>
        <v/>
      </c>
      <c r="D1053" s="5">
        <f>IF(A1053="","",IFERROR(VLOOKUP(B1053,TblArticles,3,FALSE),""))</f>
        <v/>
      </c>
      <c r="E1053" s="6">
        <f>IFERROR(DATE(2000+VALUE(MID(A1053,FIND("15",A1053,FIND("01",A1053)+16)+2,2)),VALUE(MID(A1053,FIND("15",A1053,FIND("01",A1053)+16)+4,2)),VALUE(MID(A1053,FIND("15",A1053,FIND("01",A1053)+16)+6,2))),"")</f>
        <v/>
      </c>
      <c r="F1053" s="5">
        <f>IFERROR(MID(A1053,FIND("10",A1053,FIND("15",A1053,FIND("01",A1053)+16)+8)+2,50),"")</f>
        <v/>
      </c>
      <c r="G1053" s="5" t="n"/>
    </row>
    <row r="1054">
      <c r="A1054" s="7" t="n"/>
      <c r="B1054" s="8">
        <f>IFERROR(MID(A1054,FIND("01",A1054)+2,14),"")</f>
        <v/>
      </c>
      <c r="C1054" s="7">
        <f>IF(A1054="","",IFERROR(VLOOKUP(B1054,TblArticles,2,FALSE),"GTIN inconnu"))</f>
        <v/>
      </c>
      <c r="D1054" s="8">
        <f>IF(A1054="","",IFERROR(VLOOKUP(B1054,TblArticles,3,FALSE),""))</f>
        <v/>
      </c>
      <c r="E1054" s="9">
        <f>IFERROR(DATE(2000+VALUE(MID(A1054,FIND("15",A1054,FIND("01",A1054)+16)+2,2)),VALUE(MID(A1054,FIND("15",A1054,FIND("01",A1054)+16)+4,2)),VALUE(MID(A1054,FIND("15",A1054,FIND("01",A1054)+16)+6,2))),"")</f>
        <v/>
      </c>
      <c r="F1054" s="8">
        <f>IFERROR(MID(A1054,FIND("10",A1054,FIND("15",A1054,FIND("01",A1054)+16)+8)+2,50),"")</f>
        <v/>
      </c>
      <c r="G1054" s="8" t="n"/>
    </row>
    <row r="1055">
      <c r="A1055" s="4" t="n"/>
      <c r="B1055" s="5">
        <f>IFERROR(MID(A1055,FIND("01",A1055)+2,14),"")</f>
        <v/>
      </c>
      <c r="C1055" s="4">
        <f>IF(A1055="","",IFERROR(VLOOKUP(B1055,TblArticles,2,FALSE),"GTIN inconnu"))</f>
        <v/>
      </c>
      <c r="D1055" s="5">
        <f>IF(A1055="","",IFERROR(VLOOKUP(B1055,TblArticles,3,FALSE),""))</f>
        <v/>
      </c>
      <c r="E1055" s="6">
        <f>IFERROR(DATE(2000+VALUE(MID(A1055,FIND("15",A1055,FIND("01",A1055)+16)+2,2)),VALUE(MID(A1055,FIND("15",A1055,FIND("01",A1055)+16)+4,2)),VALUE(MID(A1055,FIND("15",A1055,FIND("01",A1055)+16)+6,2))),"")</f>
        <v/>
      </c>
      <c r="F1055" s="5">
        <f>IFERROR(MID(A1055,FIND("10",A1055,FIND("15",A1055,FIND("01",A1055)+16)+8)+2,50),"")</f>
        <v/>
      </c>
      <c r="G1055" s="5" t="n"/>
    </row>
    <row r="1056">
      <c r="A1056" s="7" t="n"/>
      <c r="B1056" s="8">
        <f>IFERROR(MID(A1056,FIND("01",A1056)+2,14),"")</f>
        <v/>
      </c>
      <c r="C1056" s="7">
        <f>IF(A1056="","",IFERROR(VLOOKUP(B1056,TblArticles,2,FALSE),"GTIN inconnu"))</f>
        <v/>
      </c>
      <c r="D1056" s="8">
        <f>IF(A1056="","",IFERROR(VLOOKUP(B1056,TblArticles,3,FALSE),""))</f>
        <v/>
      </c>
      <c r="E1056" s="9">
        <f>IFERROR(DATE(2000+VALUE(MID(A1056,FIND("15",A1056,FIND("01",A1056)+16)+2,2)),VALUE(MID(A1056,FIND("15",A1056,FIND("01",A1056)+16)+4,2)),VALUE(MID(A1056,FIND("15",A1056,FIND("01",A1056)+16)+6,2))),"")</f>
        <v/>
      </c>
      <c r="F1056" s="8">
        <f>IFERROR(MID(A1056,FIND("10",A1056,FIND("15",A1056,FIND("01",A1056)+16)+8)+2,50),"")</f>
        <v/>
      </c>
      <c r="G1056" s="8" t="n"/>
    </row>
    <row r="1057">
      <c r="A1057" s="4" t="n"/>
      <c r="B1057" s="5">
        <f>IFERROR(MID(A1057,FIND("01",A1057)+2,14),"")</f>
        <v/>
      </c>
      <c r="C1057" s="4">
        <f>IF(A1057="","",IFERROR(VLOOKUP(B1057,TblArticles,2,FALSE),"GTIN inconnu"))</f>
        <v/>
      </c>
      <c r="D1057" s="5">
        <f>IF(A1057="","",IFERROR(VLOOKUP(B1057,TblArticles,3,FALSE),""))</f>
        <v/>
      </c>
      <c r="E1057" s="6">
        <f>IFERROR(DATE(2000+VALUE(MID(A1057,FIND("15",A1057,FIND("01",A1057)+16)+2,2)),VALUE(MID(A1057,FIND("15",A1057,FIND("01",A1057)+16)+4,2)),VALUE(MID(A1057,FIND("15",A1057,FIND("01",A1057)+16)+6,2))),"")</f>
        <v/>
      </c>
      <c r="F1057" s="5">
        <f>IFERROR(MID(A1057,FIND("10",A1057,FIND("15",A1057,FIND("01",A1057)+16)+8)+2,50),"")</f>
        <v/>
      </c>
      <c r="G1057" s="5" t="n"/>
    </row>
    <row r="1058">
      <c r="A1058" s="7" t="n"/>
      <c r="B1058" s="8">
        <f>IFERROR(MID(A1058,FIND("01",A1058)+2,14),"")</f>
        <v/>
      </c>
      <c r="C1058" s="7">
        <f>IF(A1058="","",IFERROR(VLOOKUP(B1058,TblArticles,2,FALSE),"GTIN inconnu"))</f>
        <v/>
      </c>
      <c r="D1058" s="8">
        <f>IF(A1058="","",IFERROR(VLOOKUP(B1058,TblArticles,3,FALSE),""))</f>
        <v/>
      </c>
      <c r="E1058" s="9">
        <f>IFERROR(DATE(2000+VALUE(MID(A1058,FIND("15",A1058,FIND("01",A1058)+16)+2,2)),VALUE(MID(A1058,FIND("15",A1058,FIND("01",A1058)+16)+4,2)),VALUE(MID(A1058,FIND("15",A1058,FIND("01",A1058)+16)+6,2))),"")</f>
        <v/>
      </c>
      <c r="F1058" s="8">
        <f>IFERROR(MID(A1058,FIND("10",A1058,FIND("15",A1058,FIND("01",A1058)+16)+8)+2,50),"")</f>
        <v/>
      </c>
      <c r="G1058" s="8" t="n"/>
    </row>
    <row r="1059">
      <c r="A1059" s="4" t="n"/>
      <c r="B1059" s="5">
        <f>IFERROR(MID(A1059,FIND("01",A1059)+2,14),"")</f>
        <v/>
      </c>
      <c r="C1059" s="4">
        <f>IF(A1059="","",IFERROR(VLOOKUP(B1059,TblArticles,2,FALSE),"GTIN inconnu"))</f>
        <v/>
      </c>
      <c r="D1059" s="5">
        <f>IF(A1059="","",IFERROR(VLOOKUP(B1059,TblArticles,3,FALSE),""))</f>
        <v/>
      </c>
      <c r="E1059" s="6">
        <f>IFERROR(DATE(2000+VALUE(MID(A1059,FIND("15",A1059,FIND("01",A1059)+16)+2,2)),VALUE(MID(A1059,FIND("15",A1059,FIND("01",A1059)+16)+4,2)),VALUE(MID(A1059,FIND("15",A1059,FIND("01",A1059)+16)+6,2))),"")</f>
        <v/>
      </c>
      <c r="F1059" s="5">
        <f>IFERROR(MID(A1059,FIND("10",A1059,FIND("15",A1059,FIND("01",A1059)+16)+8)+2,50),"")</f>
        <v/>
      </c>
      <c r="G1059" s="5" t="n"/>
    </row>
    <row r="1060">
      <c r="A1060" s="7" t="n"/>
      <c r="B1060" s="8">
        <f>IFERROR(MID(A1060,FIND("01",A1060)+2,14),"")</f>
        <v/>
      </c>
      <c r="C1060" s="7">
        <f>IF(A1060="","",IFERROR(VLOOKUP(B1060,TblArticles,2,FALSE),"GTIN inconnu"))</f>
        <v/>
      </c>
      <c r="D1060" s="8">
        <f>IF(A1060="","",IFERROR(VLOOKUP(B1060,TblArticles,3,FALSE),""))</f>
        <v/>
      </c>
      <c r="E1060" s="9">
        <f>IFERROR(DATE(2000+VALUE(MID(A1060,FIND("15",A1060,FIND("01",A1060)+16)+2,2)),VALUE(MID(A1060,FIND("15",A1060,FIND("01",A1060)+16)+4,2)),VALUE(MID(A1060,FIND("15",A1060,FIND("01",A1060)+16)+6,2))),"")</f>
        <v/>
      </c>
      <c r="F1060" s="8">
        <f>IFERROR(MID(A1060,FIND("10",A1060,FIND("15",A1060,FIND("01",A1060)+16)+8)+2,50),"")</f>
        <v/>
      </c>
      <c r="G1060" s="8" t="n"/>
    </row>
    <row r="1061">
      <c r="A1061" s="4" t="n"/>
      <c r="B1061" s="5">
        <f>IFERROR(MID(A1061,FIND("01",A1061)+2,14),"")</f>
        <v/>
      </c>
      <c r="C1061" s="4">
        <f>IF(A1061="","",IFERROR(VLOOKUP(B1061,TblArticles,2,FALSE),"GTIN inconnu"))</f>
        <v/>
      </c>
      <c r="D1061" s="5">
        <f>IF(A1061="","",IFERROR(VLOOKUP(B1061,TblArticles,3,FALSE),""))</f>
        <v/>
      </c>
      <c r="E1061" s="6">
        <f>IFERROR(DATE(2000+VALUE(MID(A1061,FIND("15",A1061,FIND("01",A1061)+16)+2,2)),VALUE(MID(A1061,FIND("15",A1061,FIND("01",A1061)+16)+4,2)),VALUE(MID(A1061,FIND("15",A1061,FIND("01",A1061)+16)+6,2))),"")</f>
        <v/>
      </c>
      <c r="F1061" s="5">
        <f>IFERROR(MID(A1061,FIND("10",A1061,FIND("15",A1061,FIND("01",A1061)+16)+8)+2,50),"")</f>
        <v/>
      </c>
      <c r="G1061" s="5" t="n"/>
    </row>
    <row r="1062">
      <c r="A1062" s="7" t="n"/>
      <c r="B1062" s="8">
        <f>IFERROR(MID(A1062,FIND("01",A1062)+2,14),"")</f>
        <v/>
      </c>
      <c r="C1062" s="7">
        <f>IF(A1062="","",IFERROR(VLOOKUP(B1062,TblArticles,2,FALSE),"GTIN inconnu"))</f>
        <v/>
      </c>
      <c r="D1062" s="8">
        <f>IF(A1062="","",IFERROR(VLOOKUP(B1062,TblArticles,3,FALSE),""))</f>
        <v/>
      </c>
      <c r="E1062" s="9">
        <f>IFERROR(DATE(2000+VALUE(MID(A1062,FIND("15",A1062,FIND("01",A1062)+16)+2,2)),VALUE(MID(A1062,FIND("15",A1062,FIND("01",A1062)+16)+4,2)),VALUE(MID(A1062,FIND("15",A1062,FIND("01",A1062)+16)+6,2))),"")</f>
        <v/>
      </c>
      <c r="F1062" s="8">
        <f>IFERROR(MID(A1062,FIND("10",A1062,FIND("15",A1062,FIND("01",A1062)+16)+8)+2,50),"")</f>
        <v/>
      </c>
      <c r="G1062" s="8" t="n"/>
    </row>
    <row r="1063">
      <c r="A1063" s="4" t="n"/>
      <c r="B1063" s="5">
        <f>IFERROR(MID(A1063,FIND("01",A1063)+2,14),"")</f>
        <v/>
      </c>
      <c r="C1063" s="4">
        <f>IF(A1063="","",IFERROR(VLOOKUP(B1063,TblArticles,2,FALSE),"GTIN inconnu"))</f>
        <v/>
      </c>
      <c r="D1063" s="5">
        <f>IF(A1063="","",IFERROR(VLOOKUP(B1063,TblArticles,3,FALSE),""))</f>
        <v/>
      </c>
      <c r="E1063" s="6">
        <f>IFERROR(DATE(2000+VALUE(MID(A1063,FIND("15",A1063,FIND("01",A1063)+16)+2,2)),VALUE(MID(A1063,FIND("15",A1063,FIND("01",A1063)+16)+4,2)),VALUE(MID(A1063,FIND("15",A1063,FIND("01",A1063)+16)+6,2))),"")</f>
        <v/>
      </c>
      <c r="F1063" s="5">
        <f>IFERROR(MID(A1063,FIND("10",A1063,FIND("15",A1063,FIND("01",A1063)+16)+8)+2,50),"")</f>
        <v/>
      </c>
      <c r="G1063" s="5" t="n"/>
    </row>
    <row r="1064">
      <c r="A1064" s="7" t="n"/>
      <c r="B1064" s="8">
        <f>IFERROR(MID(A1064,FIND("01",A1064)+2,14),"")</f>
        <v/>
      </c>
      <c r="C1064" s="7">
        <f>IF(A1064="","",IFERROR(VLOOKUP(B1064,TblArticles,2,FALSE),"GTIN inconnu"))</f>
        <v/>
      </c>
      <c r="D1064" s="8">
        <f>IF(A1064="","",IFERROR(VLOOKUP(B1064,TblArticles,3,FALSE),""))</f>
        <v/>
      </c>
      <c r="E1064" s="9">
        <f>IFERROR(DATE(2000+VALUE(MID(A1064,FIND("15",A1064,FIND("01",A1064)+16)+2,2)),VALUE(MID(A1064,FIND("15",A1064,FIND("01",A1064)+16)+4,2)),VALUE(MID(A1064,FIND("15",A1064,FIND("01",A1064)+16)+6,2))),"")</f>
        <v/>
      </c>
      <c r="F1064" s="8">
        <f>IFERROR(MID(A1064,FIND("10",A1064,FIND("15",A1064,FIND("01",A1064)+16)+8)+2,50),"")</f>
        <v/>
      </c>
      <c r="G1064" s="8" t="n"/>
    </row>
    <row r="1065">
      <c r="A1065" s="4" t="n"/>
      <c r="B1065" s="5">
        <f>IFERROR(MID(A1065,FIND("01",A1065)+2,14),"")</f>
        <v/>
      </c>
      <c r="C1065" s="4">
        <f>IF(A1065="","",IFERROR(VLOOKUP(B1065,TblArticles,2,FALSE),"GTIN inconnu"))</f>
        <v/>
      </c>
      <c r="D1065" s="5">
        <f>IF(A1065="","",IFERROR(VLOOKUP(B1065,TblArticles,3,FALSE),""))</f>
        <v/>
      </c>
      <c r="E1065" s="6">
        <f>IFERROR(DATE(2000+VALUE(MID(A1065,FIND("15",A1065,FIND("01",A1065)+16)+2,2)),VALUE(MID(A1065,FIND("15",A1065,FIND("01",A1065)+16)+4,2)),VALUE(MID(A1065,FIND("15",A1065,FIND("01",A1065)+16)+6,2))),"")</f>
        <v/>
      </c>
      <c r="F1065" s="5">
        <f>IFERROR(MID(A1065,FIND("10",A1065,FIND("15",A1065,FIND("01",A1065)+16)+8)+2,50),"")</f>
        <v/>
      </c>
      <c r="G1065" s="5" t="n"/>
    </row>
    <row r="1066">
      <c r="A1066" s="7" t="n"/>
      <c r="B1066" s="8">
        <f>IFERROR(MID(A1066,FIND("01",A1066)+2,14),"")</f>
        <v/>
      </c>
      <c r="C1066" s="7">
        <f>IF(A1066="","",IFERROR(VLOOKUP(B1066,TblArticles,2,FALSE),"GTIN inconnu"))</f>
        <v/>
      </c>
      <c r="D1066" s="8">
        <f>IF(A1066="","",IFERROR(VLOOKUP(B1066,TblArticles,3,FALSE),""))</f>
        <v/>
      </c>
      <c r="E1066" s="9">
        <f>IFERROR(DATE(2000+VALUE(MID(A1066,FIND("15",A1066,FIND("01",A1066)+16)+2,2)),VALUE(MID(A1066,FIND("15",A1066,FIND("01",A1066)+16)+4,2)),VALUE(MID(A1066,FIND("15",A1066,FIND("01",A1066)+16)+6,2))),"")</f>
        <v/>
      </c>
      <c r="F1066" s="8">
        <f>IFERROR(MID(A1066,FIND("10",A1066,FIND("15",A1066,FIND("01",A1066)+16)+8)+2,50),"")</f>
        <v/>
      </c>
      <c r="G1066" s="8" t="n"/>
    </row>
    <row r="1067">
      <c r="A1067" s="4" t="n"/>
      <c r="B1067" s="5">
        <f>IFERROR(MID(A1067,FIND("01",A1067)+2,14),"")</f>
        <v/>
      </c>
      <c r="C1067" s="4">
        <f>IF(A1067="","",IFERROR(VLOOKUP(B1067,TblArticles,2,FALSE),"GTIN inconnu"))</f>
        <v/>
      </c>
      <c r="D1067" s="5">
        <f>IF(A1067="","",IFERROR(VLOOKUP(B1067,TblArticles,3,FALSE),""))</f>
        <v/>
      </c>
      <c r="E1067" s="6">
        <f>IFERROR(DATE(2000+VALUE(MID(A1067,FIND("15",A1067,FIND("01",A1067)+16)+2,2)),VALUE(MID(A1067,FIND("15",A1067,FIND("01",A1067)+16)+4,2)),VALUE(MID(A1067,FIND("15",A1067,FIND("01",A1067)+16)+6,2))),"")</f>
        <v/>
      </c>
      <c r="F1067" s="5">
        <f>IFERROR(MID(A1067,FIND("10",A1067,FIND("15",A1067,FIND("01",A1067)+16)+8)+2,50),"")</f>
        <v/>
      </c>
      <c r="G1067" s="5" t="n"/>
    </row>
    <row r="1068">
      <c r="A1068" s="7" t="n"/>
      <c r="B1068" s="8">
        <f>IFERROR(MID(A1068,FIND("01",A1068)+2,14),"")</f>
        <v/>
      </c>
      <c r="C1068" s="7">
        <f>IF(A1068="","",IFERROR(VLOOKUP(B1068,TblArticles,2,FALSE),"GTIN inconnu"))</f>
        <v/>
      </c>
      <c r="D1068" s="8">
        <f>IF(A1068="","",IFERROR(VLOOKUP(B1068,TblArticles,3,FALSE),""))</f>
        <v/>
      </c>
      <c r="E1068" s="9">
        <f>IFERROR(DATE(2000+VALUE(MID(A1068,FIND("15",A1068,FIND("01",A1068)+16)+2,2)),VALUE(MID(A1068,FIND("15",A1068,FIND("01",A1068)+16)+4,2)),VALUE(MID(A1068,FIND("15",A1068,FIND("01",A1068)+16)+6,2))),"")</f>
        <v/>
      </c>
      <c r="F1068" s="8">
        <f>IFERROR(MID(A1068,FIND("10",A1068,FIND("15",A1068,FIND("01",A1068)+16)+8)+2,50),"")</f>
        <v/>
      </c>
      <c r="G1068" s="8" t="n"/>
    </row>
    <row r="1069">
      <c r="A1069" s="4" t="n"/>
      <c r="B1069" s="5">
        <f>IFERROR(MID(A1069,FIND("01",A1069)+2,14),"")</f>
        <v/>
      </c>
      <c r="C1069" s="4">
        <f>IF(A1069="","",IFERROR(VLOOKUP(B1069,TblArticles,2,FALSE),"GTIN inconnu"))</f>
        <v/>
      </c>
      <c r="D1069" s="5">
        <f>IF(A1069="","",IFERROR(VLOOKUP(B1069,TblArticles,3,FALSE),""))</f>
        <v/>
      </c>
      <c r="E1069" s="6">
        <f>IFERROR(DATE(2000+VALUE(MID(A1069,FIND("15",A1069,FIND("01",A1069)+16)+2,2)),VALUE(MID(A1069,FIND("15",A1069,FIND("01",A1069)+16)+4,2)),VALUE(MID(A1069,FIND("15",A1069,FIND("01",A1069)+16)+6,2))),"")</f>
        <v/>
      </c>
      <c r="F1069" s="5">
        <f>IFERROR(MID(A1069,FIND("10",A1069,FIND("15",A1069,FIND("01",A1069)+16)+8)+2,50),"")</f>
        <v/>
      </c>
      <c r="G1069" s="5" t="n"/>
    </row>
    <row r="1070">
      <c r="A1070" s="7" t="n"/>
      <c r="B1070" s="8">
        <f>IFERROR(MID(A1070,FIND("01",A1070)+2,14),"")</f>
        <v/>
      </c>
      <c r="C1070" s="7">
        <f>IF(A1070="","",IFERROR(VLOOKUP(B1070,TblArticles,2,FALSE),"GTIN inconnu"))</f>
        <v/>
      </c>
      <c r="D1070" s="8">
        <f>IF(A1070="","",IFERROR(VLOOKUP(B1070,TblArticles,3,FALSE),""))</f>
        <v/>
      </c>
      <c r="E1070" s="9">
        <f>IFERROR(DATE(2000+VALUE(MID(A1070,FIND("15",A1070,FIND("01",A1070)+16)+2,2)),VALUE(MID(A1070,FIND("15",A1070,FIND("01",A1070)+16)+4,2)),VALUE(MID(A1070,FIND("15",A1070,FIND("01",A1070)+16)+6,2))),"")</f>
        <v/>
      </c>
      <c r="F1070" s="8">
        <f>IFERROR(MID(A1070,FIND("10",A1070,FIND("15",A1070,FIND("01",A1070)+16)+8)+2,50),"")</f>
        <v/>
      </c>
      <c r="G1070" s="8" t="n"/>
    </row>
    <row r="1071">
      <c r="A1071" s="4" t="n"/>
      <c r="B1071" s="5">
        <f>IFERROR(MID(A1071,FIND("01",A1071)+2,14),"")</f>
        <v/>
      </c>
      <c r="C1071" s="4">
        <f>IF(A1071="","",IFERROR(VLOOKUP(B1071,TblArticles,2,FALSE),"GTIN inconnu"))</f>
        <v/>
      </c>
      <c r="D1071" s="5">
        <f>IF(A1071="","",IFERROR(VLOOKUP(B1071,TblArticles,3,FALSE),""))</f>
        <v/>
      </c>
      <c r="E1071" s="6">
        <f>IFERROR(DATE(2000+VALUE(MID(A1071,FIND("15",A1071,FIND("01",A1071)+16)+2,2)),VALUE(MID(A1071,FIND("15",A1071,FIND("01",A1071)+16)+4,2)),VALUE(MID(A1071,FIND("15",A1071,FIND("01",A1071)+16)+6,2))),"")</f>
        <v/>
      </c>
      <c r="F1071" s="5">
        <f>IFERROR(MID(A1071,FIND("10",A1071,FIND("15",A1071,FIND("01",A1071)+16)+8)+2,50),"")</f>
        <v/>
      </c>
      <c r="G1071" s="5" t="n"/>
    </row>
    <row r="1072">
      <c r="A1072" s="7" t="n"/>
      <c r="B1072" s="8">
        <f>IFERROR(MID(A1072,FIND("01",A1072)+2,14),"")</f>
        <v/>
      </c>
      <c r="C1072" s="7">
        <f>IF(A1072="","",IFERROR(VLOOKUP(B1072,TblArticles,2,FALSE),"GTIN inconnu"))</f>
        <v/>
      </c>
      <c r="D1072" s="8">
        <f>IF(A1072="","",IFERROR(VLOOKUP(B1072,TblArticles,3,FALSE),""))</f>
        <v/>
      </c>
      <c r="E1072" s="9">
        <f>IFERROR(DATE(2000+VALUE(MID(A1072,FIND("15",A1072,FIND("01",A1072)+16)+2,2)),VALUE(MID(A1072,FIND("15",A1072,FIND("01",A1072)+16)+4,2)),VALUE(MID(A1072,FIND("15",A1072,FIND("01",A1072)+16)+6,2))),"")</f>
        <v/>
      </c>
      <c r="F1072" s="8">
        <f>IFERROR(MID(A1072,FIND("10",A1072,FIND("15",A1072,FIND("01",A1072)+16)+8)+2,50),"")</f>
        <v/>
      </c>
      <c r="G1072" s="8" t="n"/>
    </row>
    <row r="1073">
      <c r="A1073" s="4" t="n"/>
      <c r="B1073" s="5">
        <f>IFERROR(MID(A1073,FIND("01",A1073)+2,14),"")</f>
        <v/>
      </c>
      <c r="C1073" s="4">
        <f>IF(A1073="","",IFERROR(VLOOKUP(B1073,TblArticles,2,FALSE),"GTIN inconnu"))</f>
        <v/>
      </c>
      <c r="D1073" s="5">
        <f>IF(A1073="","",IFERROR(VLOOKUP(B1073,TblArticles,3,FALSE),""))</f>
        <v/>
      </c>
      <c r="E1073" s="6">
        <f>IFERROR(DATE(2000+VALUE(MID(A1073,FIND("15",A1073,FIND("01",A1073)+16)+2,2)),VALUE(MID(A1073,FIND("15",A1073,FIND("01",A1073)+16)+4,2)),VALUE(MID(A1073,FIND("15",A1073,FIND("01",A1073)+16)+6,2))),"")</f>
        <v/>
      </c>
      <c r="F1073" s="5">
        <f>IFERROR(MID(A1073,FIND("10",A1073,FIND("15",A1073,FIND("01",A1073)+16)+8)+2,50),"")</f>
        <v/>
      </c>
      <c r="G1073" s="5" t="n"/>
    </row>
    <row r="1074">
      <c r="A1074" s="7" t="n"/>
      <c r="B1074" s="8">
        <f>IFERROR(MID(A1074,FIND("01",A1074)+2,14),"")</f>
        <v/>
      </c>
      <c r="C1074" s="7">
        <f>IF(A1074="","",IFERROR(VLOOKUP(B1074,TblArticles,2,FALSE),"GTIN inconnu"))</f>
        <v/>
      </c>
      <c r="D1074" s="8">
        <f>IF(A1074="","",IFERROR(VLOOKUP(B1074,TblArticles,3,FALSE),""))</f>
        <v/>
      </c>
      <c r="E1074" s="9">
        <f>IFERROR(DATE(2000+VALUE(MID(A1074,FIND("15",A1074,FIND("01",A1074)+16)+2,2)),VALUE(MID(A1074,FIND("15",A1074,FIND("01",A1074)+16)+4,2)),VALUE(MID(A1074,FIND("15",A1074,FIND("01",A1074)+16)+6,2))),"")</f>
        <v/>
      </c>
      <c r="F1074" s="8">
        <f>IFERROR(MID(A1074,FIND("10",A1074,FIND("15",A1074,FIND("01",A1074)+16)+8)+2,50),"")</f>
        <v/>
      </c>
      <c r="G1074" s="8" t="n"/>
    </row>
    <row r="1075">
      <c r="A1075" s="4" t="n"/>
      <c r="B1075" s="5">
        <f>IFERROR(MID(A1075,FIND("01",A1075)+2,14),"")</f>
        <v/>
      </c>
      <c r="C1075" s="4">
        <f>IF(A1075="","",IFERROR(VLOOKUP(B1075,TblArticles,2,FALSE),"GTIN inconnu"))</f>
        <v/>
      </c>
      <c r="D1075" s="5">
        <f>IF(A1075="","",IFERROR(VLOOKUP(B1075,TblArticles,3,FALSE),""))</f>
        <v/>
      </c>
      <c r="E1075" s="6">
        <f>IFERROR(DATE(2000+VALUE(MID(A1075,FIND("15",A1075,FIND("01",A1075)+16)+2,2)),VALUE(MID(A1075,FIND("15",A1075,FIND("01",A1075)+16)+4,2)),VALUE(MID(A1075,FIND("15",A1075,FIND("01",A1075)+16)+6,2))),"")</f>
        <v/>
      </c>
      <c r="F1075" s="5">
        <f>IFERROR(MID(A1075,FIND("10",A1075,FIND("15",A1075,FIND("01",A1075)+16)+8)+2,50),"")</f>
        <v/>
      </c>
      <c r="G1075" s="5" t="n"/>
    </row>
    <row r="1076">
      <c r="A1076" s="7" t="n"/>
      <c r="B1076" s="8">
        <f>IFERROR(MID(A1076,FIND("01",A1076)+2,14),"")</f>
        <v/>
      </c>
      <c r="C1076" s="7">
        <f>IF(A1076="","",IFERROR(VLOOKUP(B1076,TblArticles,2,FALSE),"GTIN inconnu"))</f>
        <v/>
      </c>
      <c r="D1076" s="8">
        <f>IF(A1076="","",IFERROR(VLOOKUP(B1076,TblArticles,3,FALSE),""))</f>
        <v/>
      </c>
      <c r="E1076" s="9">
        <f>IFERROR(DATE(2000+VALUE(MID(A1076,FIND("15",A1076,FIND("01",A1076)+16)+2,2)),VALUE(MID(A1076,FIND("15",A1076,FIND("01",A1076)+16)+4,2)),VALUE(MID(A1076,FIND("15",A1076,FIND("01",A1076)+16)+6,2))),"")</f>
        <v/>
      </c>
      <c r="F1076" s="8">
        <f>IFERROR(MID(A1076,FIND("10",A1076,FIND("15",A1076,FIND("01",A1076)+16)+8)+2,50),"")</f>
        <v/>
      </c>
      <c r="G1076" s="8" t="n"/>
    </row>
    <row r="1077">
      <c r="A1077" s="4" t="n"/>
      <c r="B1077" s="5">
        <f>IFERROR(MID(A1077,FIND("01",A1077)+2,14),"")</f>
        <v/>
      </c>
      <c r="C1077" s="4">
        <f>IF(A1077="","",IFERROR(VLOOKUP(B1077,TblArticles,2,FALSE),"GTIN inconnu"))</f>
        <v/>
      </c>
      <c r="D1077" s="5">
        <f>IF(A1077="","",IFERROR(VLOOKUP(B1077,TblArticles,3,FALSE),""))</f>
        <v/>
      </c>
      <c r="E1077" s="6">
        <f>IFERROR(DATE(2000+VALUE(MID(A1077,FIND("15",A1077,FIND("01",A1077)+16)+2,2)),VALUE(MID(A1077,FIND("15",A1077,FIND("01",A1077)+16)+4,2)),VALUE(MID(A1077,FIND("15",A1077,FIND("01",A1077)+16)+6,2))),"")</f>
        <v/>
      </c>
      <c r="F1077" s="5">
        <f>IFERROR(MID(A1077,FIND("10",A1077,FIND("15",A1077,FIND("01",A1077)+16)+8)+2,50),"")</f>
        <v/>
      </c>
      <c r="G1077" s="5" t="n"/>
    </row>
    <row r="1078">
      <c r="A1078" s="7" t="n"/>
      <c r="B1078" s="8">
        <f>IFERROR(MID(A1078,FIND("01",A1078)+2,14),"")</f>
        <v/>
      </c>
      <c r="C1078" s="7">
        <f>IF(A1078="","",IFERROR(VLOOKUP(B1078,TblArticles,2,FALSE),"GTIN inconnu"))</f>
        <v/>
      </c>
      <c r="D1078" s="8">
        <f>IF(A1078="","",IFERROR(VLOOKUP(B1078,TblArticles,3,FALSE),""))</f>
        <v/>
      </c>
      <c r="E1078" s="9">
        <f>IFERROR(DATE(2000+VALUE(MID(A1078,FIND("15",A1078,FIND("01",A1078)+16)+2,2)),VALUE(MID(A1078,FIND("15",A1078,FIND("01",A1078)+16)+4,2)),VALUE(MID(A1078,FIND("15",A1078,FIND("01",A1078)+16)+6,2))),"")</f>
        <v/>
      </c>
      <c r="F1078" s="8">
        <f>IFERROR(MID(A1078,FIND("10",A1078,FIND("15",A1078,FIND("01",A1078)+16)+8)+2,50),"")</f>
        <v/>
      </c>
      <c r="G1078" s="8" t="n"/>
    </row>
    <row r="1079">
      <c r="A1079" s="4" t="n"/>
      <c r="B1079" s="5">
        <f>IFERROR(MID(A1079,FIND("01",A1079)+2,14),"")</f>
        <v/>
      </c>
      <c r="C1079" s="4">
        <f>IF(A1079="","",IFERROR(VLOOKUP(B1079,TblArticles,2,FALSE),"GTIN inconnu"))</f>
        <v/>
      </c>
      <c r="D1079" s="5">
        <f>IF(A1079="","",IFERROR(VLOOKUP(B1079,TblArticles,3,FALSE),""))</f>
        <v/>
      </c>
      <c r="E1079" s="6">
        <f>IFERROR(DATE(2000+VALUE(MID(A1079,FIND("15",A1079,FIND("01",A1079)+16)+2,2)),VALUE(MID(A1079,FIND("15",A1079,FIND("01",A1079)+16)+4,2)),VALUE(MID(A1079,FIND("15",A1079,FIND("01",A1079)+16)+6,2))),"")</f>
        <v/>
      </c>
      <c r="F1079" s="5">
        <f>IFERROR(MID(A1079,FIND("10",A1079,FIND("15",A1079,FIND("01",A1079)+16)+8)+2,50),"")</f>
        <v/>
      </c>
      <c r="G1079" s="5" t="n"/>
    </row>
    <row r="1080">
      <c r="A1080" s="7" t="n"/>
      <c r="B1080" s="8">
        <f>IFERROR(MID(A1080,FIND("01",A1080)+2,14),"")</f>
        <v/>
      </c>
      <c r="C1080" s="7">
        <f>IF(A1080="","",IFERROR(VLOOKUP(B1080,TblArticles,2,FALSE),"GTIN inconnu"))</f>
        <v/>
      </c>
      <c r="D1080" s="8">
        <f>IF(A1080="","",IFERROR(VLOOKUP(B1080,TblArticles,3,FALSE),""))</f>
        <v/>
      </c>
      <c r="E1080" s="9">
        <f>IFERROR(DATE(2000+VALUE(MID(A1080,FIND("15",A1080,FIND("01",A1080)+16)+2,2)),VALUE(MID(A1080,FIND("15",A1080,FIND("01",A1080)+16)+4,2)),VALUE(MID(A1080,FIND("15",A1080,FIND("01",A1080)+16)+6,2))),"")</f>
        <v/>
      </c>
      <c r="F1080" s="8">
        <f>IFERROR(MID(A1080,FIND("10",A1080,FIND("15",A1080,FIND("01",A1080)+16)+8)+2,50),"")</f>
        <v/>
      </c>
      <c r="G1080" s="8" t="n"/>
    </row>
    <row r="1081">
      <c r="A1081" s="4" t="n"/>
      <c r="B1081" s="5">
        <f>IFERROR(MID(A1081,FIND("01",A1081)+2,14),"")</f>
        <v/>
      </c>
      <c r="C1081" s="4">
        <f>IF(A1081="","",IFERROR(VLOOKUP(B1081,TblArticles,2,FALSE),"GTIN inconnu"))</f>
        <v/>
      </c>
      <c r="D1081" s="5">
        <f>IF(A1081="","",IFERROR(VLOOKUP(B1081,TblArticles,3,FALSE),""))</f>
        <v/>
      </c>
      <c r="E1081" s="6">
        <f>IFERROR(DATE(2000+VALUE(MID(A1081,FIND("15",A1081,FIND("01",A1081)+16)+2,2)),VALUE(MID(A1081,FIND("15",A1081,FIND("01",A1081)+16)+4,2)),VALUE(MID(A1081,FIND("15",A1081,FIND("01",A1081)+16)+6,2))),"")</f>
        <v/>
      </c>
      <c r="F1081" s="5">
        <f>IFERROR(MID(A1081,FIND("10",A1081,FIND("15",A1081,FIND("01",A1081)+16)+8)+2,50),"")</f>
        <v/>
      </c>
      <c r="G1081" s="5" t="n"/>
    </row>
    <row r="1082">
      <c r="A1082" s="7" t="n"/>
      <c r="B1082" s="8">
        <f>IFERROR(MID(A1082,FIND("01",A1082)+2,14),"")</f>
        <v/>
      </c>
      <c r="C1082" s="7">
        <f>IF(A1082="","",IFERROR(VLOOKUP(B1082,TblArticles,2,FALSE),"GTIN inconnu"))</f>
        <v/>
      </c>
      <c r="D1082" s="8">
        <f>IF(A1082="","",IFERROR(VLOOKUP(B1082,TblArticles,3,FALSE),""))</f>
        <v/>
      </c>
      <c r="E1082" s="9">
        <f>IFERROR(DATE(2000+VALUE(MID(A1082,FIND("15",A1082,FIND("01",A1082)+16)+2,2)),VALUE(MID(A1082,FIND("15",A1082,FIND("01",A1082)+16)+4,2)),VALUE(MID(A1082,FIND("15",A1082,FIND("01",A1082)+16)+6,2))),"")</f>
        <v/>
      </c>
      <c r="F1082" s="8">
        <f>IFERROR(MID(A1082,FIND("10",A1082,FIND("15",A1082,FIND("01",A1082)+16)+8)+2,50),"")</f>
        <v/>
      </c>
      <c r="G1082" s="8" t="n"/>
    </row>
    <row r="1083">
      <c r="A1083" s="4" t="n"/>
      <c r="B1083" s="5">
        <f>IFERROR(MID(A1083,FIND("01",A1083)+2,14),"")</f>
        <v/>
      </c>
      <c r="C1083" s="4">
        <f>IF(A1083="","",IFERROR(VLOOKUP(B1083,TblArticles,2,FALSE),"GTIN inconnu"))</f>
        <v/>
      </c>
      <c r="D1083" s="5">
        <f>IF(A1083="","",IFERROR(VLOOKUP(B1083,TblArticles,3,FALSE),""))</f>
        <v/>
      </c>
      <c r="E1083" s="6">
        <f>IFERROR(DATE(2000+VALUE(MID(A1083,FIND("15",A1083,FIND("01",A1083)+16)+2,2)),VALUE(MID(A1083,FIND("15",A1083,FIND("01",A1083)+16)+4,2)),VALUE(MID(A1083,FIND("15",A1083,FIND("01",A1083)+16)+6,2))),"")</f>
        <v/>
      </c>
      <c r="F1083" s="5">
        <f>IFERROR(MID(A1083,FIND("10",A1083,FIND("15",A1083,FIND("01",A1083)+16)+8)+2,50),"")</f>
        <v/>
      </c>
      <c r="G1083" s="5" t="n"/>
    </row>
    <row r="1084">
      <c r="A1084" s="7" t="n"/>
      <c r="B1084" s="8">
        <f>IFERROR(MID(A1084,FIND("01",A1084)+2,14),"")</f>
        <v/>
      </c>
      <c r="C1084" s="7">
        <f>IF(A1084="","",IFERROR(VLOOKUP(B1084,TblArticles,2,FALSE),"GTIN inconnu"))</f>
        <v/>
      </c>
      <c r="D1084" s="8">
        <f>IF(A1084="","",IFERROR(VLOOKUP(B1084,TblArticles,3,FALSE),""))</f>
        <v/>
      </c>
      <c r="E1084" s="9">
        <f>IFERROR(DATE(2000+VALUE(MID(A1084,FIND("15",A1084,FIND("01",A1084)+16)+2,2)),VALUE(MID(A1084,FIND("15",A1084,FIND("01",A1084)+16)+4,2)),VALUE(MID(A1084,FIND("15",A1084,FIND("01",A1084)+16)+6,2))),"")</f>
        <v/>
      </c>
      <c r="F1084" s="8">
        <f>IFERROR(MID(A1084,FIND("10",A1084,FIND("15",A1084,FIND("01",A1084)+16)+8)+2,50),"")</f>
        <v/>
      </c>
      <c r="G1084" s="8" t="n"/>
    </row>
    <row r="1085">
      <c r="A1085" s="4" t="n"/>
      <c r="B1085" s="5">
        <f>IFERROR(MID(A1085,FIND("01",A1085)+2,14),"")</f>
        <v/>
      </c>
      <c r="C1085" s="4">
        <f>IF(A1085="","",IFERROR(VLOOKUP(B1085,TblArticles,2,FALSE),"GTIN inconnu"))</f>
        <v/>
      </c>
      <c r="D1085" s="5">
        <f>IF(A1085="","",IFERROR(VLOOKUP(B1085,TblArticles,3,FALSE),""))</f>
        <v/>
      </c>
      <c r="E1085" s="6">
        <f>IFERROR(DATE(2000+VALUE(MID(A1085,FIND("15",A1085,FIND("01",A1085)+16)+2,2)),VALUE(MID(A1085,FIND("15",A1085,FIND("01",A1085)+16)+4,2)),VALUE(MID(A1085,FIND("15",A1085,FIND("01",A1085)+16)+6,2))),"")</f>
        <v/>
      </c>
      <c r="F1085" s="5">
        <f>IFERROR(MID(A1085,FIND("10",A1085,FIND("15",A1085,FIND("01",A1085)+16)+8)+2,50),"")</f>
        <v/>
      </c>
      <c r="G1085" s="5" t="n"/>
    </row>
    <row r="1086">
      <c r="A1086" s="7" t="n"/>
      <c r="B1086" s="8">
        <f>IFERROR(MID(A1086,FIND("01",A1086)+2,14),"")</f>
        <v/>
      </c>
      <c r="C1086" s="7">
        <f>IF(A1086="","",IFERROR(VLOOKUP(B1086,TblArticles,2,FALSE),"GTIN inconnu"))</f>
        <v/>
      </c>
      <c r="D1086" s="8">
        <f>IF(A1086="","",IFERROR(VLOOKUP(B1086,TblArticles,3,FALSE),""))</f>
        <v/>
      </c>
      <c r="E1086" s="9">
        <f>IFERROR(DATE(2000+VALUE(MID(A1086,FIND("15",A1086,FIND("01",A1086)+16)+2,2)),VALUE(MID(A1086,FIND("15",A1086,FIND("01",A1086)+16)+4,2)),VALUE(MID(A1086,FIND("15",A1086,FIND("01",A1086)+16)+6,2))),"")</f>
        <v/>
      </c>
      <c r="F1086" s="8">
        <f>IFERROR(MID(A1086,FIND("10",A1086,FIND("15",A1086,FIND("01",A1086)+16)+8)+2,50),"")</f>
        <v/>
      </c>
      <c r="G1086" s="8" t="n"/>
    </row>
    <row r="1087">
      <c r="A1087" s="4" t="n"/>
      <c r="B1087" s="5">
        <f>IFERROR(MID(A1087,FIND("01",A1087)+2,14),"")</f>
        <v/>
      </c>
      <c r="C1087" s="4">
        <f>IF(A1087="","",IFERROR(VLOOKUP(B1087,TblArticles,2,FALSE),"GTIN inconnu"))</f>
        <v/>
      </c>
      <c r="D1087" s="5">
        <f>IF(A1087="","",IFERROR(VLOOKUP(B1087,TblArticles,3,FALSE),""))</f>
        <v/>
      </c>
      <c r="E1087" s="6">
        <f>IFERROR(DATE(2000+VALUE(MID(A1087,FIND("15",A1087,FIND("01",A1087)+16)+2,2)),VALUE(MID(A1087,FIND("15",A1087,FIND("01",A1087)+16)+4,2)),VALUE(MID(A1087,FIND("15",A1087,FIND("01",A1087)+16)+6,2))),"")</f>
        <v/>
      </c>
      <c r="F1087" s="5">
        <f>IFERROR(MID(A1087,FIND("10",A1087,FIND("15",A1087,FIND("01",A1087)+16)+8)+2,50),"")</f>
        <v/>
      </c>
      <c r="G1087" s="5" t="n"/>
    </row>
    <row r="1088">
      <c r="A1088" s="7" t="n"/>
      <c r="B1088" s="8">
        <f>IFERROR(MID(A1088,FIND("01",A1088)+2,14),"")</f>
        <v/>
      </c>
      <c r="C1088" s="7">
        <f>IF(A1088="","",IFERROR(VLOOKUP(B1088,TblArticles,2,FALSE),"GTIN inconnu"))</f>
        <v/>
      </c>
      <c r="D1088" s="8">
        <f>IF(A1088="","",IFERROR(VLOOKUP(B1088,TblArticles,3,FALSE),""))</f>
        <v/>
      </c>
      <c r="E1088" s="9">
        <f>IFERROR(DATE(2000+VALUE(MID(A1088,FIND("15",A1088,FIND("01",A1088)+16)+2,2)),VALUE(MID(A1088,FIND("15",A1088,FIND("01",A1088)+16)+4,2)),VALUE(MID(A1088,FIND("15",A1088,FIND("01",A1088)+16)+6,2))),"")</f>
        <v/>
      </c>
      <c r="F1088" s="8">
        <f>IFERROR(MID(A1088,FIND("10",A1088,FIND("15",A1088,FIND("01",A1088)+16)+8)+2,50),"")</f>
        <v/>
      </c>
      <c r="G1088" s="8" t="n"/>
    </row>
    <row r="1089">
      <c r="A1089" s="4" t="n"/>
      <c r="B1089" s="5">
        <f>IFERROR(MID(A1089,FIND("01",A1089)+2,14),"")</f>
        <v/>
      </c>
      <c r="C1089" s="4">
        <f>IF(A1089="","",IFERROR(VLOOKUP(B1089,TblArticles,2,FALSE),"GTIN inconnu"))</f>
        <v/>
      </c>
      <c r="D1089" s="5">
        <f>IF(A1089="","",IFERROR(VLOOKUP(B1089,TblArticles,3,FALSE),""))</f>
        <v/>
      </c>
      <c r="E1089" s="6">
        <f>IFERROR(DATE(2000+VALUE(MID(A1089,FIND("15",A1089,FIND("01",A1089)+16)+2,2)),VALUE(MID(A1089,FIND("15",A1089,FIND("01",A1089)+16)+4,2)),VALUE(MID(A1089,FIND("15",A1089,FIND("01",A1089)+16)+6,2))),"")</f>
        <v/>
      </c>
      <c r="F1089" s="5">
        <f>IFERROR(MID(A1089,FIND("10",A1089,FIND("15",A1089,FIND("01",A1089)+16)+8)+2,50),"")</f>
        <v/>
      </c>
      <c r="G1089" s="5" t="n"/>
    </row>
    <row r="1090">
      <c r="A1090" s="7" t="n"/>
      <c r="B1090" s="8">
        <f>IFERROR(MID(A1090,FIND("01",A1090)+2,14),"")</f>
        <v/>
      </c>
      <c r="C1090" s="7">
        <f>IF(A1090="","",IFERROR(VLOOKUP(B1090,TblArticles,2,FALSE),"GTIN inconnu"))</f>
        <v/>
      </c>
      <c r="D1090" s="8">
        <f>IF(A1090="","",IFERROR(VLOOKUP(B1090,TblArticles,3,FALSE),""))</f>
        <v/>
      </c>
      <c r="E1090" s="9">
        <f>IFERROR(DATE(2000+VALUE(MID(A1090,FIND("15",A1090,FIND("01",A1090)+16)+2,2)),VALUE(MID(A1090,FIND("15",A1090,FIND("01",A1090)+16)+4,2)),VALUE(MID(A1090,FIND("15",A1090,FIND("01",A1090)+16)+6,2))),"")</f>
        <v/>
      </c>
      <c r="F1090" s="8">
        <f>IFERROR(MID(A1090,FIND("10",A1090,FIND("15",A1090,FIND("01",A1090)+16)+8)+2,50),"")</f>
        <v/>
      </c>
      <c r="G1090" s="8" t="n"/>
    </row>
    <row r="1091">
      <c r="A1091" s="4" t="n"/>
      <c r="B1091" s="5">
        <f>IFERROR(MID(A1091,FIND("01",A1091)+2,14),"")</f>
        <v/>
      </c>
      <c r="C1091" s="4">
        <f>IF(A1091="","",IFERROR(VLOOKUP(B1091,TblArticles,2,FALSE),"GTIN inconnu"))</f>
        <v/>
      </c>
      <c r="D1091" s="5">
        <f>IF(A1091="","",IFERROR(VLOOKUP(B1091,TblArticles,3,FALSE),""))</f>
        <v/>
      </c>
      <c r="E1091" s="6">
        <f>IFERROR(DATE(2000+VALUE(MID(A1091,FIND("15",A1091,FIND("01",A1091)+16)+2,2)),VALUE(MID(A1091,FIND("15",A1091,FIND("01",A1091)+16)+4,2)),VALUE(MID(A1091,FIND("15",A1091,FIND("01",A1091)+16)+6,2))),"")</f>
        <v/>
      </c>
      <c r="F1091" s="5">
        <f>IFERROR(MID(A1091,FIND("10",A1091,FIND("15",A1091,FIND("01",A1091)+16)+8)+2,50),"")</f>
        <v/>
      </c>
      <c r="G1091" s="5" t="n"/>
    </row>
    <row r="1092">
      <c r="A1092" s="7" t="n"/>
      <c r="B1092" s="8">
        <f>IFERROR(MID(A1092,FIND("01",A1092)+2,14),"")</f>
        <v/>
      </c>
      <c r="C1092" s="7">
        <f>IF(A1092="","",IFERROR(VLOOKUP(B1092,TblArticles,2,FALSE),"GTIN inconnu"))</f>
        <v/>
      </c>
      <c r="D1092" s="8">
        <f>IF(A1092="","",IFERROR(VLOOKUP(B1092,TblArticles,3,FALSE),""))</f>
        <v/>
      </c>
      <c r="E1092" s="9">
        <f>IFERROR(DATE(2000+VALUE(MID(A1092,FIND("15",A1092,FIND("01",A1092)+16)+2,2)),VALUE(MID(A1092,FIND("15",A1092,FIND("01",A1092)+16)+4,2)),VALUE(MID(A1092,FIND("15",A1092,FIND("01",A1092)+16)+6,2))),"")</f>
        <v/>
      </c>
      <c r="F1092" s="8">
        <f>IFERROR(MID(A1092,FIND("10",A1092,FIND("15",A1092,FIND("01",A1092)+16)+8)+2,50),"")</f>
        <v/>
      </c>
      <c r="G1092" s="8" t="n"/>
    </row>
    <row r="1093">
      <c r="A1093" s="4" t="n"/>
      <c r="B1093" s="5">
        <f>IFERROR(MID(A1093,FIND("01",A1093)+2,14),"")</f>
        <v/>
      </c>
      <c r="C1093" s="4">
        <f>IF(A1093="","",IFERROR(VLOOKUP(B1093,TblArticles,2,FALSE),"GTIN inconnu"))</f>
        <v/>
      </c>
      <c r="D1093" s="5">
        <f>IF(A1093="","",IFERROR(VLOOKUP(B1093,TblArticles,3,FALSE),""))</f>
        <v/>
      </c>
      <c r="E1093" s="6">
        <f>IFERROR(DATE(2000+VALUE(MID(A1093,FIND("15",A1093,FIND("01",A1093)+16)+2,2)),VALUE(MID(A1093,FIND("15",A1093,FIND("01",A1093)+16)+4,2)),VALUE(MID(A1093,FIND("15",A1093,FIND("01",A1093)+16)+6,2))),"")</f>
        <v/>
      </c>
      <c r="F1093" s="5">
        <f>IFERROR(MID(A1093,FIND("10",A1093,FIND("15",A1093,FIND("01",A1093)+16)+8)+2,50),"")</f>
        <v/>
      </c>
      <c r="G1093" s="5" t="n"/>
    </row>
    <row r="1094">
      <c r="A1094" s="7" t="n"/>
      <c r="B1094" s="8">
        <f>IFERROR(MID(A1094,FIND("01",A1094)+2,14),"")</f>
        <v/>
      </c>
      <c r="C1094" s="7">
        <f>IF(A1094="","",IFERROR(VLOOKUP(B1094,TblArticles,2,FALSE),"GTIN inconnu"))</f>
        <v/>
      </c>
      <c r="D1094" s="8">
        <f>IF(A1094="","",IFERROR(VLOOKUP(B1094,TblArticles,3,FALSE),""))</f>
        <v/>
      </c>
      <c r="E1094" s="9">
        <f>IFERROR(DATE(2000+VALUE(MID(A1094,FIND("15",A1094,FIND("01",A1094)+16)+2,2)),VALUE(MID(A1094,FIND("15",A1094,FIND("01",A1094)+16)+4,2)),VALUE(MID(A1094,FIND("15",A1094,FIND("01",A1094)+16)+6,2))),"")</f>
        <v/>
      </c>
      <c r="F1094" s="8">
        <f>IFERROR(MID(A1094,FIND("10",A1094,FIND("15",A1094,FIND("01",A1094)+16)+8)+2,50),"")</f>
        <v/>
      </c>
      <c r="G1094" s="8" t="n"/>
    </row>
    <row r="1095">
      <c r="A1095" s="4" t="n"/>
      <c r="B1095" s="5">
        <f>IFERROR(MID(A1095,FIND("01",A1095)+2,14),"")</f>
        <v/>
      </c>
      <c r="C1095" s="4">
        <f>IF(A1095="","",IFERROR(VLOOKUP(B1095,TblArticles,2,FALSE),"GTIN inconnu"))</f>
        <v/>
      </c>
      <c r="D1095" s="5">
        <f>IF(A1095="","",IFERROR(VLOOKUP(B1095,TblArticles,3,FALSE),""))</f>
        <v/>
      </c>
      <c r="E1095" s="6">
        <f>IFERROR(DATE(2000+VALUE(MID(A1095,FIND("15",A1095,FIND("01",A1095)+16)+2,2)),VALUE(MID(A1095,FIND("15",A1095,FIND("01",A1095)+16)+4,2)),VALUE(MID(A1095,FIND("15",A1095,FIND("01",A1095)+16)+6,2))),"")</f>
        <v/>
      </c>
      <c r="F1095" s="5">
        <f>IFERROR(MID(A1095,FIND("10",A1095,FIND("15",A1095,FIND("01",A1095)+16)+8)+2,50),"")</f>
        <v/>
      </c>
      <c r="G1095" s="5" t="n"/>
    </row>
    <row r="1096">
      <c r="A1096" s="7" t="n"/>
      <c r="B1096" s="8">
        <f>IFERROR(MID(A1096,FIND("01",A1096)+2,14),"")</f>
        <v/>
      </c>
      <c r="C1096" s="7">
        <f>IF(A1096="","",IFERROR(VLOOKUP(B1096,TblArticles,2,FALSE),"GTIN inconnu"))</f>
        <v/>
      </c>
      <c r="D1096" s="8">
        <f>IF(A1096="","",IFERROR(VLOOKUP(B1096,TblArticles,3,FALSE),""))</f>
        <v/>
      </c>
      <c r="E1096" s="9">
        <f>IFERROR(DATE(2000+VALUE(MID(A1096,FIND("15",A1096,FIND("01",A1096)+16)+2,2)),VALUE(MID(A1096,FIND("15",A1096,FIND("01",A1096)+16)+4,2)),VALUE(MID(A1096,FIND("15",A1096,FIND("01",A1096)+16)+6,2))),"")</f>
        <v/>
      </c>
      <c r="F1096" s="8">
        <f>IFERROR(MID(A1096,FIND("10",A1096,FIND("15",A1096,FIND("01",A1096)+16)+8)+2,50),"")</f>
        <v/>
      </c>
      <c r="G1096" s="8" t="n"/>
    </row>
    <row r="1097">
      <c r="A1097" s="4" t="n"/>
      <c r="B1097" s="5">
        <f>IFERROR(MID(A1097,FIND("01",A1097)+2,14),"")</f>
        <v/>
      </c>
      <c r="C1097" s="4">
        <f>IF(A1097="","",IFERROR(VLOOKUP(B1097,TblArticles,2,FALSE),"GTIN inconnu"))</f>
        <v/>
      </c>
      <c r="D1097" s="5">
        <f>IF(A1097="","",IFERROR(VLOOKUP(B1097,TblArticles,3,FALSE),""))</f>
        <v/>
      </c>
      <c r="E1097" s="6">
        <f>IFERROR(DATE(2000+VALUE(MID(A1097,FIND("15",A1097,FIND("01",A1097)+16)+2,2)),VALUE(MID(A1097,FIND("15",A1097,FIND("01",A1097)+16)+4,2)),VALUE(MID(A1097,FIND("15",A1097,FIND("01",A1097)+16)+6,2))),"")</f>
        <v/>
      </c>
      <c r="F1097" s="5">
        <f>IFERROR(MID(A1097,FIND("10",A1097,FIND("15",A1097,FIND("01",A1097)+16)+8)+2,50),"")</f>
        <v/>
      </c>
      <c r="G1097" s="5" t="n"/>
    </row>
    <row r="1098">
      <c r="A1098" s="7" t="n"/>
      <c r="B1098" s="8">
        <f>IFERROR(MID(A1098,FIND("01",A1098)+2,14),"")</f>
        <v/>
      </c>
      <c r="C1098" s="7">
        <f>IF(A1098="","",IFERROR(VLOOKUP(B1098,TblArticles,2,FALSE),"GTIN inconnu"))</f>
        <v/>
      </c>
      <c r="D1098" s="8">
        <f>IF(A1098="","",IFERROR(VLOOKUP(B1098,TblArticles,3,FALSE),""))</f>
        <v/>
      </c>
      <c r="E1098" s="9">
        <f>IFERROR(DATE(2000+VALUE(MID(A1098,FIND("15",A1098,FIND("01",A1098)+16)+2,2)),VALUE(MID(A1098,FIND("15",A1098,FIND("01",A1098)+16)+4,2)),VALUE(MID(A1098,FIND("15",A1098,FIND("01",A1098)+16)+6,2))),"")</f>
        <v/>
      </c>
      <c r="F1098" s="8">
        <f>IFERROR(MID(A1098,FIND("10",A1098,FIND("15",A1098,FIND("01",A1098)+16)+8)+2,50),"")</f>
        <v/>
      </c>
      <c r="G1098" s="8" t="n"/>
    </row>
    <row r="1099">
      <c r="A1099" s="4" t="n"/>
      <c r="B1099" s="5">
        <f>IFERROR(MID(A1099,FIND("01",A1099)+2,14),"")</f>
        <v/>
      </c>
      <c r="C1099" s="4">
        <f>IF(A1099="","",IFERROR(VLOOKUP(B1099,TblArticles,2,FALSE),"GTIN inconnu"))</f>
        <v/>
      </c>
      <c r="D1099" s="5">
        <f>IF(A1099="","",IFERROR(VLOOKUP(B1099,TblArticles,3,FALSE),""))</f>
        <v/>
      </c>
      <c r="E1099" s="6">
        <f>IFERROR(DATE(2000+VALUE(MID(A1099,FIND("15",A1099,FIND("01",A1099)+16)+2,2)),VALUE(MID(A1099,FIND("15",A1099,FIND("01",A1099)+16)+4,2)),VALUE(MID(A1099,FIND("15",A1099,FIND("01",A1099)+16)+6,2))),"")</f>
        <v/>
      </c>
      <c r="F1099" s="5">
        <f>IFERROR(MID(A1099,FIND("10",A1099,FIND("15",A1099,FIND("01",A1099)+16)+8)+2,50),"")</f>
        <v/>
      </c>
      <c r="G1099" s="5" t="n"/>
    </row>
    <row r="1100">
      <c r="A1100" s="7" t="n"/>
      <c r="B1100" s="8">
        <f>IFERROR(MID(A1100,FIND("01",A1100)+2,14),"")</f>
        <v/>
      </c>
      <c r="C1100" s="7">
        <f>IF(A1100="","",IFERROR(VLOOKUP(B1100,TblArticles,2,FALSE),"GTIN inconnu"))</f>
        <v/>
      </c>
      <c r="D1100" s="8">
        <f>IF(A1100="","",IFERROR(VLOOKUP(B1100,TblArticles,3,FALSE),""))</f>
        <v/>
      </c>
      <c r="E1100" s="9">
        <f>IFERROR(DATE(2000+VALUE(MID(A1100,FIND("15",A1100,FIND("01",A1100)+16)+2,2)),VALUE(MID(A1100,FIND("15",A1100,FIND("01",A1100)+16)+4,2)),VALUE(MID(A1100,FIND("15",A1100,FIND("01",A1100)+16)+6,2))),"")</f>
        <v/>
      </c>
      <c r="F1100" s="8">
        <f>IFERROR(MID(A1100,FIND("10",A1100,FIND("15",A1100,FIND("01",A1100)+16)+8)+2,50),"")</f>
        <v/>
      </c>
      <c r="G1100" s="8" t="n"/>
    </row>
    <row r="1101">
      <c r="A1101" s="4" t="n"/>
      <c r="B1101" s="5">
        <f>IFERROR(MID(A1101,FIND("01",A1101)+2,14),"")</f>
        <v/>
      </c>
      <c r="C1101" s="4">
        <f>IF(A1101="","",IFERROR(VLOOKUP(B1101,TblArticles,2,FALSE),"GTIN inconnu"))</f>
        <v/>
      </c>
      <c r="D1101" s="5">
        <f>IF(A1101="","",IFERROR(VLOOKUP(B1101,TblArticles,3,FALSE),""))</f>
        <v/>
      </c>
      <c r="E1101" s="6">
        <f>IFERROR(DATE(2000+VALUE(MID(A1101,FIND("15",A1101,FIND("01",A1101)+16)+2,2)),VALUE(MID(A1101,FIND("15",A1101,FIND("01",A1101)+16)+4,2)),VALUE(MID(A1101,FIND("15",A1101,FIND("01",A1101)+16)+6,2))),"")</f>
        <v/>
      </c>
      <c r="F1101" s="5">
        <f>IFERROR(MID(A1101,FIND("10",A1101,FIND("15",A1101,FIND("01",A1101)+16)+8)+2,50),"")</f>
        <v/>
      </c>
      <c r="G1101" s="5" t="n"/>
    </row>
    <row r="1102">
      <c r="A1102" s="7" t="n"/>
      <c r="B1102" s="8">
        <f>IFERROR(MID(A1102,FIND("01",A1102)+2,14),"")</f>
        <v/>
      </c>
      <c r="C1102" s="7">
        <f>IF(A1102="","",IFERROR(VLOOKUP(B1102,TblArticles,2,FALSE),"GTIN inconnu"))</f>
        <v/>
      </c>
      <c r="D1102" s="8">
        <f>IF(A1102="","",IFERROR(VLOOKUP(B1102,TblArticles,3,FALSE),""))</f>
        <v/>
      </c>
      <c r="E1102" s="9">
        <f>IFERROR(DATE(2000+VALUE(MID(A1102,FIND("15",A1102,FIND("01",A1102)+16)+2,2)),VALUE(MID(A1102,FIND("15",A1102,FIND("01",A1102)+16)+4,2)),VALUE(MID(A1102,FIND("15",A1102,FIND("01",A1102)+16)+6,2))),"")</f>
        <v/>
      </c>
      <c r="F1102" s="8">
        <f>IFERROR(MID(A1102,FIND("10",A1102,FIND("15",A1102,FIND("01",A1102)+16)+8)+2,50),"")</f>
        <v/>
      </c>
      <c r="G1102" s="8" t="n"/>
    </row>
    <row r="1103">
      <c r="A1103" s="4" t="n"/>
      <c r="B1103" s="5">
        <f>IFERROR(MID(A1103,FIND("01",A1103)+2,14),"")</f>
        <v/>
      </c>
      <c r="C1103" s="4">
        <f>IF(A1103="","",IFERROR(VLOOKUP(B1103,TblArticles,2,FALSE),"GTIN inconnu"))</f>
        <v/>
      </c>
      <c r="D1103" s="5">
        <f>IF(A1103="","",IFERROR(VLOOKUP(B1103,TblArticles,3,FALSE),""))</f>
        <v/>
      </c>
      <c r="E1103" s="6">
        <f>IFERROR(DATE(2000+VALUE(MID(A1103,FIND("15",A1103,FIND("01",A1103)+16)+2,2)),VALUE(MID(A1103,FIND("15",A1103,FIND("01",A1103)+16)+4,2)),VALUE(MID(A1103,FIND("15",A1103,FIND("01",A1103)+16)+6,2))),"")</f>
        <v/>
      </c>
      <c r="F1103" s="5">
        <f>IFERROR(MID(A1103,FIND("10",A1103,FIND("15",A1103,FIND("01",A1103)+16)+8)+2,50),"")</f>
        <v/>
      </c>
      <c r="G1103" s="5" t="n"/>
    </row>
    <row r="1104">
      <c r="A1104" s="7" t="n"/>
      <c r="B1104" s="8">
        <f>IFERROR(MID(A1104,FIND("01",A1104)+2,14),"")</f>
        <v/>
      </c>
      <c r="C1104" s="7">
        <f>IF(A1104="","",IFERROR(VLOOKUP(B1104,TblArticles,2,FALSE),"GTIN inconnu"))</f>
        <v/>
      </c>
      <c r="D1104" s="8">
        <f>IF(A1104="","",IFERROR(VLOOKUP(B1104,TblArticles,3,FALSE),""))</f>
        <v/>
      </c>
      <c r="E1104" s="9">
        <f>IFERROR(DATE(2000+VALUE(MID(A1104,FIND("15",A1104,FIND("01",A1104)+16)+2,2)),VALUE(MID(A1104,FIND("15",A1104,FIND("01",A1104)+16)+4,2)),VALUE(MID(A1104,FIND("15",A1104,FIND("01",A1104)+16)+6,2))),"")</f>
        <v/>
      </c>
      <c r="F1104" s="8">
        <f>IFERROR(MID(A1104,FIND("10",A1104,FIND("15",A1104,FIND("01",A1104)+16)+8)+2,50),"")</f>
        <v/>
      </c>
      <c r="G1104" s="8" t="n"/>
    </row>
    <row r="1105">
      <c r="A1105" s="4" t="n"/>
      <c r="B1105" s="5">
        <f>IFERROR(MID(A1105,FIND("01",A1105)+2,14),"")</f>
        <v/>
      </c>
      <c r="C1105" s="4">
        <f>IF(A1105="","",IFERROR(VLOOKUP(B1105,TblArticles,2,FALSE),"GTIN inconnu"))</f>
        <v/>
      </c>
      <c r="D1105" s="5">
        <f>IF(A1105="","",IFERROR(VLOOKUP(B1105,TblArticles,3,FALSE),""))</f>
        <v/>
      </c>
      <c r="E1105" s="6">
        <f>IFERROR(DATE(2000+VALUE(MID(A1105,FIND("15",A1105,FIND("01",A1105)+16)+2,2)),VALUE(MID(A1105,FIND("15",A1105,FIND("01",A1105)+16)+4,2)),VALUE(MID(A1105,FIND("15",A1105,FIND("01",A1105)+16)+6,2))),"")</f>
        <v/>
      </c>
      <c r="F1105" s="5">
        <f>IFERROR(MID(A1105,FIND("10",A1105,FIND("15",A1105,FIND("01",A1105)+16)+8)+2,50),"")</f>
        <v/>
      </c>
      <c r="G1105" s="5" t="n"/>
    </row>
    <row r="1106">
      <c r="A1106" s="7" t="n"/>
      <c r="B1106" s="8">
        <f>IFERROR(MID(A1106,FIND("01",A1106)+2,14),"")</f>
        <v/>
      </c>
      <c r="C1106" s="7">
        <f>IF(A1106="","",IFERROR(VLOOKUP(B1106,TblArticles,2,FALSE),"GTIN inconnu"))</f>
        <v/>
      </c>
      <c r="D1106" s="8">
        <f>IF(A1106="","",IFERROR(VLOOKUP(B1106,TblArticles,3,FALSE),""))</f>
        <v/>
      </c>
      <c r="E1106" s="9">
        <f>IFERROR(DATE(2000+VALUE(MID(A1106,FIND("15",A1106,FIND("01",A1106)+16)+2,2)),VALUE(MID(A1106,FIND("15",A1106,FIND("01",A1106)+16)+4,2)),VALUE(MID(A1106,FIND("15",A1106,FIND("01",A1106)+16)+6,2))),"")</f>
        <v/>
      </c>
      <c r="F1106" s="8">
        <f>IFERROR(MID(A1106,FIND("10",A1106,FIND("15",A1106,FIND("01",A1106)+16)+8)+2,50),"")</f>
        <v/>
      </c>
      <c r="G1106" s="8" t="n"/>
    </row>
    <row r="1107">
      <c r="A1107" s="4" t="n"/>
      <c r="B1107" s="5">
        <f>IFERROR(MID(A1107,FIND("01",A1107)+2,14),"")</f>
        <v/>
      </c>
      <c r="C1107" s="4">
        <f>IF(A1107="","",IFERROR(VLOOKUP(B1107,TblArticles,2,FALSE),"GTIN inconnu"))</f>
        <v/>
      </c>
      <c r="D1107" s="5">
        <f>IF(A1107="","",IFERROR(VLOOKUP(B1107,TblArticles,3,FALSE),""))</f>
        <v/>
      </c>
      <c r="E1107" s="6">
        <f>IFERROR(DATE(2000+VALUE(MID(A1107,FIND("15",A1107,FIND("01",A1107)+16)+2,2)),VALUE(MID(A1107,FIND("15",A1107,FIND("01",A1107)+16)+4,2)),VALUE(MID(A1107,FIND("15",A1107,FIND("01",A1107)+16)+6,2))),"")</f>
        <v/>
      </c>
      <c r="F1107" s="5">
        <f>IFERROR(MID(A1107,FIND("10",A1107,FIND("15",A1107,FIND("01",A1107)+16)+8)+2,50),"")</f>
        <v/>
      </c>
      <c r="G1107" s="5" t="n"/>
    </row>
    <row r="1108">
      <c r="A1108" s="7" t="n"/>
      <c r="B1108" s="8">
        <f>IFERROR(MID(A1108,FIND("01",A1108)+2,14),"")</f>
        <v/>
      </c>
      <c r="C1108" s="7">
        <f>IF(A1108="","",IFERROR(VLOOKUP(B1108,TblArticles,2,FALSE),"GTIN inconnu"))</f>
        <v/>
      </c>
      <c r="D1108" s="8">
        <f>IF(A1108="","",IFERROR(VLOOKUP(B1108,TblArticles,3,FALSE),""))</f>
        <v/>
      </c>
      <c r="E1108" s="9">
        <f>IFERROR(DATE(2000+VALUE(MID(A1108,FIND("15",A1108,FIND("01",A1108)+16)+2,2)),VALUE(MID(A1108,FIND("15",A1108,FIND("01",A1108)+16)+4,2)),VALUE(MID(A1108,FIND("15",A1108,FIND("01",A1108)+16)+6,2))),"")</f>
        <v/>
      </c>
      <c r="F1108" s="8">
        <f>IFERROR(MID(A1108,FIND("10",A1108,FIND("15",A1108,FIND("01",A1108)+16)+8)+2,50),"")</f>
        <v/>
      </c>
      <c r="G1108" s="8" t="n"/>
    </row>
    <row r="1109">
      <c r="A1109" s="4" t="n"/>
      <c r="B1109" s="5">
        <f>IFERROR(MID(A1109,FIND("01",A1109)+2,14),"")</f>
        <v/>
      </c>
      <c r="C1109" s="4">
        <f>IF(A1109="","",IFERROR(VLOOKUP(B1109,TblArticles,2,FALSE),"GTIN inconnu"))</f>
        <v/>
      </c>
      <c r="D1109" s="5">
        <f>IF(A1109="","",IFERROR(VLOOKUP(B1109,TblArticles,3,FALSE),""))</f>
        <v/>
      </c>
      <c r="E1109" s="6">
        <f>IFERROR(DATE(2000+VALUE(MID(A1109,FIND("15",A1109,FIND("01",A1109)+16)+2,2)),VALUE(MID(A1109,FIND("15",A1109,FIND("01",A1109)+16)+4,2)),VALUE(MID(A1109,FIND("15",A1109,FIND("01",A1109)+16)+6,2))),"")</f>
        <v/>
      </c>
      <c r="F1109" s="5">
        <f>IFERROR(MID(A1109,FIND("10",A1109,FIND("15",A1109,FIND("01",A1109)+16)+8)+2,50),"")</f>
        <v/>
      </c>
      <c r="G1109" s="5" t="n"/>
    </row>
    <row r="1110">
      <c r="A1110" s="7" t="n"/>
      <c r="B1110" s="8">
        <f>IFERROR(MID(A1110,FIND("01",A1110)+2,14),"")</f>
        <v/>
      </c>
      <c r="C1110" s="7">
        <f>IF(A1110="","",IFERROR(VLOOKUP(B1110,TblArticles,2,FALSE),"GTIN inconnu"))</f>
        <v/>
      </c>
      <c r="D1110" s="8">
        <f>IF(A1110="","",IFERROR(VLOOKUP(B1110,TblArticles,3,FALSE),""))</f>
        <v/>
      </c>
      <c r="E1110" s="9">
        <f>IFERROR(DATE(2000+VALUE(MID(A1110,FIND("15",A1110,FIND("01",A1110)+16)+2,2)),VALUE(MID(A1110,FIND("15",A1110,FIND("01",A1110)+16)+4,2)),VALUE(MID(A1110,FIND("15",A1110,FIND("01",A1110)+16)+6,2))),"")</f>
        <v/>
      </c>
      <c r="F1110" s="8">
        <f>IFERROR(MID(A1110,FIND("10",A1110,FIND("15",A1110,FIND("01",A1110)+16)+8)+2,50),"")</f>
        <v/>
      </c>
      <c r="G1110" s="8" t="n"/>
    </row>
    <row r="1111">
      <c r="A1111" s="4" t="n"/>
      <c r="B1111" s="5">
        <f>IFERROR(MID(A1111,FIND("01",A1111)+2,14),"")</f>
        <v/>
      </c>
      <c r="C1111" s="4">
        <f>IF(A1111="","",IFERROR(VLOOKUP(B1111,TblArticles,2,FALSE),"GTIN inconnu"))</f>
        <v/>
      </c>
      <c r="D1111" s="5">
        <f>IF(A1111="","",IFERROR(VLOOKUP(B1111,TblArticles,3,FALSE),""))</f>
        <v/>
      </c>
      <c r="E1111" s="6">
        <f>IFERROR(DATE(2000+VALUE(MID(A1111,FIND("15",A1111,FIND("01",A1111)+16)+2,2)),VALUE(MID(A1111,FIND("15",A1111,FIND("01",A1111)+16)+4,2)),VALUE(MID(A1111,FIND("15",A1111,FIND("01",A1111)+16)+6,2))),"")</f>
        <v/>
      </c>
      <c r="F1111" s="5">
        <f>IFERROR(MID(A1111,FIND("10",A1111,FIND("15",A1111,FIND("01",A1111)+16)+8)+2,50),"")</f>
        <v/>
      </c>
      <c r="G1111" s="5" t="n"/>
    </row>
    <row r="1112">
      <c r="A1112" s="7" t="n"/>
      <c r="B1112" s="8">
        <f>IFERROR(MID(A1112,FIND("01",A1112)+2,14),"")</f>
        <v/>
      </c>
      <c r="C1112" s="7">
        <f>IF(A1112="","",IFERROR(VLOOKUP(B1112,TblArticles,2,FALSE),"GTIN inconnu"))</f>
        <v/>
      </c>
      <c r="D1112" s="8">
        <f>IF(A1112="","",IFERROR(VLOOKUP(B1112,TblArticles,3,FALSE),""))</f>
        <v/>
      </c>
      <c r="E1112" s="9">
        <f>IFERROR(DATE(2000+VALUE(MID(A1112,FIND("15",A1112,FIND("01",A1112)+16)+2,2)),VALUE(MID(A1112,FIND("15",A1112,FIND("01",A1112)+16)+4,2)),VALUE(MID(A1112,FIND("15",A1112,FIND("01",A1112)+16)+6,2))),"")</f>
        <v/>
      </c>
      <c r="F1112" s="8">
        <f>IFERROR(MID(A1112,FIND("10",A1112,FIND("15",A1112,FIND("01",A1112)+16)+8)+2,50),"")</f>
        <v/>
      </c>
      <c r="G1112" s="8" t="n"/>
    </row>
    <row r="1113">
      <c r="A1113" s="4" t="n"/>
      <c r="B1113" s="5">
        <f>IFERROR(MID(A1113,FIND("01",A1113)+2,14),"")</f>
        <v/>
      </c>
      <c r="C1113" s="4">
        <f>IF(A1113="","",IFERROR(VLOOKUP(B1113,TblArticles,2,FALSE),"GTIN inconnu"))</f>
        <v/>
      </c>
      <c r="D1113" s="5">
        <f>IF(A1113="","",IFERROR(VLOOKUP(B1113,TblArticles,3,FALSE),""))</f>
        <v/>
      </c>
      <c r="E1113" s="6">
        <f>IFERROR(DATE(2000+VALUE(MID(A1113,FIND("15",A1113,FIND("01",A1113)+16)+2,2)),VALUE(MID(A1113,FIND("15",A1113,FIND("01",A1113)+16)+4,2)),VALUE(MID(A1113,FIND("15",A1113,FIND("01",A1113)+16)+6,2))),"")</f>
        <v/>
      </c>
      <c r="F1113" s="5">
        <f>IFERROR(MID(A1113,FIND("10",A1113,FIND("15",A1113,FIND("01",A1113)+16)+8)+2,50),"")</f>
        <v/>
      </c>
      <c r="G1113" s="5" t="n"/>
    </row>
    <row r="1114">
      <c r="A1114" s="7" t="n"/>
      <c r="B1114" s="8">
        <f>IFERROR(MID(A1114,FIND("01",A1114)+2,14),"")</f>
        <v/>
      </c>
      <c r="C1114" s="7">
        <f>IF(A1114="","",IFERROR(VLOOKUP(B1114,TblArticles,2,FALSE),"GTIN inconnu"))</f>
        <v/>
      </c>
      <c r="D1114" s="8">
        <f>IF(A1114="","",IFERROR(VLOOKUP(B1114,TblArticles,3,FALSE),""))</f>
        <v/>
      </c>
      <c r="E1114" s="9">
        <f>IFERROR(DATE(2000+VALUE(MID(A1114,FIND("15",A1114,FIND("01",A1114)+16)+2,2)),VALUE(MID(A1114,FIND("15",A1114,FIND("01",A1114)+16)+4,2)),VALUE(MID(A1114,FIND("15",A1114,FIND("01",A1114)+16)+6,2))),"")</f>
        <v/>
      </c>
      <c r="F1114" s="8">
        <f>IFERROR(MID(A1114,FIND("10",A1114,FIND("15",A1114,FIND("01",A1114)+16)+8)+2,50),"")</f>
        <v/>
      </c>
      <c r="G1114" s="8" t="n"/>
    </row>
    <row r="1115">
      <c r="A1115" s="4" t="n"/>
      <c r="B1115" s="5">
        <f>IFERROR(MID(A1115,FIND("01",A1115)+2,14),"")</f>
        <v/>
      </c>
      <c r="C1115" s="4">
        <f>IF(A1115="","",IFERROR(VLOOKUP(B1115,TblArticles,2,FALSE),"GTIN inconnu"))</f>
        <v/>
      </c>
      <c r="D1115" s="5">
        <f>IF(A1115="","",IFERROR(VLOOKUP(B1115,TblArticles,3,FALSE),""))</f>
        <v/>
      </c>
      <c r="E1115" s="6">
        <f>IFERROR(DATE(2000+VALUE(MID(A1115,FIND("15",A1115,FIND("01",A1115)+16)+2,2)),VALUE(MID(A1115,FIND("15",A1115,FIND("01",A1115)+16)+4,2)),VALUE(MID(A1115,FIND("15",A1115,FIND("01",A1115)+16)+6,2))),"")</f>
        <v/>
      </c>
      <c r="F1115" s="5">
        <f>IFERROR(MID(A1115,FIND("10",A1115,FIND("15",A1115,FIND("01",A1115)+16)+8)+2,50),"")</f>
        <v/>
      </c>
      <c r="G1115" s="5" t="n"/>
    </row>
    <row r="1116">
      <c r="A1116" s="7" t="n"/>
      <c r="B1116" s="8">
        <f>IFERROR(MID(A1116,FIND("01",A1116)+2,14),"")</f>
        <v/>
      </c>
      <c r="C1116" s="7">
        <f>IF(A1116="","",IFERROR(VLOOKUP(B1116,TblArticles,2,FALSE),"GTIN inconnu"))</f>
        <v/>
      </c>
      <c r="D1116" s="8">
        <f>IF(A1116="","",IFERROR(VLOOKUP(B1116,TblArticles,3,FALSE),""))</f>
        <v/>
      </c>
      <c r="E1116" s="9">
        <f>IFERROR(DATE(2000+VALUE(MID(A1116,FIND("15",A1116,FIND("01",A1116)+16)+2,2)),VALUE(MID(A1116,FIND("15",A1116,FIND("01",A1116)+16)+4,2)),VALUE(MID(A1116,FIND("15",A1116,FIND("01",A1116)+16)+6,2))),"")</f>
        <v/>
      </c>
      <c r="F1116" s="8">
        <f>IFERROR(MID(A1116,FIND("10",A1116,FIND("15",A1116,FIND("01",A1116)+16)+8)+2,50),"")</f>
        <v/>
      </c>
      <c r="G1116" s="8" t="n"/>
    </row>
    <row r="1117">
      <c r="A1117" s="4" t="n"/>
      <c r="B1117" s="5">
        <f>IFERROR(MID(A1117,FIND("01",A1117)+2,14),"")</f>
        <v/>
      </c>
      <c r="C1117" s="4">
        <f>IF(A1117="","",IFERROR(VLOOKUP(B1117,TblArticles,2,FALSE),"GTIN inconnu"))</f>
        <v/>
      </c>
      <c r="D1117" s="5">
        <f>IF(A1117="","",IFERROR(VLOOKUP(B1117,TblArticles,3,FALSE),""))</f>
        <v/>
      </c>
      <c r="E1117" s="6">
        <f>IFERROR(DATE(2000+VALUE(MID(A1117,FIND("15",A1117,FIND("01",A1117)+16)+2,2)),VALUE(MID(A1117,FIND("15",A1117,FIND("01",A1117)+16)+4,2)),VALUE(MID(A1117,FIND("15",A1117,FIND("01",A1117)+16)+6,2))),"")</f>
        <v/>
      </c>
      <c r="F1117" s="5">
        <f>IFERROR(MID(A1117,FIND("10",A1117,FIND("15",A1117,FIND("01",A1117)+16)+8)+2,50),"")</f>
        <v/>
      </c>
      <c r="G1117" s="5" t="n"/>
    </row>
    <row r="1118">
      <c r="A1118" s="7" t="n"/>
      <c r="B1118" s="8">
        <f>IFERROR(MID(A1118,FIND("01",A1118)+2,14),"")</f>
        <v/>
      </c>
      <c r="C1118" s="7">
        <f>IF(A1118="","",IFERROR(VLOOKUP(B1118,TblArticles,2,FALSE),"GTIN inconnu"))</f>
        <v/>
      </c>
      <c r="D1118" s="8">
        <f>IF(A1118="","",IFERROR(VLOOKUP(B1118,TblArticles,3,FALSE),""))</f>
        <v/>
      </c>
      <c r="E1118" s="9">
        <f>IFERROR(DATE(2000+VALUE(MID(A1118,FIND("15",A1118,FIND("01",A1118)+16)+2,2)),VALUE(MID(A1118,FIND("15",A1118,FIND("01",A1118)+16)+4,2)),VALUE(MID(A1118,FIND("15",A1118,FIND("01",A1118)+16)+6,2))),"")</f>
        <v/>
      </c>
      <c r="F1118" s="8">
        <f>IFERROR(MID(A1118,FIND("10",A1118,FIND("15",A1118,FIND("01",A1118)+16)+8)+2,50),"")</f>
        <v/>
      </c>
      <c r="G1118" s="8" t="n"/>
    </row>
    <row r="1119">
      <c r="A1119" s="4" t="n"/>
      <c r="B1119" s="5">
        <f>IFERROR(MID(A1119,FIND("01",A1119)+2,14),"")</f>
        <v/>
      </c>
      <c r="C1119" s="4">
        <f>IF(A1119="","",IFERROR(VLOOKUP(B1119,TblArticles,2,FALSE),"GTIN inconnu"))</f>
        <v/>
      </c>
      <c r="D1119" s="5">
        <f>IF(A1119="","",IFERROR(VLOOKUP(B1119,TblArticles,3,FALSE),""))</f>
        <v/>
      </c>
      <c r="E1119" s="6">
        <f>IFERROR(DATE(2000+VALUE(MID(A1119,FIND("15",A1119,FIND("01",A1119)+16)+2,2)),VALUE(MID(A1119,FIND("15",A1119,FIND("01",A1119)+16)+4,2)),VALUE(MID(A1119,FIND("15",A1119,FIND("01",A1119)+16)+6,2))),"")</f>
        <v/>
      </c>
      <c r="F1119" s="5">
        <f>IFERROR(MID(A1119,FIND("10",A1119,FIND("15",A1119,FIND("01",A1119)+16)+8)+2,50),"")</f>
        <v/>
      </c>
      <c r="G1119" s="5" t="n"/>
    </row>
    <row r="1120">
      <c r="A1120" s="7" t="n"/>
      <c r="B1120" s="8">
        <f>IFERROR(MID(A1120,FIND("01",A1120)+2,14),"")</f>
        <v/>
      </c>
      <c r="C1120" s="7">
        <f>IF(A1120="","",IFERROR(VLOOKUP(B1120,TblArticles,2,FALSE),"GTIN inconnu"))</f>
        <v/>
      </c>
      <c r="D1120" s="8">
        <f>IF(A1120="","",IFERROR(VLOOKUP(B1120,TblArticles,3,FALSE),""))</f>
        <v/>
      </c>
      <c r="E1120" s="9">
        <f>IFERROR(DATE(2000+VALUE(MID(A1120,FIND("15",A1120,FIND("01",A1120)+16)+2,2)),VALUE(MID(A1120,FIND("15",A1120,FIND("01",A1120)+16)+4,2)),VALUE(MID(A1120,FIND("15",A1120,FIND("01",A1120)+16)+6,2))),"")</f>
        <v/>
      </c>
      <c r="F1120" s="8">
        <f>IFERROR(MID(A1120,FIND("10",A1120,FIND("15",A1120,FIND("01",A1120)+16)+8)+2,50),"")</f>
        <v/>
      </c>
      <c r="G1120" s="8" t="n"/>
    </row>
    <row r="1121">
      <c r="A1121" s="4" t="n"/>
      <c r="B1121" s="5">
        <f>IFERROR(MID(A1121,FIND("01",A1121)+2,14),"")</f>
        <v/>
      </c>
      <c r="C1121" s="4">
        <f>IF(A1121="","",IFERROR(VLOOKUP(B1121,TblArticles,2,FALSE),"GTIN inconnu"))</f>
        <v/>
      </c>
      <c r="D1121" s="5">
        <f>IF(A1121="","",IFERROR(VLOOKUP(B1121,TblArticles,3,FALSE),""))</f>
        <v/>
      </c>
      <c r="E1121" s="6">
        <f>IFERROR(DATE(2000+VALUE(MID(A1121,FIND("15",A1121,FIND("01",A1121)+16)+2,2)),VALUE(MID(A1121,FIND("15",A1121,FIND("01",A1121)+16)+4,2)),VALUE(MID(A1121,FIND("15",A1121,FIND("01",A1121)+16)+6,2))),"")</f>
        <v/>
      </c>
      <c r="F1121" s="5">
        <f>IFERROR(MID(A1121,FIND("10",A1121,FIND("15",A1121,FIND("01",A1121)+16)+8)+2,50),"")</f>
        <v/>
      </c>
      <c r="G1121" s="5" t="n"/>
    </row>
    <row r="1122">
      <c r="A1122" s="7" t="n"/>
      <c r="B1122" s="8">
        <f>IFERROR(MID(A1122,FIND("01",A1122)+2,14),"")</f>
        <v/>
      </c>
      <c r="C1122" s="7">
        <f>IF(A1122="","",IFERROR(VLOOKUP(B1122,TblArticles,2,FALSE),"GTIN inconnu"))</f>
        <v/>
      </c>
      <c r="D1122" s="8">
        <f>IF(A1122="","",IFERROR(VLOOKUP(B1122,TblArticles,3,FALSE),""))</f>
        <v/>
      </c>
      <c r="E1122" s="9">
        <f>IFERROR(DATE(2000+VALUE(MID(A1122,FIND("15",A1122,FIND("01",A1122)+16)+2,2)),VALUE(MID(A1122,FIND("15",A1122,FIND("01",A1122)+16)+4,2)),VALUE(MID(A1122,FIND("15",A1122,FIND("01",A1122)+16)+6,2))),"")</f>
        <v/>
      </c>
      <c r="F1122" s="8">
        <f>IFERROR(MID(A1122,FIND("10",A1122,FIND("15",A1122,FIND("01",A1122)+16)+8)+2,50),"")</f>
        <v/>
      </c>
      <c r="G1122" s="8" t="n"/>
    </row>
    <row r="1123">
      <c r="A1123" s="4" t="n"/>
      <c r="B1123" s="5">
        <f>IFERROR(MID(A1123,FIND("01",A1123)+2,14),"")</f>
        <v/>
      </c>
      <c r="C1123" s="4">
        <f>IF(A1123="","",IFERROR(VLOOKUP(B1123,TblArticles,2,FALSE),"GTIN inconnu"))</f>
        <v/>
      </c>
      <c r="D1123" s="5">
        <f>IF(A1123="","",IFERROR(VLOOKUP(B1123,TblArticles,3,FALSE),""))</f>
        <v/>
      </c>
      <c r="E1123" s="6">
        <f>IFERROR(DATE(2000+VALUE(MID(A1123,FIND("15",A1123,FIND("01",A1123)+16)+2,2)),VALUE(MID(A1123,FIND("15",A1123,FIND("01",A1123)+16)+4,2)),VALUE(MID(A1123,FIND("15",A1123,FIND("01",A1123)+16)+6,2))),"")</f>
        <v/>
      </c>
      <c r="F1123" s="5">
        <f>IFERROR(MID(A1123,FIND("10",A1123,FIND("15",A1123,FIND("01",A1123)+16)+8)+2,50),"")</f>
        <v/>
      </c>
      <c r="G1123" s="5" t="n"/>
    </row>
    <row r="1124">
      <c r="A1124" s="7" t="n"/>
      <c r="B1124" s="8">
        <f>IFERROR(MID(A1124,FIND("01",A1124)+2,14),"")</f>
        <v/>
      </c>
      <c r="C1124" s="7">
        <f>IF(A1124="","",IFERROR(VLOOKUP(B1124,TblArticles,2,FALSE),"GTIN inconnu"))</f>
        <v/>
      </c>
      <c r="D1124" s="8">
        <f>IF(A1124="","",IFERROR(VLOOKUP(B1124,TblArticles,3,FALSE),""))</f>
        <v/>
      </c>
      <c r="E1124" s="9">
        <f>IFERROR(DATE(2000+VALUE(MID(A1124,FIND("15",A1124,FIND("01",A1124)+16)+2,2)),VALUE(MID(A1124,FIND("15",A1124,FIND("01",A1124)+16)+4,2)),VALUE(MID(A1124,FIND("15",A1124,FIND("01",A1124)+16)+6,2))),"")</f>
        <v/>
      </c>
      <c r="F1124" s="8">
        <f>IFERROR(MID(A1124,FIND("10",A1124,FIND("15",A1124,FIND("01",A1124)+16)+8)+2,50),"")</f>
        <v/>
      </c>
      <c r="G1124" s="8" t="n"/>
    </row>
    <row r="1125">
      <c r="A1125" s="4" t="n"/>
      <c r="B1125" s="5">
        <f>IFERROR(MID(A1125,FIND("01",A1125)+2,14),"")</f>
        <v/>
      </c>
      <c r="C1125" s="4">
        <f>IF(A1125="","",IFERROR(VLOOKUP(B1125,TblArticles,2,FALSE),"GTIN inconnu"))</f>
        <v/>
      </c>
      <c r="D1125" s="5">
        <f>IF(A1125="","",IFERROR(VLOOKUP(B1125,TblArticles,3,FALSE),""))</f>
        <v/>
      </c>
      <c r="E1125" s="6">
        <f>IFERROR(DATE(2000+VALUE(MID(A1125,FIND("15",A1125,FIND("01",A1125)+16)+2,2)),VALUE(MID(A1125,FIND("15",A1125,FIND("01",A1125)+16)+4,2)),VALUE(MID(A1125,FIND("15",A1125,FIND("01",A1125)+16)+6,2))),"")</f>
        <v/>
      </c>
      <c r="F1125" s="5">
        <f>IFERROR(MID(A1125,FIND("10",A1125,FIND("15",A1125,FIND("01",A1125)+16)+8)+2,50),"")</f>
        <v/>
      </c>
      <c r="G1125" s="5" t="n"/>
    </row>
    <row r="1126">
      <c r="A1126" s="7" t="n"/>
      <c r="B1126" s="8">
        <f>IFERROR(MID(A1126,FIND("01",A1126)+2,14),"")</f>
        <v/>
      </c>
      <c r="C1126" s="7">
        <f>IF(A1126="","",IFERROR(VLOOKUP(B1126,TblArticles,2,FALSE),"GTIN inconnu"))</f>
        <v/>
      </c>
      <c r="D1126" s="8">
        <f>IF(A1126="","",IFERROR(VLOOKUP(B1126,TblArticles,3,FALSE),""))</f>
        <v/>
      </c>
      <c r="E1126" s="9">
        <f>IFERROR(DATE(2000+VALUE(MID(A1126,FIND("15",A1126,FIND("01",A1126)+16)+2,2)),VALUE(MID(A1126,FIND("15",A1126,FIND("01",A1126)+16)+4,2)),VALUE(MID(A1126,FIND("15",A1126,FIND("01",A1126)+16)+6,2))),"")</f>
        <v/>
      </c>
      <c r="F1126" s="8">
        <f>IFERROR(MID(A1126,FIND("10",A1126,FIND("15",A1126,FIND("01",A1126)+16)+8)+2,50),"")</f>
        <v/>
      </c>
      <c r="G1126" s="8" t="n"/>
    </row>
    <row r="1127">
      <c r="A1127" s="4" t="n"/>
      <c r="B1127" s="5">
        <f>IFERROR(MID(A1127,FIND("01",A1127)+2,14),"")</f>
        <v/>
      </c>
      <c r="C1127" s="4">
        <f>IF(A1127="","",IFERROR(VLOOKUP(B1127,TblArticles,2,FALSE),"GTIN inconnu"))</f>
        <v/>
      </c>
      <c r="D1127" s="5">
        <f>IF(A1127="","",IFERROR(VLOOKUP(B1127,TblArticles,3,FALSE),""))</f>
        <v/>
      </c>
      <c r="E1127" s="6">
        <f>IFERROR(DATE(2000+VALUE(MID(A1127,FIND("15",A1127,FIND("01",A1127)+16)+2,2)),VALUE(MID(A1127,FIND("15",A1127,FIND("01",A1127)+16)+4,2)),VALUE(MID(A1127,FIND("15",A1127,FIND("01",A1127)+16)+6,2))),"")</f>
        <v/>
      </c>
      <c r="F1127" s="5">
        <f>IFERROR(MID(A1127,FIND("10",A1127,FIND("15",A1127,FIND("01",A1127)+16)+8)+2,50),"")</f>
        <v/>
      </c>
      <c r="G1127" s="5" t="n"/>
    </row>
    <row r="1128">
      <c r="A1128" s="7" t="n"/>
      <c r="B1128" s="8">
        <f>IFERROR(MID(A1128,FIND("01",A1128)+2,14),"")</f>
        <v/>
      </c>
      <c r="C1128" s="7">
        <f>IF(A1128="","",IFERROR(VLOOKUP(B1128,TblArticles,2,FALSE),"GTIN inconnu"))</f>
        <v/>
      </c>
      <c r="D1128" s="8">
        <f>IF(A1128="","",IFERROR(VLOOKUP(B1128,TblArticles,3,FALSE),""))</f>
        <v/>
      </c>
      <c r="E1128" s="9">
        <f>IFERROR(DATE(2000+VALUE(MID(A1128,FIND("15",A1128,FIND("01",A1128)+16)+2,2)),VALUE(MID(A1128,FIND("15",A1128,FIND("01",A1128)+16)+4,2)),VALUE(MID(A1128,FIND("15",A1128,FIND("01",A1128)+16)+6,2))),"")</f>
        <v/>
      </c>
      <c r="F1128" s="8">
        <f>IFERROR(MID(A1128,FIND("10",A1128,FIND("15",A1128,FIND("01",A1128)+16)+8)+2,50),"")</f>
        <v/>
      </c>
      <c r="G1128" s="8" t="n"/>
    </row>
    <row r="1129">
      <c r="A1129" s="4" t="n"/>
      <c r="B1129" s="5">
        <f>IFERROR(MID(A1129,FIND("01",A1129)+2,14),"")</f>
        <v/>
      </c>
      <c r="C1129" s="4">
        <f>IF(A1129="","",IFERROR(VLOOKUP(B1129,TblArticles,2,FALSE),"GTIN inconnu"))</f>
        <v/>
      </c>
      <c r="D1129" s="5">
        <f>IF(A1129="","",IFERROR(VLOOKUP(B1129,TblArticles,3,FALSE),""))</f>
        <v/>
      </c>
      <c r="E1129" s="6">
        <f>IFERROR(DATE(2000+VALUE(MID(A1129,FIND("15",A1129,FIND("01",A1129)+16)+2,2)),VALUE(MID(A1129,FIND("15",A1129,FIND("01",A1129)+16)+4,2)),VALUE(MID(A1129,FIND("15",A1129,FIND("01",A1129)+16)+6,2))),"")</f>
        <v/>
      </c>
      <c r="F1129" s="5">
        <f>IFERROR(MID(A1129,FIND("10",A1129,FIND("15",A1129,FIND("01",A1129)+16)+8)+2,50),"")</f>
        <v/>
      </c>
      <c r="G1129" s="5" t="n"/>
    </row>
    <row r="1130">
      <c r="A1130" s="7" t="n"/>
      <c r="B1130" s="8">
        <f>IFERROR(MID(A1130,FIND("01",A1130)+2,14),"")</f>
        <v/>
      </c>
      <c r="C1130" s="7">
        <f>IF(A1130="","",IFERROR(VLOOKUP(B1130,TblArticles,2,FALSE),"GTIN inconnu"))</f>
        <v/>
      </c>
      <c r="D1130" s="8">
        <f>IF(A1130="","",IFERROR(VLOOKUP(B1130,TblArticles,3,FALSE),""))</f>
        <v/>
      </c>
      <c r="E1130" s="9">
        <f>IFERROR(DATE(2000+VALUE(MID(A1130,FIND("15",A1130,FIND("01",A1130)+16)+2,2)),VALUE(MID(A1130,FIND("15",A1130,FIND("01",A1130)+16)+4,2)),VALUE(MID(A1130,FIND("15",A1130,FIND("01",A1130)+16)+6,2))),"")</f>
        <v/>
      </c>
      <c r="F1130" s="8">
        <f>IFERROR(MID(A1130,FIND("10",A1130,FIND("15",A1130,FIND("01",A1130)+16)+8)+2,50),"")</f>
        <v/>
      </c>
      <c r="G1130" s="8" t="n"/>
    </row>
    <row r="1131">
      <c r="A1131" s="4" t="n"/>
      <c r="B1131" s="5">
        <f>IFERROR(MID(A1131,FIND("01",A1131)+2,14),"")</f>
        <v/>
      </c>
      <c r="C1131" s="4">
        <f>IF(A1131="","",IFERROR(VLOOKUP(B1131,TblArticles,2,FALSE),"GTIN inconnu"))</f>
        <v/>
      </c>
      <c r="D1131" s="5">
        <f>IF(A1131="","",IFERROR(VLOOKUP(B1131,TblArticles,3,FALSE),""))</f>
        <v/>
      </c>
      <c r="E1131" s="6">
        <f>IFERROR(DATE(2000+VALUE(MID(A1131,FIND("15",A1131,FIND("01",A1131)+16)+2,2)),VALUE(MID(A1131,FIND("15",A1131,FIND("01",A1131)+16)+4,2)),VALUE(MID(A1131,FIND("15",A1131,FIND("01",A1131)+16)+6,2))),"")</f>
        <v/>
      </c>
      <c r="F1131" s="5">
        <f>IFERROR(MID(A1131,FIND("10",A1131,FIND("15",A1131,FIND("01",A1131)+16)+8)+2,50),"")</f>
        <v/>
      </c>
      <c r="G1131" s="5" t="n"/>
    </row>
    <row r="1132">
      <c r="A1132" s="7" t="n"/>
      <c r="B1132" s="8">
        <f>IFERROR(MID(A1132,FIND("01",A1132)+2,14),"")</f>
        <v/>
      </c>
      <c r="C1132" s="7">
        <f>IF(A1132="","",IFERROR(VLOOKUP(B1132,TblArticles,2,FALSE),"GTIN inconnu"))</f>
        <v/>
      </c>
      <c r="D1132" s="8">
        <f>IF(A1132="","",IFERROR(VLOOKUP(B1132,TblArticles,3,FALSE),""))</f>
        <v/>
      </c>
      <c r="E1132" s="9">
        <f>IFERROR(DATE(2000+VALUE(MID(A1132,FIND("15",A1132,FIND("01",A1132)+16)+2,2)),VALUE(MID(A1132,FIND("15",A1132,FIND("01",A1132)+16)+4,2)),VALUE(MID(A1132,FIND("15",A1132,FIND("01",A1132)+16)+6,2))),"")</f>
        <v/>
      </c>
      <c r="F1132" s="8">
        <f>IFERROR(MID(A1132,FIND("10",A1132,FIND("15",A1132,FIND("01",A1132)+16)+8)+2,50),"")</f>
        <v/>
      </c>
      <c r="G1132" s="8" t="n"/>
    </row>
    <row r="1133">
      <c r="A1133" s="4" t="n"/>
      <c r="B1133" s="5">
        <f>IFERROR(MID(A1133,FIND("01",A1133)+2,14),"")</f>
        <v/>
      </c>
      <c r="C1133" s="4">
        <f>IF(A1133="","",IFERROR(VLOOKUP(B1133,TblArticles,2,FALSE),"GTIN inconnu"))</f>
        <v/>
      </c>
      <c r="D1133" s="5">
        <f>IF(A1133="","",IFERROR(VLOOKUP(B1133,TblArticles,3,FALSE),""))</f>
        <v/>
      </c>
      <c r="E1133" s="6">
        <f>IFERROR(DATE(2000+VALUE(MID(A1133,FIND("15",A1133,FIND("01",A1133)+16)+2,2)),VALUE(MID(A1133,FIND("15",A1133,FIND("01",A1133)+16)+4,2)),VALUE(MID(A1133,FIND("15",A1133,FIND("01",A1133)+16)+6,2))),"")</f>
        <v/>
      </c>
      <c r="F1133" s="5">
        <f>IFERROR(MID(A1133,FIND("10",A1133,FIND("15",A1133,FIND("01",A1133)+16)+8)+2,50),"")</f>
        <v/>
      </c>
      <c r="G1133" s="5" t="n"/>
    </row>
    <row r="1134">
      <c r="A1134" s="7" t="n"/>
      <c r="B1134" s="8">
        <f>IFERROR(MID(A1134,FIND("01",A1134)+2,14),"")</f>
        <v/>
      </c>
      <c r="C1134" s="7">
        <f>IF(A1134="","",IFERROR(VLOOKUP(B1134,TblArticles,2,FALSE),"GTIN inconnu"))</f>
        <v/>
      </c>
      <c r="D1134" s="8">
        <f>IF(A1134="","",IFERROR(VLOOKUP(B1134,TblArticles,3,FALSE),""))</f>
        <v/>
      </c>
      <c r="E1134" s="9">
        <f>IFERROR(DATE(2000+VALUE(MID(A1134,FIND("15",A1134,FIND("01",A1134)+16)+2,2)),VALUE(MID(A1134,FIND("15",A1134,FIND("01",A1134)+16)+4,2)),VALUE(MID(A1134,FIND("15",A1134,FIND("01",A1134)+16)+6,2))),"")</f>
        <v/>
      </c>
      <c r="F1134" s="8">
        <f>IFERROR(MID(A1134,FIND("10",A1134,FIND("15",A1134,FIND("01",A1134)+16)+8)+2,50),"")</f>
        <v/>
      </c>
      <c r="G1134" s="8" t="n"/>
    </row>
    <row r="1135">
      <c r="A1135" s="4" t="n"/>
      <c r="B1135" s="5">
        <f>IFERROR(MID(A1135,FIND("01",A1135)+2,14),"")</f>
        <v/>
      </c>
      <c r="C1135" s="4">
        <f>IF(A1135="","",IFERROR(VLOOKUP(B1135,TblArticles,2,FALSE),"GTIN inconnu"))</f>
        <v/>
      </c>
      <c r="D1135" s="5">
        <f>IF(A1135="","",IFERROR(VLOOKUP(B1135,TblArticles,3,FALSE),""))</f>
        <v/>
      </c>
      <c r="E1135" s="6">
        <f>IFERROR(DATE(2000+VALUE(MID(A1135,FIND("15",A1135,FIND("01",A1135)+16)+2,2)),VALUE(MID(A1135,FIND("15",A1135,FIND("01",A1135)+16)+4,2)),VALUE(MID(A1135,FIND("15",A1135,FIND("01",A1135)+16)+6,2))),"")</f>
        <v/>
      </c>
      <c r="F1135" s="5">
        <f>IFERROR(MID(A1135,FIND("10",A1135,FIND("15",A1135,FIND("01",A1135)+16)+8)+2,50),"")</f>
        <v/>
      </c>
      <c r="G1135" s="5" t="n"/>
    </row>
    <row r="1136">
      <c r="A1136" s="7" t="n"/>
      <c r="B1136" s="8">
        <f>IFERROR(MID(A1136,FIND("01",A1136)+2,14),"")</f>
        <v/>
      </c>
      <c r="C1136" s="7">
        <f>IF(A1136="","",IFERROR(VLOOKUP(B1136,TblArticles,2,FALSE),"GTIN inconnu"))</f>
        <v/>
      </c>
      <c r="D1136" s="8">
        <f>IF(A1136="","",IFERROR(VLOOKUP(B1136,TblArticles,3,FALSE),""))</f>
        <v/>
      </c>
      <c r="E1136" s="9">
        <f>IFERROR(DATE(2000+VALUE(MID(A1136,FIND("15",A1136,FIND("01",A1136)+16)+2,2)),VALUE(MID(A1136,FIND("15",A1136,FIND("01",A1136)+16)+4,2)),VALUE(MID(A1136,FIND("15",A1136,FIND("01",A1136)+16)+6,2))),"")</f>
        <v/>
      </c>
      <c r="F1136" s="8">
        <f>IFERROR(MID(A1136,FIND("10",A1136,FIND("15",A1136,FIND("01",A1136)+16)+8)+2,50),"")</f>
        <v/>
      </c>
      <c r="G1136" s="8" t="n"/>
    </row>
    <row r="1137">
      <c r="A1137" s="4" t="n"/>
      <c r="B1137" s="5">
        <f>IFERROR(MID(A1137,FIND("01",A1137)+2,14),"")</f>
        <v/>
      </c>
      <c r="C1137" s="4">
        <f>IF(A1137="","",IFERROR(VLOOKUP(B1137,TblArticles,2,FALSE),"GTIN inconnu"))</f>
        <v/>
      </c>
      <c r="D1137" s="5">
        <f>IF(A1137="","",IFERROR(VLOOKUP(B1137,TblArticles,3,FALSE),""))</f>
        <v/>
      </c>
      <c r="E1137" s="6">
        <f>IFERROR(DATE(2000+VALUE(MID(A1137,FIND("15",A1137,FIND("01",A1137)+16)+2,2)),VALUE(MID(A1137,FIND("15",A1137,FIND("01",A1137)+16)+4,2)),VALUE(MID(A1137,FIND("15",A1137,FIND("01",A1137)+16)+6,2))),"")</f>
        <v/>
      </c>
      <c r="F1137" s="5">
        <f>IFERROR(MID(A1137,FIND("10",A1137,FIND("15",A1137,FIND("01",A1137)+16)+8)+2,50),"")</f>
        <v/>
      </c>
      <c r="G1137" s="5" t="n"/>
    </row>
    <row r="1138">
      <c r="A1138" s="7" t="n"/>
      <c r="B1138" s="8">
        <f>IFERROR(MID(A1138,FIND("01",A1138)+2,14),"")</f>
        <v/>
      </c>
      <c r="C1138" s="7">
        <f>IF(A1138="","",IFERROR(VLOOKUP(B1138,TblArticles,2,FALSE),"GTIN inconnu"))</f>
        <v/>
      </c>
      <c r="D1138" s="8">
        <f>IF(A1138="","",IFERROR(VLOOKUP(B1138,TblArticles,3,FALSE),""))</f>
        <v/>
      </c>
      <c r="E1138" s="9">
        <f>IFERROR(DATE(2000+VALUE(MID(A1138,FIND("15",A1138,FIND("01",A1138)+16)+2,2)),VALUE(MID(A1138,FIND("15",A1138,FIND("01",A1138)+16)+4,2)),VALUE(MID(A1138,FIND("15",A1138,FIND("01",A1138)+16)+6,2))),"")</f>
        <v/>
      </c>
      <c r="F1138" s="8">
        <f>IFERROR(MID(A1138,FIND("10",A1138,FIND("15",A1138,FIND("01",A1138)+16)+8)+2,50),"")</f>
        <v/>
      </c>
      <c r="G1138" s="8" t="n"/>
    </row>
    <row r="1139">
      <c r="A1139" s="4" t="n"/>
      <c r="B1139" s="5">
        <f>IFERROR(MID(A1139,FIND("01",A1139)+2,14),"")</f>
        <v/>
      </c>
      <c r="C1139" s="4">
        <f>IF(A1139="","",IFERROR(VLOOKUP(B1139,TblArticles,2,FALSE),"GTIN inconnu"))</f>
        <v/>
      </c>
      <c r="D1139" s="5">
        <f>IF(A1139="","",IFERROR(VLOOKUP(B1139,TblArticles,3,FALSE),""))</f>
        <v/>
      </c>
      <c r="E1139" s="6">
        <f>IFERROR(DATE(2000+VALUE(MID(A1139,FIND("15",A1139,FIND("01",A1139)+16)+2,2)),VALUE(MID(A1139,FIND("15",A1139,FIND("01",A1139)+16)+4,2)),VALUE(MID(A1139,FIND("15",A1139,FIND("01",A1139)+16)+6,2))),"")</f>
        <v/>
      </c>
      <c r="F1139" s="5">
        <f>IFERROR(MID(A1139,FIND("10",A1139,FIND("15",A1139,FIND("01",A1139)+16)+8)+2,50),"")</f>
        <v/>
      </c>
      <c r="G1139" s="5" t="n"/>
    </row>
    <row r="1140">
      <c r="A1140" s="7" t="n"/>
      <c r="B1140" s="8">
        <f>IFERROR(MID(A1140,FIND("01",A1140)+2,14),"")</f>
        <v/>
      </c>
      <c r="C1140" s="7">
        <f>IF(A1140="","",IFERROR(VLOOKUP(B1140,TblArticles,2,FALSE),"GTIN inconnu"))</f>
        <v/>
      </c>
      <c r="D1140" s="8">
        <f>IF(A1140="","",IFERROR(VLOOKUP(B1140,TblArticles,3,FALSE),""))</f>
        <v/>
      </c>
      <c r="E1140" s="9">
        <f>IFERROR(DATE(2000+VALUE(MID(A1140,FIND("15",A1140,FIND("01",A1140)+16)+2,2)),VALUE(MID(A1140,FIND("15",A1140,FIND("01",A1140)+16)+4,2)),VALUE(MID(A1140,FIND("15",A1140,FIND("01",A1140)+16)+6,2))),"")</f>
        <v/>
      </c>
      <c r="F1140" s="8">
        <f>IFERROR(MID(A1140,FIND("10",A1140,FIND("15",A1140,FIND("01",A1140)+16)+8)+2,50),"")</f>
        <v/>
      </c>
      <c r="G1140" s="8" t="n"/>
    </row>
    <row r="1141">
      <c r="A1141" s="4" t="n"/>
      <c r="B1141" s="5">
        <f>IFERROR(MID(A1141,FIND("01",A1141)+2,14),"")</f>
        <v/>
      </c>
      <c r="C1141" s="4">
        <f>IF(A1141="","",IFERROR(VLOOKUP(B1141,TblArticles,2,FALSE),"GTIN inconnu"))</f>
        <v/>
      </c>
      <c r="D1141" s="5">
        <f>IF(A1141="","",IFERROR(VLOOKUP(B1141,TblArticles,3,FALSE),""))</f>
        <v/>
      </c>
      <c r="E1141" s="6">
        <f>IFERROR(DATE(2000+VALUE(MID(A1141,FIND("15",A1141,FIND("01",A1141)+16)+2,2)),VALUE(MID(A1141,FIND("15",A1141,FIND("01",A1141)+16)+4,2)),VALUE(MID(A1141,FIND("15",A1141,FIND("01",A1141)+16)+6,2))),"")</f>
        <v/>
      </c>
      <c r="F1141" s="5">
        <f>IFERROR(MID(A1141,FIND("10",A1141,FIND("15",A1141,FIND("01",A1141)+16)+8)+2,50),"")</f>
        <v/>
      </c>
      <c r="G1141" s="5" t="n"/>
    </row>
    <row r="1142">
      <c r="A1142" s="7" t="n"/>
      <c r="B1142" s="8">
        <f>IFERROR(MID(A1142,FIND("01",A1142)+2,14),"")</f>
        <v/>
      </c>
      <c r="C1142" s="7">
        <f>IF(A1142="","",IFERROR(VLOOKUP(B1142,TblArticles,2,FALSE),"GTIN inconnu"))</f>
        <v/>
      </c>
      <c r="D1142" s="8">
        <f>IF(A1142="","",IFERROR(VLOOKUP(B1142,TblArticles,3,FALSE),""))</f>
        <v/>
      </c>
      <c r="E1142" s="9">
        <f>IFERROR(DATE(2000+VALUE(MID(A1142,FIND("15",A1142,FIND("01",A1142)+16)+2,2)),VALUE(MID(A1142,FIND("15",A1142,FIND("01",A1142)+16)+4,2)),VALUE(MID(A1142,FIND("15",A1142,FIND("01",A1142)+16)+6,2))),"")</f>
        <v/>
      </c>
      <c r="F1142" s="8">
        <f>IFERROR(MID(A1142,FIND("10",A1142,FIND("15",A1142,FIND("01",A1142)+16)+8)+2,50),"")</f>
        <v/>
      </c>
      <c r="G1142" s="8" t="n"/>
    </row>
    <row r="1143">
      <c r="A1143" s="4" t="n"/>
      <c r="B1143" s="5">
        <f>IFERROR(MID(A1143,FIND("01",A1143)+2,14),"")</f>
        <v/>
      </c>
      <c r="C1143" s="4">
        <f>IF(A1143="","",IFERROR(VLOOKUP(B1143,TblArticles,2,FALSE),"GTIN inconnu"))</f>
        <v/>
      </c>
      <c r="D1143" s="5">
        <f>IF(A1143="","",IFERROR(VLOOKUP(B1143,TblArticles,3,FALSE),""))</f>
        <v/>
      </c>
      <c r="E1143" s="6">
        <f>IFERROR(DATE(2000+VALUE(MID(A1143,FIND("15",A1143,FIND("01",A1143)+16)+2,2)),VALUE(MID(A1143,FIND("15",A1143,FIND("01",A1143)+16)+4,2)),VALUE(MID(A1143,FIND("15",A1143,FIND("01",A1143)+16)+6,2))),"")</f>
        <v/>
      </c>
      <c r="F1143" s="5">
        <f>IFERROR(MID(A1143,FIND("10",A1143,FIND("15",A1143,FIND("01",A1143)+16)+8)+2,50),"")</f>
        <v/>
      </c>
      <c r="G1143" s="5" t="n"/>
    </row>
    <row r="1144">
      <c r="A1144" s="7" t="n"/>
      <c r="B1144" s="8">
        <f>IFERROR(MID(A1144,FIND("01",A1144)+2,14),"")</f>
        <v/>
      </c>
      <c r="C1144" s="7">
        <f>IF(A1144="","",IFERROR(VLOOKUP(B1144,TblArticles,2,FALSE),"GTIN inconnu"))</f>
        <v/>
      </c>
      <c r="D1144" s="8">
        <f>IF(A1144="","",IFERROR(VLOOKUP(B1144,TblArticles,3,FALSE),""))</f>
        <v/>
      </c>
      <c r="E1144" s="9">
        <f>IFERROR(DATE(2000+VALUE(MID(A1144,FIND("15",A1144,FIND("01",A1144)+16)+2,2)),VALUE(MID(A1144,FIND("15",A1144,FIND("01",A1144)+16)+4,2)),VALUE(MID(A1144,FIND("15",A1144,FIND("01",A1144)+16)+6,2))),"")</f>
        <v/>
      </c>
      <c r="F1144" s="8">
        <f>IFERROR(MID(A1144,FIND("10",A1144,FIND("15",A1144,FIND("01",A1144)+16)+8)+2,50),"")</f>
        <v/>
      </c>
      <c r="G1144" s="8" t="n"/>
    </row>
    <row r="1145">
      <c r="A1145" s="4" t="n"/>
      <c r="B1145" s="5">
        <f>IFERROR(MID(A1145,FIND("01",A1145)+2,14),"")</f>
        <v/>
      </c>
      <c r="C1145" s="4">
        <f>IF(A1145="","",IFERROR(VLOOKUP(B1145,TblArticles,2,FALSE),"GTIN inconnu"))</f>
        <v/>
      </c>
      <c r="D1145" s="5">
        <f>IF(A1145="","",IFERROR(VLOOKUP(B1145,TblArticles,3,FALSE),""))</f>
        <v/>
      </c>
      <c r="E1145" s="6">
        <f>IFERROR(DATE(2000+VALUE(MID(A1145,FIND("15",A1145,FIND("01",A1145)+16)+2,2)),VALUE(MID(A1145,FIND("15",A1145,FIND("01",A1145)+16)+4,2)),VALUE(MID(A1145,FIND("15",A1145,FIND("01",A1145)+16)+6,2))),"")</f>
        <v/>
      </c>
      <c r="F1145" s="5">
        <f>IFERROR(MID(A1145,FIND("10",A1145,FIND("15",A1145,FIND("01",A1145)+16)+8)+2,50),"")</f>
        <v/>
      </c>
      <c r="G1145" s="5" t="n"/>
    </row>
    <row r="1146">
      <c r="A1146" s="7" t="n"/>
      <c r="B1146" s="8">
        <f>IFERROR(MID(A1146,FIND("01",A1146)+2,14),"")</f>
        <v/>
      </c>
      <c r="C1146" s="7">
        <f>IF(A1146="","",IFERROR(VLOOKUP(B1146,TblArticles,2,FALSE),"GTIN inconnu"))</f>
        <v/>
      </c>
      <c r="D1146" s="8">
        <f>IF(A1146="","",IFERROR(VLOOKUP(B1146,TblArticles,3,FALSE),""))</f>
        <v/>
      </c>
      <c r="E1146" s="9">
        <f>IFERROR(DATE(2000+VALUE(MID(A1146,FIND("15",A1146,FIND("01",A1146)+16)+2,2)),VALUE(MID(A1146,FIND("15",A1146,FIND("01",A1146)+16)+4,2)),VALUE(MID(A1146,FIND("15",A1146,FIND("01",A1146)+16)+6,2))),"")</f>
        <v/>
      </c>
      <c r="F1146" s="8">
        <f>IFERROR(MID(A1146,FIND("10",A1146,FIND("15",A1146,FIND("01",A1146)+16)+8)+2,50),"")</f>
        <v/>
      </c>
      <c r="G1146" s="8" t="n"/>
    </row>
    <row r="1147">
      <c r="A1147" s="4" t="n"/>
      <c r="B1147" s="5">
        <f>IFERROR(MID(A1147,FIND("01",A1147)+2,14),"")</f>
        <v/>
      </c>
      <c r="C1147" s="4">
        <f>IF(A1147="","",IFERROR(VLOOKUP(B1147,TblArticles,2,FALSE),"GTIN inconnu"))</f>
        <v/>
      </c>
      <c r="D1147" s="5">
        <f>IF(A1147="","",IFERROR(VLOOKUP(B1147,TblArticles,3,FALSE),""))</f>
        <v/>
      </c>
      <c r="E1147" s="6">
        <f>IFERROR(DATE(2000+VALUE(MID(A1147,FIND("15",A1147,FIND("01",A1147)+16)+2,2)),VALUE(MID(A1147,FIND("15",A1147,FIND("01",A1147)+16)+4,2)),VALUE(MID(A1147,FIND("15",A1147,FIND("01",A1147)+16)+6,2))),"")</f>
        <v/>
      </c>
      <c r="F1147" s="5">
        <f>IFERROR(MID(A1147,FIND("10",A1147,FIND("15",A1147,FIND("01",A1147)+16)+8)+2,50),"")</f>
        <v/>
      </c>
      <c r="G1147" s="5" t="n"/>
    </row>
    <row r="1148">
      <c r="A1148" s="7" t="n"/>
      <c r="B1148" s="8">
        <f>IFERROR(MID(A1148,FIND("01",A1148)+2,14),"")</f>
        <v/>
      </c>
      <c r="C1148" s="7">
        <f>IF(A1148="","",IFERROR(VLOOKUP(B1148,TblArticles,2,FALSE),"GTIN inconnu"))</f>
        <v/>
      </c>
      <c r="D1148" s="8">
        <f>IF(A1148="","",IFERROR(VLOOKUP(B1148,TblArticles,3,FALSE),""))</f>
        <v/>
      </c>
      <c r="E1148" s="9">
        <f>IFERROR(DATE(2000+VALUE(MID(A1148,FIND("15",A1148,FIND("01",A1148)+16)+2,2)),VALUE(MID(A1148,FIND("15",A1148,FIND("01",A1148)+16)+4,2)),VALUE(MID(A1148,FIND("15",A1148,FIND("01",A1148)+16)+6,2))),"")</f>
        <v/>
      </c>
      <c r="F1148" s="8">
        <f>IFERROR(MID(A1148,FIND("10",A1148,FIND("15",A1148,FIND("01",A1148)+16)+8)+2,50),"")</f>
        <v/>
      </c>
      <c r="G1148" s="8" t="n"/>
    </row>
    <row r="1149">
      <c r="A1149" s="4" t="n"/>
      <c r="B1149" s="5">
        <f>IFERROR(MID(A1149,FIND("01",A1149)+2,14),"")</f>
        <v/>
      </c>
      <c r="C1149" s="4">
        <f>IF(A1149="","",IFERROR(VLOOKUP(B1149,TblArticles,2,FALSE),"GTIN inconnu"))</f>
        <v/>
      </c>
      <c r="D1149" s="5">
        <f>IF(A1149="","",IFERROR(VLOOKUP(B1149,TblArticles,3,FALSE),""))</f>
        <v/>
      </c>
      <c r="E1149" s="6">
        <f>IFERROR(DATE(2000+VALUE(MID(A1149,FIND("15",A1149,FIND("01",A1149)+16)+2,2)),VALUE(MID(A1149,FIND("15",A1149,FIND("01",A1149)+16)+4,2)),VALUE(MID(A1149,FIND("15",A1149,FIND("01",A1149)+16)+6,2))),"")</f>
        <v/>
      </c>
      <c r="F1149" s="5">
        <f>IFERROR(MID(A1149,FIND("10",A1149,FIND("15",A1149,FIND("01",A1149)+16)+8)+2,50),"")</f>
        <v/>
      </c>
      <c r="G1149" s="5" t="n"/>
    </row>
    <row r="1150">
      <c r="A1150" s="7" t="n"/>
      <c r="B1150" s="8">
        <f>IFERROR(MID(A1150,FIND("01",A1150)+2,14),"")</f>
        <v/>
      </c>
      <c r="C1150" s="7">
        <f>IF(A1150="","",IFERROR(VLOOKUP(B1150,TblArticles,2,FALSE),"GTIN inconnu"))</f>
        <v/>
      </c>
      <c r="D1150" s="8">
        <f>IF(A1150="","",IFERROR(VLOOKUP(B1150,TblArticles,3,FALSE),""))</f>
        <v/>
      </c>
      <c r="E1150" s="9">
        <f>IFERROR(DATE(2000+VALUE(MID(A1150,FIND("15",A1150,FIND("01",A1150)+16)+2,2)),VALUE(MID(A1150,FIND("15",A1150,FIND("01",A1150)+16)+4,2)),VALUE(MID(A1150,FIND("15",A1150,FIND("01",A1150)+16)+6,2))),"")</f>
        <v/>
      </c>
      <c r="F1150" s="8">
        <f>IFERROR(MID(A1150,FIND("10",A1150,FIND("15",A1150,FIND("01",A1150)+16)+8)+2,50),"")</f>
        <v/>
      </c>
      <c r="G1150" s="8" t="n"/>
    </row>
    <row r="1151">
      <c r="A1151" s="4" t="n"/>
      <c r="B1151" s="5">
        <f>IFERROR(MID(A1151,FIND("01",A1151)+2,14),"")</f>
        <v/>
      </c>
      <c r="C1151" s="4">
        <f>IF(A1151="","",IFERROR(VLOOKUP(B1151,TblArticles,2,FALSE),"GTIN inconnu"))</f>
        <v/>
      </c>
      <c r="D1151" s="5">
        <f>IF(A1151="","",IFERROR(VLOOKUP(B1151,TblArticles,3,FALSE),""))</f>
        <v/>
      </c>
      <c r="E1151" s="6">
        <f>IFERROR(DATE(2000+VALUE(MID(A1151,FIND("15",A1151,FIND("01",A1151)+16)+2,2)),VALUE(MID(A1151,FIND("15",A1151,FIND("01",A1151)+16)+4,2)),VALUE(MID(A1151,FIND("15",A1151,FIND("01",A1151)+16)+6,2))),"")</f>
        <v/>
      </c>
      <c r="F1151" s="5">
        <f>IFERROR(MID(A1151,FIND("10",A1151,FIND("15",A1151,FIND("01",A1151)+16)+8)+2,50),"")</f>
        <v/>
      </c>
      <c r="G1151" s="5" t="n"/>
    </row>
    <row r="1152">
      <c r="A1152" s="7" t="n"/>
      <c r="B1152" s="8">
        <f>IFERROR(MID(A1152,FIND("01",A1152)+2,14),"")</f>
        <v/>
      </c>
      <c r="C1152" s="7">
        <f>IF(A1152="","",IFERROR(VLOOKUP(B1152,TblArticles,2,FALSE),"GTIN inconnu"))</f>
        <v/>
      </c>
      <c r="D1152" s="8">
        <f>IF(A1152="","",IFERROR(VLOOKUP(B1152,TblArticles,3,FALSE),""))</f>
        <v/>
      </c>
      <c r="E1152" s="9">
        <f>IFERROR(DATE(2000+VALUE(MID(A1152,FIND("15",A1152,FIND("01",A1152)+16)+2,2)),VALUE(MID(A1152,FIND("15",A1152,FIND("01",A1152)+16)+4,2)),VALUE(MID(A1152,FIND("15",A1152,FIND("01",A1152)+16)+6,2))),"")</f>
        <v/>
      </c>
      <c r="F1152" s="8">
        <f>IFERROR(MID(A1152,FIND("10",A1152,FIND("15",A1152,FIND("01",A1152)+16)+8)+2,50),"")</f>
        <v/>
      </c>
      <c r="G1152" s="8" t="n"/>
    </row>
    <row r="1153">
      <c r="A1153" s="4" t="n"/>
      <c r="B1153" s="5">
        <f>IFERROR(MID(A1153,FIND("01",A1153)+2,14),"")</f>
        <v/>
      </c>
      <c r="C1153" s="4">
        <f>IF(A1153="","",IFERROR(VLOOKUP(B1153,TblArticles,2,FALSE),"GTIN inconnu"))</f>
        <v/>
      </c>
      <c r="D1153" s="5">
        <f>IF(A1153="","",IFERROR(VLOOKUP(B1153,TblArticles,3,FALSE),""))</f>
        <v/>
      </c>
      <c r="E1153" s="6">
        <f>IFERROR(DATE(2000+VALUE(MID(A1153,FIND("15",A1153,FIND("01",A1153)+16)+2,2)),VALUE(MID(A1153,FIND("15",A1153,FIND("01",A1153)+16)+4,2)),VALUE(MID(A1153,FIND("15",A1153,FIND("01",A1153)+16)+6,2))),"")</f>
        <v/>
      </c>
      <c r="F1153" s="5">
        <f>IFERROR(MID(A1153,FIND("10",A1153,FIND("15",A1153,FIND("01",A1153)+16)+8)+2,50),"")</f>
        <v/>
      </c>
      <c r="G1153" s="5" t="n"/>
    </row>
    <row r="1154">
      <c r="A1154" s="7" t="n"/>
      <c r="B1154" s="8">
        <f>IFERROR(MID(A1154,FIND("01",A1154)+2,14),"")</f>
        <v/>
      </c>
      <c r="C1154" s="7">
        <f>IF(A1154="","",IFERROR(VLOOKUP(B1154,TblArticles,2,FALSE),"GTIN inconnu"))</f>
        <v/>
      </c>
      <c r="D1154" s="8">
        <f>IF(A1154="","",IFERROR(VLOOKUP(B1154,TblArticles,3,FALSE),""))</f>
        <v/>
      </c>
      <c r="E1154" s="9">
        <f>IFERROR(DATE(2000+VALUE(MID(A1154,FIND("15",A1154,FIND("01",A1154)+16)+2,2)),VALUE(MID(A1154,FIND("15",A1154,FIND("01",A1154)+16)+4,2)),VALUE(MID(A1154,FIND("15",A1154,FIND("01",A1154)+16)+6,2))),"")</f>
        <v/>
      </c>
      <c r="F1154" s="8">
        <f>IFERROR(MID(A1154,FIND("10",A1154,FIND("15",A1154,FIND("01",A1154)+16)+8)+2,50),"")</f>
        <v/>
      </c>
      <c r="G1154" s="8" t="n"/>
    </row>
    <row r="1155">
      <c r="A1155" s="4" t="n"/>
      <c r="B1155" s="5">
        <f>IFERROR(MID(A1155,FIND("01",A1155)+2,14),"")</f>
        <v/>
      </c>
      <c r="C1155" s="4">
        <f>IF(A1155="","",IFERROR(VLOOKUP(B1155,TblArticles,2,FALSE),"GTIN inconnu"))</f>
        <v/>
      </c>
      <c r="D1155" s="5">
        <f>IF(A1155="","",IFERROR(VLOOKUP(B1155,TblArticles,3,FALSE),""))</f>
        <v/>
      </c>
      <c r="E1155" s="6">
        <f>IFERROR(DATE(2000+VALUE(MID(A1155,FIND("15",A1155,FIND("01",A1155)+16)+2,2)),VALUE(MID(A1155,FIND("15",A1155,FIND("01",A1155)+16)+4,2)),VALUE(MID(A1155,FIND("15",A1155,FIND("01",A1155)+16)+6,2))),"")</f>
        <v/>
      </c>
      <c r="F1155" s="5">
        <f>IFERROR(MID(A1155,FIND("10",A1155,FIND("15",A1155,FIND("01",A1155)+16)+8)+2,50),"")</f>
        <v/>
      </c>
      <c r="G1155" s="5" t="n"/>
    </row>
    <row r="1156">
      <c r="A1156" s="7" t="n"/>
      <c r="B1156" s="8">
        <f>IFERROR(MID(A1156,FIND("01",A1156)+2,14),"")</f>
        <v/>
      </c>
      <c r="C1156" s="7">
        <f>IF(A1156="","",IFERROR(VLOOKUP(B1156,TblArticles,2,FALSE),"GTIN inconnu"))</f>
        <v/>
      </c>
      <c r="D1156" s="8">
        <f>IF(A1156="","",IFERROR(VLOOKUP(B1156,TblArticles,3,FALSE),""))</f>
        <v/>
      </c>
      <c r="E1156" s="9">
        <f>IFERROR(DATE(2000+VALUE(MID(A1156,FIND("15",A1156,FIND("01",A1156)+16)+2,2)),VALUE(MID(A1156,FIND("15",A1156,FIND("01",A1156)+16)+4,2)),VALUE(MID(A1156,FIND("15",A1156,FIND("01",A1156)+16)+6,2))),"")</f>
        <v/>
      </c>
      <c r="F1156" s="8">
        <f>IFERROR(MID(A1156,FIND("10",A1156,FIND("15",A1156,FIND("01",A1156)+16)+8)+2,50),"")</f>
        <v/>
      </c>
      <c r="G1156" s="8" t="n"/>
    </row>
    <row r="1157">
      <c r="A1157" s="4" t="n"/>
      <c r="B1157" s="5">
        <f>IFERROR(MID(A1157,FIND("01",A1157)+2,14),"")</f>
        <v/>
      </c>
      <c r="C1157" s="4">
        <f>IF(A1157="","",IFERROR(VLOOKUP(B1157,TblArticles,2,FALSE),"GTIN inconnu"))</f>
        <v/>
      </c>
      <c r="D1157" s="5">
        <f>IF(A1157="","",IFERROR(VLOOKUP(B1157,TblArticles,3,FALSE),""))</f>
        <v/>
      </c>
      <c r="E1157" s="6">
        <f>IFERROR(DATE(2000+VALUE(MID(A1157,FIND("15",A1157,FIND("01",A1157)+16)+2,2)),VALUE(MID(A1157,FIND("15",A1157,FIND("01",A1157)+16)+4,2)),VALUE(MID(A1157,FIND("15",A1157,FIND("01",A1157)+16)+6,2))),"")</f>
        <v/>
      </c>
      <c r="F1157" s="5">
        <f>IFERROR(MID(A1157,FIND("10",A1157,FIND("15",A1157,FIND("01",A1157)+16)+8)+2,50),"")</f>
        <v/>
      </c>
      <c r="G1157" s="5" t="n"/>
    </row>
    <row r="1158">
      <c r="A1158" s="7" t="n"/>
      <c r="B1158" s="8">
        <f>IFERROR(MID(A1158,FIND("01",A1158)+2,14),"")</f>
        <v/>
      </c>
      <c r="C1158" s="7">
        <f>IF(A1158="","",IFERROR(VLOOKUP(B1158,TblArticles,2,FALSE),"GTIN inconnu"))</f>
        <v/>
      </c>
      <c r="D1158" s="8">
        <f>IF(A1158="","",IFERROR(VLOOKUP(B1158,TblArticles,3,FALSE),""))</f>
        <v/>
      </c>
      <c r="E1158" s="9">
        <f>IFERROR(DATE(2000+VALUE(MID(A1158,FIND("15",A1158,FIND("01",A1158)+16)+2,2)),VALUE(MID(A1158,FIND("15",A1158,FIND("01",A1158)+16)+4,2)),VALUE(MID(A1158,FIND("15",A1158,FIND("01",A1158)+16)+6,2))),"")</f>
        <v/>
      </c>
      <c r="F1158" s="8">
        <f>IFERROR(MID(A1158,FIND("10",A1158,FIND("15",A1158,FIND("01",A1158)+16)+8)+2,50),"")</f>
        <v/>
      </c>
      <c r="G1158" s="8" t="n"/>
    </row>
    <row r="1159">
      <c r="A1159" s="4" t="n"/>
      <c r="B1159" s="5">
        <f>IFERROR(MID(A1159,FIND("01",A1159)+2,14),"")</f>
        <v/>
      </c>
      <c r="C1159" s="4">
        <f>IF(A1159="","",IFERROR(VLOOKUP(B1159,TblArticles,2,FALSE),"GTIN inconnu"))</f>
        <v/>
      </c>
      <c r="D1159" s="5">
        <f>IF(A1159="","",IFERROR(VLOOKUP(B1159,TblArticles,3,FALSE),""))</f>
        <v/>
      </c>
      <c r="E1159" s="6">
        <f>IFERROR(DATE(2000+VALUE(MID(A1159,FIND("15",A1159,FIND("01",A1159)+16)+2,2)),VALUE(MID(A1159,FIND("15",A1159,FIND("01",A1159)+16)+4,2)),VALUE(MID(A1159,FIND("15",A1159,FIND("01",A1159)+16)+6,2))),"")</f>
        <v/>
      </c>
      <c r="F1159" s="5">
        <f>IFERROR(MID(A1159,FIND("10",A1159,FIND("15",A1159,FIND("01",A1159)+16)+8)+2,50),"")</f>
        <v/>
      </c>
      <c r="G1159" s="5" t="n"/>
    </row>
    <row r="1160">
      <c r="A1160" s="7" t="n"/>
      <c r="B1160" s="8">
        <f>IFERROR(MID(A1160,FIND("01",A1160)+2,14),"")</f>
        <v/>
      </c>
      <c r="C1160" s="7">
        <f>IF(A1160="","",IFERROR(VLOOKUP(B1160,TblArticles,2,FALSE),"GTIN inconnu"))</f>
        <v/>
      </c>
      <c r="D1160" s="8">
        <f>IF(A1160="","",IFERROR(VLOOKUP(B1160,TblArticles,3,FALSE),""))</f>
        <v/>
      </c>
      <c r="E1160" s="9">
        <f>IFERROR(DATE(2000+VALUE(MID(A1160,FIND("15",A1160,FIND("01",A1160)+16)+2,2)),VALUE(MID(A1160,FIND("15",A1160,FIND("01",A1160)+16)+4,2)),VALUE(MID(A1160,FIND("15",A1160,FIND("01",A1160)+16)+6,2))),"")</f>
        <v/>
      </c>
      <c r="F1160" s="8">
        <f>IFERROR(MID(A1160,FIND("10",A1160,FIND("15",A1160,FIND("01",A1160)+16)+8)+2,50),"")</f>
        <v/>
      </c>
      <c r="G1160" s="8" t="n"/>
    </row>
    <row r="1161">
      <c r="A1161" s="4" t="n"/>
      <c r="B1161" s="5">
        <f>IFERROR(MID(A1161,FIND("01",A1161)+2,14),"")</f>
        <v/>
      </c>
      <c r="C1161" s="4">
        <f>IF(A1161="","",IFERROR(VLOOKUP(B1161,TblArticles,2,FALSE),"GTIN inconnu"))</f>
        <v/>
      </c>
      <c r="D1161" s="5">
        <f>IF(A1161="","",IFERROR(VLOOKUP(B1161,TblArticles,3,FALSE),""))</f>
        <v/>
      </c>
      <c r="E1161" s="6">
        <f>IFERROR(DATE(2000+VALUE(MID(A1161,FIND("15",A1161,FIND("01",A1161)+16)+2,2)),VALUE(MID(A1161,FIND("15",A1161,FIND("01",A1161)+16)+4,2)),VALUE(MID(A1161,FIND("15",A1161,FIND("01",A1161)+16)+6,2))),"")</f>
        <v/>
      </c>
      <c r="F1161" s="5">
        <f>IFERROR(MID(A1161,FIND("10",A1161,FIND("15",A1161,FIND("01",A1161)+16)+8)+2,50),"")</f>
        <v/>
      </c>
      <c r="G1161" s="5" t="n"/>
    </row>
    <row r="1162">
      <c r="A1162" s="7" t="n"/>
      <c r="B1162" s="8">
        <f>IFERROR(MID(A1162,FIND("01",A1162)+2,14),"")</f>
        <v/>
      </c>
      <c r="C1162" s="7">
        <f>IF(A1162="","",IFERROR(VLOOKUP(B1162,TblArticles,2,FALSE),"GTIN inconnu"))</f>
        <v/>
      </c>
      <c r="D1162" s="8">
        <f>IF(A1162="","",IFERROR(VLOOKUP(B1162,TblArticles,3,FALSE),""))</f>
        <v/>
      </c>
      <c r="E1162" s="9">
        <f>IFERROR(DATE(2000+VALUE(MID(A1162,FIND("15",A1162,FIND("01",A1162)+16)+2,2)),VALUE(MID(A1162,FIND("15",A1162,FIND("01",A1162)+16)+4,2)),VALUE(MID(A1162,FIND("15",A1162,FIND("01",A1162)+16)+6,2))),"")</f>
        <v/>
      </c>
      <c r="F1162" s="8">
        <f>IFERROR(MID(A1162,FIND("10",A1162,FIND("15",A1162,FIND("01",A1162)+16)+8)+2,50),"")</f>
        <v/>
      </c>
      <c r="G1162" s="8" t="n"/>
    </row>
    <row r="1163">
      <c r="A1163" s="4" t="n"/>
      <c r="B1163" s="5">
        <f>IFERROR(MID(A1163,FIND("01",A1163)+2,14),"")</f>
        <v/>
      </c>
      <c r="C1163" s="4">
        <f>IF(A1163="","",IFERROR(VLOOKUP(B1163,TblArticles,2,FALSE),"GTIN inconnu"))</f>
        <v/>
      </c>
      <c r="D1163" s="5">
        <f>IF(A1163="","",IFERROR(VLOOKUP(B1163,TblArticles,3,FALSE),""))</f>
        <v/>
      </c>
      <c r="E1163" s="6">
        <f>IFERROR(DATE(2000+VALUE(MID(A1163,FIND("15",A1163,FIND("01",A1163)+16)+2,2)),VALUE(MID(A1163,FIND("15",A1163,FIND("01",A1163)+16)+4,2)),VALUE(MID(A1163,FIND("15",A1163,FIND("01",A1163)+16)+6,2))),"")</f>
        <v/>
      </c>
      <c r="F1163" s="5">
        <f>IFERROR(MID(A1163,FIND("10",A1163,FIND("15",A1163,FIND("01",A1163)+16)+8)+2,50),"")</f>
        <v/>
      </c>
      <c r="G1163" s="5" t="n"/>
    </row>
    <row r="1164">
      <c r="A1164" s="7" t="n"/>
      <c r="B1164" s="8">
        <f>IFERROR(MID(A1164,FIND("01",A1164)+2,14),"")</f>
        <v/>
      </c>
      <c r="C1164" s="7">
        <f>IF(A1164="","",IFERROR(VLOOKUP(B1164,TblArticles,2,FALSE),"GTIN inconnu"))</f>
        <v/>
      </c>
      <c r="D1164" s="8">
        <f>IF(A1164="","",IFERROR(VLOOKUP(B1164,TblArticles,3,FALSE),""))</f>
        <v/>
      </c>
      <c r="E1164" s="9">
        <f>IFERROR(DATE(2000+VALUE(MID(A1164,FIND("15",A1164,FIND("01",A1164)+16)+2,2)),VALUE(MID(A1164,FIND("15",A1164,FIND("01",A1164)+16)+4,2)),VALUE(MID(A1164,FIND("15",A1164,FIND("01",A1164)+16)+6,2))),"")</f>
        <v/>
      </c>
      <c r="F1164" s="8">
        <f>IFERROR(MID(A1164,FIND("10",A1164,FIND("15",A1164,FIND("01",A1164)+16)+8)+2,50),"")</f>
        <v/>
      </c>
      <c r="G1164" s="8" t="n"/>
    </row>
    <row r="1165">
      <c r="A1165" s="4" t="n"/>
      <c r="B1165" s="5">
        <f>IFERROR(MID(A1165,FIND("01",A1165)+2,14),"")</f>
        <v/>
      </c>
      <c r="C1165" s="4">
        <f>IF(A1165="","",IFERROR(VLOOKUP(B1165,TblArticles,2,FALSE),"GTIN inconnu"))</f>
        <v/>
      </c>
      <c r="D1165" s="5">
        <f>IF(A1165="","",IFERROR(VLOOKUP(B1165,TblArticles,3,FALSE),""))</f>
        <v/>
      </c>
      <c r="E1165" s="6">
        <f>IFERROR(DATE(2000+VALUE(MID(A1165,FIND("15",A1165,FIND("01",A1165)+16)+2,2)),VALUE(MID(A1165,FIND("15",A1165,FIND("01",A1165)+16)+4,2)),VALUE(MID(A1165,FIND("15",A1165,FIND("01",A1165)+16)+6,2))),"")</f>
        <v/>
      </c>
      <c r="F1165" s="5">
        <f>IFERROR(MID(A1165,FIND("10",A1165,FIND("15",A1165,FIND("01",A1165)+16)+8)+2,50),"")</f>
        <v/>
      </c>
      <c r="G1165" s="5" t="n"/>
    </row>
    <row r="1166">
      <c r="A1166" s="7" t="n"/>
      <c r="B1166" s="8">
        <f>IFERROR(MID(A1166,FIND("01",A1166)+2,14),"")</f>
        <v/>
      </c>
      <c r="C1166" s="7">
        <f>IF(A1166="","",IFERROR(VLOOKUP(B1166,TblArticles,2,FALSE),"GTIN inconnu"))</f>
        <v/>
      </c>
      <c r="D1166" s="8">
        <f>IF(A1166="","",IFERROR(VLOOKUP(B1166,TblArticles,3,FALSE),""))</f>
        <v/>
      </c>
      <c r="E1166" s="9">
        <f>IFERROR(DATE(2000+VALUE(MID(A1166,FIND("15",A1166,FIND("01",A1166)+16)+2,2)),VALUE(MID(A1166,FIND("15",A1166,FIND("01",A1166)+16)+4,2)),VALUE(MID(A1166,FIND("15",A1166,FIND("01",A1166)+16)+6,2))),"")</f>
        <v/>
      </c>
      <c r="F1166" s="8">
        <f>IFERROR(MID(A1166,FIND("10",A1166,FIND("15",A1166,FIND("01",A1166)+16)+8)+2,50),"")</f>
        <v/>
      </c>
      <c r="G1166" s="8" t="n"/>
    </row>
    <row r="1167">
      <c r="A1167" s="4" t="n"/>
      <c r="B1167" s="5">
        <f>IFERROR(MID(A1167,FIND("01",A1167)+2,14),"")</f>
        <v/>
      </c>
      <c r="C1167" s="4">
        <f>IF(A1167="","",IFERROR(VLOOKUP(B1167,TblArticles,2,FALSE),"GTIN inconnu"))</f>
        <v/>
      </c>
      <c r="D1167" s="5">
        <f>IF(A1167="","",IFERROR(VLOOKUP(B1167,TblArticles,3,FALSE),""))</f>
        <v/>
      </c>
      <c r="E1167" s="6">
        <f>IFERROR(DATE(2000+VALUE(MID(A1167,FIND("15",A1167,FIND("01",A1167)+16)+2,2)),VALUE(MID(A1167,FIND("15",A1167,FIND("01",A1167)+16)+4,2)),VALUE(MID(A1167,FIND("15",A1167,FIND("01",A1167)+16)+6,2))),"")</f>
        <v/>
      </c>
      <c r="F1167" s="5">
        <f>IFERROR(MID(A1167,FIND("10",A1167,FIND("15",A1167,FIND("01",A1167)+16)+8)+2,50),"")</f>
        <v/>
      </c>
      <c r="G1167" s="5" t="n"/>
    </row>
    <row r="1168">
      <c r="A1168" s="7" t="n"/>
      <c r="B1168" s="8">
        <f>IFERROR(MID(A1168,FIND("01",A1168)+2,14),"")</f>
        <v/>
      </c>
      <c r="C1168" s="7">
        <f>IF(A1168="","",IFERROR(VLOOKUP(B1168,TblArticles,2,FALSE),"GTIN inconnu"))</f>
        <v/>
      </c>
      <c r="D1168" s="8">
        <f>IF(A1168="","",IFERROR(VLOOKUP(B1168,TblArticles,3,FALSE),""))</f>
        <v/>
      </c>
      <c r="E1168" s="9">
        <f>IFERROR(DATE(2000+VALUE(MID(A1168,FIND("15",A1168,FIND("01",A1168)+16)+2,2)),VALUE(MID(A1168,FIND("15",A1168,FIND("01",A1168)+16)+4,2)),VALUE(MID(A1168,FIND("15",A1168,FIND("01",A1168)+16)+6,2))),"")</f>
        <v/>
      </c>
      <c r="F1168" s="8">
        <f>IFERROR(MID(A1168,FIND("10",A1168,FIND("15",A1168,FIND("01",A1168)+16)+8)+2,50),"")</f>
        <v/>
      </c>
      <c r="G1168" s="8" t="n"/>
    </row>
    <row r="1169">
      <c r="A1169" s="4" t="n"/>
      <c r="B1169" s="5">
        <f>IFERROR(MID(A1169,FIND("01",A1169)+2,14),"")</f>
        <v/>
      </c>
      <c r="C1169" s="4">
        <f>IF(A1169="","",IFERROR(VLOOKUP(B1169,TblArticles,2,FALSE),"GTIN inconnu"))</f>
        <v/>
      </c>
      <c r="D1169" s="5">
        <f>IF(A1169="","",IFERROR(VLOOKUP(B1169,TblArticles,3,FALSE),""))</f>
        <v/>
      </c>
      <c r="E1169" s="6">
        <f>IFERROR(DATE(2000+VALUE(MID(A1169,FIND("15",A1169,FIND("01",A1169)+16)+2,2)),VALUE(MID(A1169,FIND("15",A1169,FIND("01",A1169)+16)+4,2)),VALUE(MID(A1169,FIND("15",A1169,FIND("01",A1169)+16)+6,2))),"")</f>
        <v/>
      </c>
      <c r="F1169" s="5">
        <f>IFERROR(MID(A1169,FIND("10",A1169,FIND("15",A1169,FIND("01",A1169)+16)+8)+2,50),"")</f>
        <v/>
      </c>
      <c r="G1169" s="5" t="n"/>
    </row>
    <row r="1170">
      <c r="A1170" s="7" t="n"/>
      <c r="B1170" s="8">
        <f>IFERROR(MID(A1170,FIND("01",A1170)+2,14),"")</f>
        <v/>
      </c>
      <c r="C1170" s="7">
        <f>IF(A1170="","",IFERROR(VLOOKUP(B1170,TblArticles,2,FALSE),"GTIN inconnu"))</f>
        <v/>
      </c>
      <c r="D1170" s="8">
        <f>IF(A1170="","",IFERROR(VLOOKUP(B1170,TblArticles,3,FALSE),""))</f>
        <v/>
      </c>
      <c r="E1170" s="9">
        <f>IFERROR(DATE(2000+VALUE(MID(A1170,FIND("15",A1170,FIND("01",A1170)+16)+2,2)),VALUE(MID(A1170,FIND("15",A1170,FIND("01",A1170)+16)+4,2)),VALUE(MID(A1170,FIND("15",A1170,FIND("01",A1170)+16)+6,2))),"")</f>
        <v/>
      </c>
      <c r="F1170" s="8">
        <f>IFERROR(MID(A1170,FIND("10",A1170,FIND("15",A1170,FIND("01",A1170)+16)+8)+2,50),"")</f>
        <v/>
      </c>
      <c r="G1170" s="8" t="n"/>
    </row>
    <row r="1171">
      <c r="A1171" s="4" t="n"/>
      <c r="B1171" s="5">
        <f>IFERROR(MID(A1171,FIND("01",A1171)+2,14),"")</f>
        <v/>
      </c>
      <c r="C1171" s="4">
        <f>IF(A1171="","",IFERROR(VLOOKUP(B1171,TblArticles,2,FALSE),"GTIN inconnu"))</f>
        <v/>
      </c>
      <c r="D1171" s="5">
        <f>IF(A1171="","",IFERROR(VLOOKUP(B1171,TblArticles,3,FALSE),""))</f>
        <v/>
      </c>
      <c r="E1171" s="6">
        <f>IFERROR(DATE(2000+VALUE(MID(A1171,FIND("15",A1171,FIND("01",A1171)+16)+2,2)),VALUE(MID(A1171,FIND("15",A1171,FIND("01",A1171)+16)+4,2)),VALUE(MID(A1171,FIND("15",A1171,FIND("01",A1171)+16)+6,2))),"")</f>
        <v/>
      </c>
      <c r="F1171" s="5">
        <f>IFERROR(MID(A1171,FIND("10",A1171,FIND("15",A1171,FIND("01",A1171)+16)+8)+2,50),"")</f>
        <v/>
      </c>
      <c r="G1171" s="5" t="n"/>
    </row>
    <row r="1172">
      <c r="A1172" s="7" t="n"/>
      <c r="B1172" s="8">
        <f>IFERROR(MID(A1172,FIND("01",A1172)+2,14),"")</f>
        <v/>
      </c>
      <c r="C1172" s="7">
        <f>IF(A1172="","",IFERROR(VLOOKUP(B1172,TblArticles,2,FALSE),"GTIN inconnu"))</f>
        <v/>
      </c>
      <c r="D1172" s="8">
        <f>IF(A1172="","",IFERROR(VLOOKUP(B1172,TblArticles,3,FALSE),""))</f>
        <v/>
      </c>
      <c r="E1172" s="9">
        <f>IFERROR(DATE(2000+VALUE(MID(A1172,FIND("15",A1172,FIND("01",A1172)+16)+2,2)),VALUE(MID(A1172,FIND("15",A1172,FIND("01",A1172)+16)+4,2)),VALUE(MID(A1172,FIND("15",A1172,FIND("01",A1172)+16)+6,2))),"")</f>
        <v/>
      </c>
      <c r="F1172" s="8">
        <f>IFERROR(MID(A1172,FIND("10",A1172,FIND("15",A1172,FIND("01",A1172)+16)+8)+2,50),"")</f>
        <v/>
      </c>
      <c r="G1172" s="8" t="n"/>
    </row>
    <row r="1173">
      <c r="A1173" s="4" t="n"/>
      <c r="B1173" s="5">
        <f>IFERROR(MID(A1173,FIND("01",A1173)+2,14),"")</f>
        <v/>
      </c>
      <c r="C1173" s="4">
        <f>IF(A1173="","",IFERROR(VLOOKUP(B1173,TblArticles,2,FALSE),"GTIN inconnu"))</f>
        <v/>
      </c>
      <c r="D1173" s="5">
        <f>IF(A1173="","",IFERROR(VLOOKUP(B1173,TblArticles,3,FALSE),""))</f>
        <v/>
      </c>
      <c r="E1173" s="6">
        <f>IFERROR(DATE(2000+VALUE(MID(A1173,FIND("15",A1173,FIND("01",A1173)+16)+2,2)),VALUE(MID(A1173,FIND("15",A1173,FIND("01",A1173)+16)+4,2)),VALUE(MID(A1173,FIND("15",A1173,FIND("01",A1173)+16)+6,2))),"")</f>
        <v/>
      </c>
      <c r="F1173" s="5">
        <f>IFERROR(MID(A1173,FIND("10",A1173,FIND("15",A1173,FIND("01",A1173)+16)+8)+2,50),"")</f>
        <v/>
      </c>
      <c r="G1173" s="5" t="n"/>
    </row>
    <row r="1174">
      <c r="A1174" s="7" t="n"/>
      <c r="B1174" s="8">
        <f>IFERROR(MID(A1174,FIND("01",A1174)+2,14),"")</f>
        <v/>
      </c>
      <c r="C1174" s="7">
        <f>IF(A1174="","",IFERROR(VLOOKUP(B1174,TblArticles,2,FALSE),"GTIN inconnu"))</f>
        <v/>
      </c>
      <c r="D1174" s="8">
        <f>IF(A1174="","",IFERROR(VLOOKUP(B1174,TblArticles,3,FALSE),""))</f>
        <v/>
      </c>
      <c r="E1174" s="9">
        <f>IFERROR(DATE(2000+VALUE(MID(A1174,FIND("15",A1174,FIND("01",A1174)+16)+2,2)),VALUE(MID(A1174,FIND("15",A1174,FIND("01",A1174)+16)+4,2)),VALUE(MID(A1174,FIND("15",A1174,FIND("01",A1174)+16)+6,2))),"")</f>
        <v/>
      </c>
      <c r="F1174" s="8">
        <f>IFERROR(MID(A1174,FIND("10",A1174,FIND("15",A1174,FIND("01",A1174)+16)+8)+2,50),"")</f>
        <v/>
      </c>
      <c r="G1174" s="8" t="n"/>
    </row>
    <row r="1175">
      <c r="A1175" s="4" t="n"/>
      <c r="B1175" s="5">
        <f>IFERROR(MID(A1175,FIND("01",A1175)+2,14),"")</f>
        <v/>
      </c>
      <c r="C1175" s="4">
        <f>IF(A1175="","",IFERROR(VLOOKUP(B1175,TblArticles,2,FALSE),"GTIN inconnu"))</f>
        <v/>
      </c>
      <c r="D1175" s="5">
        <f>IF(A1175="","",IFERROR(VLOOKUP(B1175,TblArticles,3,FALSE),""))</f>
        <v/>
      </c>
      <c r="E1175" s="6">
        <f>IFERROR(DATE(2000+VALUE(MID(A1175,FIND("15",A1175,FIND("01",A1175)+16)+2,2)),VALUE(MID(A1175,FIND("15",A1175,FIND("01",A1175)+16)+4,2)),VALUE(MID(A1175,FIND("15",A1175,FIND("01",A1175)+16)+6,2))),"")</f>
        <v/>
      </c>
      <c r="F1175" s="5">
        <f>IFERROR(MID(A1175,FIND("10",A1175,FIND("15",A1175,FIND("01",A1175)+16)+8)+2,50),"")</f>
        <v/>
      </c>
      <c r="G1175" s="5" t="n"/>
    </row>
    <row r="1176">
      <c r="A1176" s="7" t="n"/>
      <c r="B1176" s="8">
        <f>IFERROR(MID(A1176,FIND("01",A1176)+2,14),"")</f>
        <v/>
      </c>
      <c r="C1176" s="7">
        <f>IF(A1176="","",IFERROR(VLOOKUP(B1176,TblArticles,2,FALSE),"GTIN inconnu"))</f>
        <v/>
      </c>
      <c r="D1176" s="8">
        <f>IF(A1176="","",IFERROR(VLOOKUP(B1176,TblArticles,3,FALSE),""))</f>
        <v/>
      </c>
      <c r="E1176" s="9">
        <f>IFERROR(DATE(2000+VALUE(MID(A1176,FIND("15",A1176,FIND("01",A1176)+16)+2,2)),VALUE(MID(A1176,FIND("15",A1176,FIND("01",A1176)+16)+4,2)),VALUE(MID(A1176,FIND("15",A1176,FIND("01",A1176)+16)+6,2))),"")</f>
        <v/>
      </c>
      <c r="F1176" s="8">
        <f>IFERROR(MID(A1176,FIND("10",A1176,FIND("15",A1176,FIND("01",A1176)+16)+8)+2,50),"")</f>
        <v/>
      </c>
      <c r="G1176" s="8" t="n"/>
    </row>
    <row r="1177">
      <c r="A1177" s="4" t="n"/>
      <c r="B1177" s="5">
        <f>IFERROR(MID(A1177,FIND("01",A1177)+2,14),"")</f>
        <v/>
      </c>
      <c r="C1177" s="4">
        <f>IF(A1177="","",IFERROR(VLOOKUP(B1177,TblArticles,2,FALSE),"GTIN inconnu"))</f>
        <v/>
      </c>
      <c r="D1177" s="5">
        <f>IF(A1177="","",IFERROR(VLOOKUP(B1177,TblArticles,3,FALSE),""))</f>
        <v/>
      </c>
      <c r="E1177" s="6">
        <f>IFERROR(DATE(2000+VALUE(MID(A1177,FIND("15",A1177,FIND("01",A1177)+16)+2,2)),VALUE(MID(A1177,FIND("15",A1177,FIND("01",A1177)+16)+4,2)),VALUE(MID(A1177,FIND("15",A1177,FIND("01",A1177)+16)+6,2))),"")</f>
        <v/>
      </c>
      <c r="F1177" s="5">
        <f>IFERROR(MID(A1177,FIND("10",A1177,FIND("15",A1177,FIND("01",A1177)+16)+8)+2,50),"")</f>
        <v/>
      </c>
      <c r="G1177" s="5" t="n"/>
    </row>
    <row r="1178">
      <c r="A1178" s="7" t="n"/>
      <c r="B1178" s="8">
        <f>IFERROR(MID(A1178,FIND("01",A1178)+2,14),"")</f>
        <v/>
      </c>
      <c r="C1178" s="7">
        <f>IF(A1178="","",IFERROR(VLOOKUP(B1178,TblArticles,2,FALSE),"GTIN inconnu"))</f>
        <v/>
      </c>
      <c r="D1178" s="8">
        <f>IF(A1178="","",IFERROR(VLOOKUP(B1178,TblArticles,3,FALSE),""))</f>
        <v/>
      </c>
      <c r="E1178" s="9">
        <f>IFERROR(DATE(2000+VALUE(MID(A1178,FIND("15",A1178,FIND("01",A1178)+16)+2,2)),VALUE(MID(A1178,FIND("15",A1178,FIND("01",A1178)+16)+4,2)),VALUE(MID(A1178,FIND("15",A1178,FIND("01",A1178)+16)+6,2))),"")</f>
        <v/>
      </c>
      <c r="F1178" s="8">
        <f>IFERROR(MID(A1178,FIND("10",A1178,FIND("15",A1178,FIND("01",A1178)+16)+8)+2,50),"")</f>
        <v/>
      </c>
      <c r="G1178" s="8" t="n"/>
    </row>
    <row r="1179">
      <c r="A1179" s="4" t="n"/>
      <c r="B1179" s="5">
        <f>IFERROR(MID(A1179,FIND("01",A1179)+2,14),"")</f>
        <v/>
      </c>
      <c r="C1179" s="4">
        <f>IF(A1179="","",IFERROR(VLOOKUP(B1179,TblArticles,2,FALSE),"GTIN inconnu"))</f>
        <v/>
      </c>
      <c r="D1179" s="5">
        <f>IF(A1179="","",IFERROR(VLOOKUP(B1179,TblArticles,3,FALSE),""))</f>
        <v/>
      </c>
      <c r="E1179" s="6">
        <f>IFERROR(DATE(2000+VALUE(MID(A1179,FIND("15",A1179,FIND("01",A1179)+16)+2,2)),VALUE(MID(A1179,FIND("15",A1179,FIND("01",A1179)+16)+4,2)),VALUE(MID(A1179,FIND("15",A1179,FIND("01",A1179)+16)+6,2))),"")</f>
        <v/>
      </c>
      <c r="F1179" s="5">
        <f>IFERROR(MID(A1179,FIND("10",A1179,FIND("15",A1179,FIND("01",A1179)+16)+8)+2,50),"")</f>
        <v/>
      </c>
      <c r="G1179" s="5" t="n"/>
    </row>
    <row r="1180">
      <c r="A1180" s="7" t="n"/>
      <c r="B1180" s="8">
        <f>IFERROR(MID(A1180,FIND("01",A1180)+2,14),"")</f>
        <v/>
      </c>
      <c r="C1180" s="7">
        <f>IF(A1180="","",IFERROR(VLOOKUP(B1180,TblArticles,2,FALSE),"GTIN inconnu"))</f>
        <v/>
      </c>
      <c r="D1180" s="8">
        <f>IF(A1180="","",IFERROR(VLOOKUP(B1180,TblArticles,3,FALSE),""))</f>
        <v/>
      </c>
      <c r="E1180" s="9">
        <f>IFERROR(DATE(2000+VALUE(MID(A1180,FIND("15",A1180,FIND("01",A1180)+16)+2,2)),VALUE(MID(A1180,FIND("15",A1180,FIND("01",A1180)+16)+4,2)),VALUE(MID(A1180,FIND("15",A1180,FIND("01",A1180)+16)+6,2))),"")</f>
        <v/>
      </c>
      <c r="F1180" s="8">
        <f>IFERROR(MID(A1180,FIND("10",A1180,FIND("15",A1180,FIND("01",A1180)+16)+8)+2,50),"")</f>
        <v/>
      </c>
      <c r="G1180" s="8" t="n"/>
    </row>
    <row r="1181">
      <c r="A1181" s="4" t="n"/>
      <c r="B1181" s="5">
        <f>IFERROR(MID(A1181,FIND("01",A1181)+2,14),"")</f>
        <v/>
      </c>
      <c r="C1181" s="4">
        <f>IF(A1181="","",IFERROR(VLOOKUP(B1181,TblArticles,2,FALSE),"GTIN inconnu"))</f>
        <v/>
      </c>
      <c r="D1181" s="5">
        <f>IF(A1181="","",IFERROR(VLOOKUP(B1181,TblArticles,3,FALSE),""))</f>
        <v/>
      </c>
      <c r="E1181" s="6">
        <f>IFERROR(DATE(2000+VALUE(MID(A1181,FIND("15",A1181,FIND("01",A1181)+16)+2,2)),VALUE(MID(A1181,FIND("15",A1181,FIND("01",A1181)+16)+4,2)),VALUE(MID(A1181,FIND("15",A1181,FIND("01",A1181)+16)+6,2))),"")</f>
        <v/>
      </c>
      <c r="F1181" s="5">
        <f>IFERROR(MID(A1181,FIND("10",A1181,FIND("15",A1181,FIND("01",A1181)+16)+8)+2,50),"")</f>
        <v/>
      </c>
      <c r="G1181" s="5" t="n"/>
    </row>
    <row r="1182">
      <c r="A1182" s="7" t="n"/>
      <c r="B1182" s="8">
        <f>IFERROR(MID(A1182,FIND("01",A1182)+2,14),"")</f>
        <v/>
      </c>
      <c r="C1182" s="7">
        <f>IF(A1182="","",IFERROR(VLOOKUP(B1182,TblArticles,2,FALSE),"GTIN inconnu"))</f>
        <v/>
      </c>
      <c r="D1182" s="8">
        <f>IF(A1182="","",IFERROR(VLOOKUP(B1182,TblArticles,3,FALSE),""))</f>
        <v/>
      </c>
      <c r="E1182" s="9">
        <f>IFERROR(DATE(2000+VALUE(MID(A1182,FIND("15",A1182,FIND("01",A1182)+16)+2,2)),VALUE(MID(A1182,FIND("15",A1182,FIND("01",A1182)+16)+4,2)),VALUE(MID(A1182,FIND("15",A1182,FIND("01",A1182)+16)+6,2))),"")</f>
        <v/>
      </c>
      <c r="F1182" s="8">
        <f>IFERROR(MID(A1182,FIND("10",A1182,FIND("15",A1182,FIND("01",A1182)+16)+8)+2,50),"")</f>
        <v/>
      </c>
      <c r="G1182" s="8" t="n"/>
    </row>
    <row r="1183">
      <c r="A1183" s="4" t="n"/>
      <c r="B1183" s="5">
        <f>IFERROR(MID(A1183,FIND("01",A1183)+2,14),"")</f>
        <v/>
      </c>
      <c r="C1183" s="4">
        <f>IF(A1183="","",IFERROR(VLOOKUP(B1183,TblArticles,2,FALSE),"GTIN inconnu"))</f>
        <v/>
      </c>
      <c r="D1183" s="5">
        <f>IF(A1183="","",IFERROR(VLOOKUP(B1183,TblArticles,3,FALSE),""))</f>
        <v/>
      </c>
      <c r="E1183" s="6">
        <f>IFERROR(DATE(2000+VALUE(MID(A1183,FIND("15",A1183,FIND("01",A1183)+16)+2,2)),VALUE(MID(A1183,FIND("15",A1183,FIND("01",A1183)+16)+4,2)),VALUE(MID(A1183,FIND("15",A1183,FIND("01",A1183)+16)+6,2))),"")</f>
        <v/>
      </c>
      <c r="F1183" s="5">
        <f>IFERROR(MID(A1183,FIND("10",A1183,FIND("15",A1183,FIND("01",A1183)+16)+8)+2,50),"")</f>
        <v/>
      </c>
      <c r="G1183" s="5" t="n"/>
    </row>
    <row r="1184">
      <c r="A1184" s="7" t="n"/>
      <c r="B1184" s="8">
        <f>IFERROR(MID(A1184,FIND("01",A1184)+2,14),"")</f>
        <v/>
      </c>
      <c r="C1184" s="7">
        <f>IF(A1184="","",IFERROR(VLOOKUP(B1184,TblArticles,2,FALSE),"GTIN inconnu"))</f>
        <v/>
      </c>
      <c r="D1184" s="8">
        <f>IF(A1184="","",IFERROR(VLOOKUP(B1184,TblArticles,3,FALSE),""))</f>
        <v/>
      </c>
      <c r="E1184" s="9">
        <f>IFERROR(DATE(2000+VALUE(MID(A1184,FIND("15",A1184,FIND("01",A1184)+16)+2,2)),VALUE(MID(A1184,FIND("15",A1184,FIND("01",A1184)+16)+4,2)),VALUE(MID(A1184,FIND("15",A1184,FIND("01",A1184)+16)+6,2))),"")</f>
        <v/>
      </c>
      <c r="F1184" s="8">
        <f>IFERROR(MID(A1184,FIND("10",A1184,FIND("15",A1184,FIND("01",A1184)+16)+8)+2,50),"")</f>
        <v/>
      </c>
      <c r="G1184" s="8" t="n"/>
    </row>
    <row r="1185">
      <c r="A1185" s="4" t="n"/>
      <c r="B1185" s="5">
        <f>IFERROR(MID(A1185,FIND("01",A1185)+2,14),"")</f>
        <v/>
      </c>
      <c r="C1185" s="4">
        <f>IF(A1185="","",IFERROR(VLOOKUP(B1185,TblArticles,2,FALSE),"GTIN inconnu"))</f>
        <v/>
      </c>
      <c r="D1185" s="5">
        <f>IF(A1185="","",IFERROR(VLOOKUP(B1185,TblArticles,3,FALSE),""))</f>
        <v/>
      </c>
      <c r="E1185" s="6">
        <f>IFERROR(DATE(2000+VALUE(MID(A1185,FIND("15",A1185,FIND("01",A1185)+16)+2,2)),VALUE(MID(A1185,FIND("15",A1185,FIND("01",A1185)+16)+4,2)),VALUE(MID(A1185,FIND("15",A1185,FIND("01",A1185)+16)+6,2))),"")</f>
        <v/>
      </c>
      <c r="F1185" s="5">
        <f>IFERROR(MID(A1185,FIND("10",A1185,FIND("15",A1185,FIND("01",A1185)+16)+8)+2,50),"")</f>
        <v/>
      </c>
      <c r="G1185" s="5" t="n"/>
    </row>
    <row r="1186">
      <c r="A1186" s="7" t="n"/>
      <c r="B1186" s="8">
        <f>IFERROR(MID(A1186,FIND("01",A1186)+2,14),"")</f>
        <v/>
      </c>
      <c r="C1186" s="7">
        <f>IF(A1186="","",IFERROR(VLOOKUP(B1186,TblArticles,2,FALSE),"GTIN inconnu"))</f>
        <v/>
      </c>
      <c r="D1186" s="8">
        <f>IF(A1186="","",IFERROR(VLOOKUP(B1186,TblArticles,3,FALSE),""))</f>
        <v/>
      </c>
      <c r="E1186" s="9">
        <f>IFERROR(DATE(2000+VALUE(MID(A1186,FIND("15",A1186,FIND("01",A1186)+16)+2,2)),VALUE(MID(A1186,FIND("15",A1186,FIND("01",A1186)+16)+4,2)),VALUE(MID(A1186,FIND("15",A1186,FIND("01",A1186)+16)+6,2))),"")</f>
        <v/>
      </c>
      <c r="F1186" s="8">
        <f>IFERROR(MID(A1186,FIND("10",A1186,FIND("15",A1186,FIND("01",A1186)+16)+8)+2,50),"")</f>
        <v/>
      </c>
      <c r="G1186" s="8" t="n"/>
    </row>
    <row r="1187">
      <c r="A1187" s="4" t="n"/>
      <c r="B1187" s="5">
        <f>IFERROR(MID(A1187,FIND("01",A1187)+2,14),"")</f>
        <v/>
      </c>
      <c r="C1187" s="4">
        <f>IF(A1187="","",IFERROR(VLOOKUP(B1187,TblArticles,2,FALSE),"GTIN inconnu"))</f>
        <v/>
      </c>
      <c r="D1187" s="5">
        <f>IF(A1187="","",IFERROR(VLOOKUP(B1187,TblArticles,3,FALSE),""))</f>
        <v/>
      </c>
      <c r="E1187" s="6">
        <f>IFERROR(DATE(2000+VALUE(MID(A1187,FIND("15",A1187,FIND("01",A1187)+16)+2,2)),VALUE(MID(A1187,FIND("15",A1187,FIND("01",A1187)+16)+4,2)),VALUE(MID(A1187,FIND("15",A1187,FIND("01",A1187)+16)+6,2))),"")</f>
        <v/>
      </c>
      <c r="F1187" s="5">
        <f>IFERROR(MID(A1187,FIND("10",A1187,FIND("15",A1187,FIND("01",A1187)+16)+8)+2,50),"")</f>
        <v/>
      </c>
      <c r="G1187" s="5" t="n"/>
    </row>
    <row r="1188">
      <c r="A1188" s="7" t="n"/>
      <c r="B1188" s="8">
        <f>IFERROR(MID(A1188,FIND("01",A1188)+2,14),"")</f>
        <v/>
      </c>
      <c r="C1188" s="7">
        <f>IF(A1188="","",IFERROR(VLOOKUP(B1188,TblArticles,2,FALSE),"GTIN inconnu"))</f>
        <v/>
      </c>
      <c r="D1188" s="8">
        <f>IF(A1188="","",IFERROR(VLOOKUP(B1188,TblArticles,3,FALSE),""))</f>
        <v/>
      </c>
      <c r="E1188" s="9">
        <f>IFERROR(DATE(2000+VALUE(MID(A1188,FIND("15",A1188,FIND("01",A1188)+16)+2,2)),VALUE(MID(A1188,FIND("15",A1188,FIND("01",A1188)+16)+4,2)),VALUE(MID(A1188,FIND("15",A1188,FIND("01",A1188)+16)+6,2))),"")</f>
        <v/>
      </c>
      <c r="F1188" s="8">
        <f>IFERROR(MID(A1188,FIND("10",A1188,FIND("15",A1188,FIND("01",A1188)+16)+8)+2,50),"")</f>
        <v/>
      </c>
      <c r="G1188" s="8" t="n"/>
    </row>
    <row r="1189">
      <c r="A1189" s="4" t="n"/>
      <c r="B1189" s="5">
        <f>IFERROR(MID(A1189,FIND("01",A1189)+2,14),"")</f>
        <v/>
      </c>
      <c r="C1189" s="4">
        <f>IF(A1189="","",IFERROR(VLOOKUP(B1189,TblArticles,2,FALSE),"GTIN inconnu"))</f>
        <v/>
      </c>
      <c r="D1189" s="5">
        <f>IF(A1189="","",IFERROR(VLOOKUP(B1189,TblArticles,3,FALSE),""))</f>
        <v/>
      </c>
      <c r="E1189" s="6">
        <f>IFERROR(DATE(2000+VALUE(MID(A1189,FIND("15",A1189,FIND("01",A1189)+16)+2,2)),VALUE(MID(A1189,FIND("15",A1189,FIND("01",A1189)+16)+4,2)),VALUE(MID(A1189,FIND("15",A1189,FIND("01",A1189)+16)+6,2))),"")</f>
        <v/>
      </c>
      <c r="F1189" s="5">
        <f>IFERROR(MID(A1189,FIND("10",A1189,FIND("15",A1189,FIND("01",A1189)+16)+8)+2,50),"")</f>
        <v/>
      </c>
      <c r="G1189" s="5" t="n"/>
    </row>
    <row r="1190">
      <c r="A1190" s="7" t="n"/>
      <c r="B1190" s="8">
        <f>IFERROR(MID(A1190,FIND("01",A1190)+2,14),"")</f>
        <v/>
      </c>
      <c r="C1190" s="7">
        <f>IF(A1190="","",IFERROR(VLOOKUP(B1190,TblArticles,2,FALSE),"GTIN inconnu"))</f>
        <v/>
      </c>
      <c r="D1190" s="8">
        <f>IF(A1190="","",IFERROR(VLOOKUP(B1190,TblArticles,3,FALSE),""))</f>
        <v/>
      </c>
      <c r="E1190" s="9">
        <f>IFERROR(DATE(2000+VALUE(MID(A1190,FIND("15",A1190,FIND("01",A1190)+16)+2,2)),VALUE(MID(A1190,FIND("15",A1190,FIND("01",A1190)+16)+4,2)),VALUE(MID(A1190,FIND("15",A1190,FIND("01",A1190)+16)+6,2))),"")</f>
        <v/>
      </c>
      <c r="F1190" s="8">
        <f>IFERROR(MID(A1190,FIND("10",A1190,FIND("15",A1190,FIND("01",A1190)+16)+8)+2,50),"")</f>
        <v/>
      </c>
      <c r="G1190" s="8" t="n"/>
    </row>
    <row r="1191">
      <c r="A1191" s="4" t="n"/>
      <c r="B1191" s="5">
        <f>IFERROR(MID(A1191,FIND("01",A1191)+2,14),"")</f>
        <v/>
      </c>
      <c r="C1191" s="4">
        <f>IF(A1191="","",IFERROR(VLOOKUP(B1191,TblArticles,2,FALSE),"GTIN inconnu"))</f>
        <v/>
      </c>
      <c r="D1191" s="5">
        <f>IF(A1191="","",IFERROR(VLOOKUP(B1191,TblArticles,3,FALSE),""))</f>
        <v/>
      </c>
      <c r="E1191" s="6">
        <f>IFERROR(DATE(2000+VALUE(MID(A1191,FIND("15",A1191,FIND("01",A1191)+16)+2,2)),VALUE(MID(A1191,FIND("15",A1191,FIND("01",A1191)+16)+4,2)),VALUE(MID(A1191,FIND("15",A1191,FIND("01",A1191)+16)+6,2))),"")</f>
        <v/>
      </c>
      <c r="F1191" s="5">
        <f>IFERROR(MID(A1191,FIND("10",A1191,FIND("15",A1191,FIND("01",A1191)+16)+8)+2,50),"")</f>
        <v/>
      </c>
      <c r="G1191" s="5" t="n"/>
    </row>
    <row r="1192">
      <c r="A1192" s="7" t="n"/>
      <c r="B1192" s="8">
        <f>IFERROR(MID(A1192,FIND("01",A1192)+2,14),"")</f>
        <v/>
      </c>
      <c r="C1192" s="7">
        <f>IF(A1192="","",IFERROR(VLOOKUP(B1192,TblArticles,2,FALSE),"GTIN inconnu"))</f>
        <v/>
      </c>
      <c r="D1192" s="8">
        <f>IF(A1192="","",IFERROR(VLOOKUP(B1192,TblArticles,3,FALSE),""))</f>
        <v/>
      </c>
      <c r="E1192" s="9">
        <f>IFERROR(DATE(2000+VALUE(MID(A1192,FIND("15",A1192,FIND("01",A1192)+16)+2,2)),VALUE(MID(A1192,FIND("15",A1192,FIND("01",A1192)+16)+4,2)),VALUE(MID(A1192,FIND("15",A1192,FIND("01",A1192)+16)+6,2))),"")</f>
        <v/>
      </c>
      <c r="F1192" s="8">
        <f>IFERROR(MID(A1192,FIND("10",A1192,FIND("15",A1192,FIND("01",A1192)+16)+8)+2,50),"")</f>
        <v/>
      </c>
      <c r="G1192" s="8" t="n"/>
    </row>
    <row r="1193">
      <c r="A1193" s="4" t="n"/>
      <c r="B1193" s="5">
        <f>IFERROR(MID(A1193,FIND("01",A1193)+2,14),"")</f>
        <v/>
      </c>
      <c r="C1193" s="4">
        <f>IF(A1193="","",IFERROR(VLOOKUP(B1193,TblArticles,2,FALSE),"GTIN inconnu"))</f>
        <v/>
      </c>
      <c r="D1193" s="5">
        <f>IF(A1193="","",IFERROR(VLOOKUP(B1193,TblArticles,3,FALSE),""))</f>
        <v/>
      </c>
      <c r="E1193" s="6">
        <f>IFERROR(DATE(2000+VALUE(MID(A1193,FIND("15",A1193,FIND("01",A1193)+16)+2,2)),VALUE(MID(A1193,FIND("15",A1193,FIND("01",A1193)+16)+4,2)),VALUE(MID(A1193,FIND("15",A1193,FIND("01",A1193)+16)+6,2))),"")</f>
        <v/>
      </c>
      <c r="F1193" s="5">
        <f>IFERROR(MID(A1193,FIND("10",A1193,FIND("15",A1193,FIND("01",A1193)+16)+8)+2,50),"")</f>
        <v/>
      </c>
      <c r="G1193" s="5" t="n"/>
    </row>
    <row r="1194">
      <c r="A1194" s="7" t="n"/>
      <c r="B1194" s="8">
        <f>IFERROR(MID(A1194,FIND("01",A1194)+2,14),"")</f>
        <v/>
      </c>
      <c r="C1194" s="7">
        <f>IF(A1194="","",IFERROR(VLOOKUP(B1194,TblArticles,2,FALSE),"GTIN inconnu"))</f>
        <v/>
      </c>
      <c r="D1194" s="8">
        <f>IF(A1194="","",IFERROR(VLOOKUP(B1194,TblArticles,3,FALSE),""))</f>
        <v/>
      </c>
      <c r="E1194" s="9">
        <f>IFERROR(DATE(2000+VALUE(MID(A1194,FIND("15",A1194,FIND("01",A1194)+16)+2,2)),VALUE(MID(A1194,FIND("15",A1194,FIND("01",A1194)+16)+4,2)),VALUE(MID(A1194,FIND("15",A1194,FIND("01",A1194)+16)+6,2))),"")</f>
        <v/>
      </c>
      <c r="F1194" s="8">
        <f>IFERROR(MID(A1194,FIND("10",A1194,FIND("15",A1194,FIND("01",A1194)+16)+8)+2,50),"")</f>
        <v/>
      </c>
      <c r="G1194" s="8" t="n"/>
    </row>
    <row r="1195">
      <c r="A1195" s="4" t="n"/>
      <c r="B1195" s="5">
        <f>IFERROR(MID(A1195,FIND("01",A1195)+2,14),"")</f>
        <v/>
      </c>
      <c r="C1195" s="4">
        <f>IF(A1195="","",IFERROR(VLOOKUP(B1195,TblArticles,2,FALSE),"GTIN inconnu"))</f>
        <v/>
      </c>
      <c r="D1195" s="5">
        <f>IF(A1195="","",IFERROR(VLOOKUP(B1195,TblArticles,3,FALSE),""))</f>
        <v/>
      </c>
      <c r="E1195" s="6">
        <f>IFERROR(DATE(2000+VALUE(MID(A1195,FIND("15",A1195,FIND("01",A1195)+16)+2,2)),VALUE(MID(A1195,FIND("15",A1195,FIND("01",A1195)+16)+4,2)),VALUE(MID(A1195,FIND("15",A1195,FIND("01",A1195)+16)+6,2))),"")</f>
        <v/>
      </c>
      <c r="F1195" s="5">
        <f>IFERROR(MID(A1195,FIND("10",A1195,FIND("15",A1195,FIND("01",A1195)+16)+8)+2,50),"")</f>
        <v/>
      </c>
      <c r="G1195" s="5" t="n"/>
    </row>
    <row r="1196">
      <c r="A1196" s="7" t="n"/>
      <c r="B1196" s="8">
        <f>IFERROR(MID(A1196,FIND("01",A1196)+2,14),"")</f>
        <v/>
      </c>
      <c r="C1196" s="7">
        <f>IF(A1196="","",IFERROR(VLOOKUP(B1196,TblArticles,2,FALSE),"GTIN inconnu"))</f>
        <v/>
      </c>
      <c r="D1196" s="8">
        <f>IF(A1196="","",IFERROR(VLOOKUP(B1196,TblArticles,3,FALSE),""))</f>
        <v/>
      </c>
      <c r="E1196" s="9">
        <f>IFERROR(DATE(2000+VALUE(MID(A1196,FIND("15",A1196,FIND("01",A1196)+16)+2,2)),VALUE(MID(A1196,FIND("15",A1196,FIND("01",A1196)+16)+4,2)),VALUE(MID(A1196,FIND("15",A1196,FIND("01",A1196)+16)+6,2))),"")</f>
        <v/>
      </c>
      <c r="F1196" s="8">
        <f>IFERROR(MID(A1196,FIND("10",A1196,FIND("15",A1196,FIND("01",A1196)+16)+8)+2,50),"")</f>
        <v/>
      </c>
      <c r="G1196" s="8" t="n"/>
    </row>
    <row r="1197">
      <c r="A1197" s="4" t="n"/>
      <c r="B1197" s="5">
        <f>IFERROR(MID(A1197,FIND("01",A1197)+2,14),"")</f>
        <v/>
      </c>
      <c r="C1197" s="4">
        <f>IF(A1197="","",IFERROR(VLOOKUP(B1197,TblArticles,2,FALSE),"GTIN inconnu"))</f>
        <v/>
      </c>
      <c r="D1197" s="5">
        <f>IF(A1197="","",IFERROR(VLOOKUP(B1197,TblArticles,3,FALSE),""))</f>
        <v/>
      </c>
      <c r="E1197" s="6">
        <f>IFERROR(DATE(2000+VALUE(MID(A1197,FIND("15",A1197,FIND("01",A1197)+16)+2,2)),VALUE(MID(A1197,FIND("15",A1197,FIND("01",A1197)+16)+4,2)),VALUE(MID(A1197,FIND("15",A1197,FIND("01",A1197)+16)+6,2))),"")</f>
        <v/>
      </c>
      <c r="F1197" s="5">
        <f>IFERROR(MID(A1197,FIND("10",A1197,FIND("15",A1197,FIND("01",A1197)+16)+8)+2,50),"")</f>
        <v/>
      </c>
      <c r="G1197" s="5" t="n"/>
    </row>
    <row r="1198">
      <c r="A1198" s="7" t="n"/>
      <c r="B1198" s="8">
        <f>IFERROR(MID(A1198,FIND("01",A1198)+2,14),"")</f>
        <v/>
      </c>
      <c r="C1198" s="7">
        <f>IF(A1198="","",IFERROR(VLOOKUP(B1198,TblArticles,2,FALSE),"GTIN inconnu"))</f>
        <v/>
      </c>
      <c r="D1198" s="8">
        <f>IF(A1198="","",IFERROR(VLOOKUP(B1198,TblArticles,3,FALSE),""))</f>
        <v/>
      </c>
      <c r="E1198" s="9">
        <f>IFERROR(DATE(2000+VALUE(MID(A1198,FIND("15",A1198,FIND("01",A1198)+16)+2,2)),VALUE(MID(A1198,FIND("15",A1198,FIND("01",A1198)+16)+4,2)),VALUE(MID(A1198,FIND("15",A1198,FIND("01",A1198)+16)+6,2))),"")</f>
        <v/>
      </c>
      <c r="F1198" s="8">
        <f>IFERROR(MID(A1198,FIND("10",A1198,FIND("15",A1198,FIND("01",A1198)+16)+8)+2,50),"")</f>
        <v/>
      </c>
      <c r="G1198" s="8" t="n"/>
    </row>
    <row r="1199">
      <c r="A1199" s="4" t="n"/>
      <c r="B1199" s="5">
        <f>IFERROR(MID(A1199,FIND("01",A1199)+2,14),"")</f>
        <v/>
      </c>
      <c r="C1199" s="4">
        <f>IF(A1199="","",IFERROR(VLOOKUP(B1199,TblArticles,2,FALSE),"GTIN inconnu"))</f>
        <v/>
      </c>
      <c r="D1199" s="5">
        <f>IF(A1199="","",IFERROR(VLOOKUP(B1199,TblArticles,3,FALSE),""))</f>
        <v/>
      </c>
      <c r="E1199" s="6">
        <f>IFERROR(DATE(2000+VALUE(MID(A1199,FIND("15",A1199,FIND("01",A1199)+16)+2,2)),VALUE(MID(A1199,FIND("15",A1199,FIND("01",A1199)+16)+4,2)),VALUE(MID(A1199,FIND("15",A1199,FIND("01",A1199)+16)+6,2))),"")</f>
        <v/>
      </c>
      <c r="F1199" s="5">
        <f>IFERROR(MID(A1199,FIND("10",A1199,FIND("15",A1199,FIND("01",A1199)+16)+8)+2,50),"")</f>
        <v/>
      </c>
      <c r="G1199" s="5" t="n"/>
    </row>
    <row r="1200">
      <c r="A1200" s="7" t="n"/>
      <c r="B1200" s="8">
        <f>IFERROR(MID(A1200,FIND("01",A1200)+2,14),"")</f>
        <v/>
      </c>
      <c r="C1200" s="7">
        <f>IF(A1200="","",IFERROR(VLOOKUP(B1200,TblArticles,2,FALSE),"GTIN inconnu"))</f>
        <v/>
      </c>
      <c r="D1200" s="8">
        <f>IF(A1200="","",IFERROR(VLOOKUP(B1200,TblArticles,3,FALSE),""))</f>
        <v/>
      </c>
      <c r="E1200" s="9">
        <f>IFERROR(DATE(2000+VALUE(MID(A1200,FIND("15",A1200,FIND("01",A1200)+16)+2,2)),VALUE(MID(A1200,FIND("15",A1200,FIND("01",A1200)+16)+4,2)),VALUE(MID(A1200,FIND("15",A1200,FIND("01",A1200)+16)+6,2))),"")</f>
        <v/>
      </c>
      <c r="F1200" s="8">
        <f>IFERROR(MID(A1200,FIND("10",A1200,FIND("15",A1200,FIND("01",A1200)+16)+8)+2,50),"")</f>
        <v/>
      </c>
      <c r="G1200" s="8" t="n"/>
    </row>
    <row r="1201">
      <c r="A1201" s="4" t="n"/>
      <c r="B1201" s="5">
        <f>IFERROR(MID(A1201,FIND("01",A1201)+2,14),"")</f>
        <v/>
      </c>
      <c r="C1201" s="4">
        <f>IF(A1201="","",IFERROR(VLOOKUP(B1201,TblArticles,2,FALSE),"GTIN inconnu"))</f>
        <v/>
      </c>
      <c r="D1201" s="5">
        <f>IF(A1201="","",IFERROR(VLOOKUP(B1201,TblArticles,3,FALSE),""))</f>
        <v/>
      </c>
      <c r="E1201" s="6">
        <f>IFERROR(DATE(2000+VALUE(MID(A1201,FIND("15",A1201,FIND("01",A1201)+16)+2,2)),VALUE(MID(A1201,FIND("15",A1201,FIND("01",A1201)+16)+4,2)),VALUE(MID(A1201,FIND("15",A1201,FIND("01",A1201)+16)+6,2))),"")</f>
        <v/>
      </c>
      <c r="F1201" s="5">
        <f>IFERROR(MID(A1201,FIND("10",A1201,FIND("15",A1201,FIND("01",A1201)+16)+8)+2,50),"")</f>
        <v/>
      </c>
      <c r="G1201" s="5" t="n"/>
    </row>
    <row r="1202">
      <c r="A1202" s="7" t="n"/>
      <c r="B1202" s="8">
        <f>IFERROR(MID(A1202,FIND("01",A1202)+2,14),"")</f>
        <v/>
      </c>
      <c r="C1202" s="7">
        <f>IF(A1202="","",IFERROR(VLOOKUP(B1202,TblArticles,2,FALSE),"GTIN inconnu"))</f>
        <v/>
      </c>
      <c r="D1202" s="8">
        <f>IF(A1202="","",IFERROR(VLOOKUP(B1202,TblArticles,3,FALSE),""))</f>
        <v/>
      </c>
      <c r="E1202" s="9">
        <f>IFERROR(DATE(2000+VALUE(MID(A1202,FIND("15",A1202,FIND("01",A1202)+16)+2,2)),VALUE(MID(A1202,FIND("15",A1202,FIND("01",A1202)+16)+4,2)),VALUE(MID(A1202,FIND("15",A1202,FIND("01",A1202)+16)+6,2))),"")</f>
        <v/>
      </c>
      <c r="F1202" s="8">
        <f>IFERROR(MID(A1202,FIND("10",A1202,FIND("15",A1202,FIND("01",A1202)+16)+8)+2,50),"")</f>
        <v/>
      </c>
      <c r="G1202" s="8" t="n"/>
    </row>
    <row r="1203">
      <c r="A1203" s="4" t="n"/>
      <c r="B1203" s="5">
        <f>IFERROR(MID(A1203,FIND("01",A1203)+2,14),"")</f>
        <v/>
      </c>
      <c r="C1203" s="4">
        <f>IF(A1203="","",IFERROR(VLOOKUP(B1203,TblArticles,2,FALSE),"GTIN inconnu"))</f>
        <v/>
      </c>
      <c r="D1203" s="5">
        <f>IF(A1203="","",IFERROR(VLOOKUP(B1203,TblArticles,3,FALSE),""))</f>
        <v/>
      </c>
      <c r="E1203" s="6">
        <f>IFERROR(DATE(2000+VALUE(MID(A1203,FIND("15",A1203,FIND("01",A1203)+16)+2,2)),VALUE(MID(A1203,FIND("15",A1203,FIND("01",A1203)+16)+4,2)),VALUE(MID(A1203,FIND("15",A1203,FIND("01",A1203)+16)+6,2))),"")</f>
        <v/>
      </c>
      <c r="F1203" s="5">
        <f>IFERROR(MID(A1203,FIND("10",A1203,FIND("15",A1203,FIND("01",A1203)+16)+8)+2,50),"")</f>
        <v/>
      </c>
      <c r="G1203" s="5" t="n"/>
    </row>
    <row r="1204">
      <c r="A1204" s="7" t="n"/>
      <c r="B1204" s="8">
        <f>IFERROR(MID(A1204,FIND("01",A1204)+2,14),"")</f>
        <v/>
      </c>
      <c r="C1204" s="7">
        <f>IF(A1204="","",IFERROR(VLOOKUP(B1204,TblArticles,2,FALSE),"GTIN inconnu"))</f>
        <v/>
      </c>
      <c r="D1204" s="8">
        <f>IF(A1204="","",IFERROR(VLOOKUP(B1204,TblArticles,3,FALSE),""))</f>
        <v/>
      </c>
      <c r="E1204" s="9">
        <f>IFERROR(DATE(2000+VALUE(MID(A1204,FIND("15",A1204,FIND("01",A1204)+16)+2,2)),VALUE(MID(A1204,FIND("15",A1204,FIND("01",A1204)+16)+4,2)),VALUE(MID(A1204,FIND("15",A1204,FIND("01",A1204)+16)+6,2))),"")</f>
        <v/>
      </c>
      <c r="F1204" s="8">
        <f>IFERROR(MID(A1204,FIND("10",A1204,FIND("15",A1204,FIND("01",A1204)+16)+8)+2,50),"")</f>
        <v/>
      </c>
      <c r="G1204" s="8" t="n"/>
    </row>
    <row r="1205">
      <c r="A1205" s="4" t="n"/>
      <c r="B1205" s="5">
        <f>IFERROR(MID(A1205,FIND("01",A1205)+2,14),"")</f>
        <v/>
      </c>
      <c r="C1205" s="4">
        <f>IF(A1205="","",IFERROR(VLOOKUP(B1205,TblArticles,2,FALSE),"GTIN inconnu"))</f>
        <v/>
      </c>
      <c r="D1205" s="5">
        <f>IF(A1205="","",IFERROR(VLOOKUP(B1205,TblArticles,3,FALSE),""))</f>
        <v/>
      </c>
      <c r="E1205" s="6">
        <f>IFERROR(DATE(2000+VALUE(MID(A1205,FIND("15",A1205,FIND("01",A1205)+16)+2,2)),VALUE(MID(A1205,FIND("15",A1205,FIND("01",A1205)+16)+4,2)),VALUE(MID(A1205,FIND("15",A1205,FIND("01",A1205)+16)+6,2))),"")</f>
        <v/>
      </c>
      <c r="F1205" s="5">
        <f>IFERROR(MID(A1205,FIND("10",A1205,FIND("15",A1205,FIND("01",A1205)+16)+8)+2,50),"")</f>
        <v/>
      </c>
      <c r="G1205" s="5" t="n"/>
    </row>
    <row r="1206">
      <c r="A1206" s="7" t="n"/>
      <c r="B1206" s="8">
        <f>IFERROR(MID(A1206,FIND("01",A1206)+2,14),"")</f>
        <v/>
      </c>
      <c r="C1206" s="7">
        <f>IF(A1206="","",IFERROR(VLOOKUP(B1206,TblArticles,2,FALSE),"GTIN inconnu"))</f>
        <v/>
      </c>
      <c r="D1206" s="8">
        <f>IF(A1206="","",IFERROR(VLOOKUP(B1206,TblArticles,3,FALSE),""))</f>
        <v/>
      </c>
      <c r="E1206" s="9">
        <f>IFERROR(DATE(2000+VALUE(MID(A1206,FIND("15",A1206,FIND("01",A1206)+16)+2,2)),VALUE(MID(A1206,FIND("15",A1206,FIND("01",A1206)+16)+4,2)),VALUE(MID(A1206,FIND("15",A1206,FIND("01",A1206)+16)+6,2))),"")</f>
        <v/>
      </c>
      <c r="F1206" s="8">
        <f>IFERROR(MID(A1206,FIND("10",A1206,FIND("15",A1206,FIND("01",A1206)+16)+8)+2,50),"")</f>
        <v/>
      </c>
      <c r="G1206" s="8" t="n"/>
    </row>
    <row r="1207">
      <c r="A1207" s="4" t="n"/>
      <c r="B1207" s="5">
        <f>IFERROR(MID(A1207,FIND("01",A1207)+2,14),"")</f>
        <v/>
      </c>
      <c r="C1207" s="4">
        <f>IF(A1207="","",IFERROR(VLOOKUP(B1207,TblArticles,2,FALSE),"GTIN inconnu"))</f>
        <v/>
      </c>
      <c r="D1207" s="5">
        <f>IF(A1207="","",IFERROR(VLOOKUP(B1207,TblArticles,3,FALSE),""))</f>
        <v/>
      </c>
      <c r="E1207" s="6">
        <f>IFERROR(DATE(2000+VALUE(MID(A1207,FIND("15",A1207,FIND("01",A1207)+16)+2,2)),VALUE(MID(A1207,FIND("15",A1207,FIND("01",A1207)+16)+4,2)),VALUE(MID(A1207,FIND("15",A1207,FIND("01",A1207)+16)+6,2))),"")</f>
        <v/>
      </c>
      <c r="F1207" s="5">
        <f>IFERROR(MID(A1207,FIND("10",A1207,FIND("15",A1207,FIND("01",A1207)+16)+8)+2,50),"")</f>
        <v/>
      </c>
      <c r="G1207" s="5" t="n"/>
    </row>
    <row r="1208">
      <c r="A1208" s="7" t="n"/>
      <c r="B1208" s="8">
        <f>IFERROR(MID(A1208,FIND("01",A1208)+2,14),"")</f>
        <v/>
      </c>
      <c r="C1208" s="7">
        <f>IF(A1208="","",IFERROR(VLOOKUP(B1208,TblArticles,2,FALSE),"GTIN inconnu"))</f>
        <v/>
      </c>
      <c r="D1208" s="8">
        <f>IF(A1208="","",IFERROR(VLOOKUP(B1208,TblArticles,3,FALSE),""))</f>
        <v/>
      </c>
      <c r="E1208" s="9">
        <f>IFERROR(DATE(2000+VALUE(MID(A1208,FIND("15",A1208,FIND("01",A1208)+16)+2,2)),VALUE(MID(A1208,FIND("15",A1208,FIND("01",A1208)+16)+4,2)),VALUE(MID(A1208,FIND("15",A1208,FIND("01",A1208)+16)+6,2))),"")</f>
        <v/>
      </c>
      <c r="F1208" s="8">
        <f>IFERROR(MID(A1208,FIND("10",A1208,FIND("15",A1208,FIND("01",A1208)+16)+8)+2,50),"")</f>
        <v/>
      </c>
      <c r="G1208" s="8" t="n"/>
    </row>
    <row r="1209">
      <c r="A1209" s="4" t="n"/>
      <c r="B1209" s="5">
        <f>IFERROR(MID(A1209,FIND("01",A1209)+2,14),"")</f>
        <v/>
      </c>
      <c r="C1209" s="4">
        <f>IF(A1209="","",IFERROR(VLOOKUP(B1209,TblArticles,2,FALSE),"GTIN inconnu"))</f>
        <v/>
      </c>
      <c r="D1209" s="5">
        <f>IF(A1209="","",IFERROR(VLOOKUP(B1209,TblArticles,3,FALSE),""))</f>
        <v/>
      </c>
      <c r="E1209" s="6">
        <f>IFERROR(DATE(2000+VALUE(MID(A1209,FIND("15",A1209,FIND("01",A1209)+16)+2,2)),VALUE(MID(A1209,FIND("15",A1209,FIND("01",A1209)+16)+4,2)),VALUE(MID(A1209,FIND("15",A1209,FIND("01",A1209)+16)+6,2))),"")</f>
        <v/>
      </c>
      <c r="F1209" s="5">
        <f>IFERROR(MID(A1209,FIND("10",A1209,FIND("15",A1209,FIND("01",A1209)+16)+8)+2,50),"")</f>
        <v/>
      </c>
      <c r="G1209" s="5" t="n"/>
    </row>
    <row r="1210">
      <c r="A1210" s="7" t="n"/>
      <c r="B1210" s="8">
        <f>IFERROR(MID(A1210,FIND("01",A1210)+2,14),"")</f>
        <v/>
      </c>
      <c r="C1210" s="7">
        <f>IF(A1210="","",IFERROR(VLOOKUP(B1210,TblArticles,2,FALSE),"GTIN inconnu"))</f>
        <v/>
      </c>
      <c r="D1210" s="8">
        <f>IF(A1210="","",IFERROR(VLOOKUP(B1210,TblArticles,3,FALSE),""))</f>
        <v/>
      </c>
      <c r="E1210" s="9">
        <f>IFERROR(DATE(2000+VALUE(MID(A1210,FIND("15",A1210,FIND("01",A1210)+16)+2,2)),VALUE(MID(A1210,FIND("15",A1210,FIND("01",A1210)+16)+4,2)),VALUE(MID(A1210,FIND("15",A1210,FIND("01",A1210)+16)+6,2))),"")</f>
        <v/>
      </c>
      <c r="F1210" s="8">
        <f>IFERROR(MID(A1210,FIND("10",A1210,FIND("15",A1210,FIND("01",A1210)+16)+8)+2,50),"")</f>
        <v/>
      </c>
      <c r="G1210" s="8" t="n"/>
    </row>
    <row r="1211">
      <c r="A1211" s="4" t="n"/>
      <c r="B1211" s="5">
        <f>IFERROR(MID(A1211,FIND("01",A1211)+2,14),"")</f>
        <v/>
      </c>
      <c r="C1211" s="4">
        <f>IF(A1211="","",IFERROR(VLOOKUP(B1211,TblArticles,2,FALSE),"GTIN inconnu"))</f>
        <v/>
      </c>
      <c r="D1211" s="5">
        <f>IF(A1211="","",IFERROR(VLOOKUP(B1211,TblArticles,3,FALSE),""))</f>
        <v/>
      </c>
      <c r="E1211" s="6">
        <f>IFERROR(DATE(2000+VALUE(MID(A1211,FIND("15",A1211,FIND("01",A1211)+16)+2,2)),VALUE(MID(A1211,FIND("15",A1211,FIND("01",A1211)+16)+4,2)),VALUE(MID(A1211,FIND("15",A1211,FIND("01",A1211)+16)+6,2))),"")</f>
        <v/>
      </c>
      <c r="F1211" s="5">
        <f>IFERROR(MID(A1211,FIND("10",A1211,FIND("15",A1211,FIND("01",A1211)+16)+8)+2,50),"")</f>
        <v/>
      </c>
      <c r="G1211" s="5" t="n"/>
    </row>
    <row r="1212">
      <c r="A1212" s="7" t="n"/>
      <c r="B1212" s="8">
        <f>IFERROR(MID(A1212,FIND("01",A1212)+2,14),"")</f>
        <v/>
      </c>
      <c r="C1212" s="7">
        <f>IF(A1212="","",IFERROR(VLOOKUP(B1212,TblArticles,2,FALSE),"GTIN inconnu"))</f>
        <v/>
      </c>
      <c r="D1212" s="8">
        <f>IF(A1212="","",IFERROR(VLOOKUP(B1212,TblArticles,3,FALSE),""))</f>
        <v/>
      </c>
      <c r="E1212" s="9">
        <f>IFERROR(DATE(2000+VALUE(MID(A1212,FIND("15",A1212,FIND("01",A1212)+16)+2,2)),VALUE(MID(A1212,FIND("15",A1212,FIND("01",A1212)+16)+4,2)),VALUE(MID(A1212,FIND("15",A1212,FIND("01",A1212)+16)+6,2))),"")</f>
        <v/>
      </c>
      <c r="F1212" s="8">
        <f>IFERROR(MID(A1212,FIND("10",A1212,FIND("15",A1212,FIND("01",A1212)+16)+8)+2,50),"")</f>
        <v/>
      </c>
      <c r="G1212" s="8" t="n"/>
    </row>
    <row r="1213">
      <c r="A1213" s="4" t="n"/>
      <c r="B1213" s="5">
        <f>IFERROR(MID(A1213,FIND("01",A1213)+2,14),"")</f>
        <v/>
      </c>
      <c r="C1213" s="4">
        <f>IF(A1213="","",IFERROR(VLOOKUP(B1213,TblArticles,2,FALSE),"GTIN inconnu"))</f>
        <v/>
      </c>
      <c r="D1213" s="5">
        <f>IF(A1213="","",IFERROR(VLOOKUP(B1213,TblArticles,3,FALSE),""))</f>
        <v/>
      </c>
      <c r="E1213" s="6">
        <f>IFERROR(DATE(2000+VALUE(MID(A1213,FIND("15",A1213,FIND("01",A1213)+16)+2,2)),VALUE(MID(A1213,FIND("15",A1213,FIND("01",A1213)+16)+4,2)),VALUE(MID(A1213,FIND("15",A1213,FIND("01",A1213)+16)+6,2))),"")</f>
        <v/>
      </c>
      <c r="F1213" s="5">
        <f>IFERROR(MID(A1213,FIND("10",A1213,FIND("15",A1213,FIND("01",A1213)+16)+8)+2,50),"")</f>
        <v/>
      </c>
      <c r="G1213" s="5" t="n"/>
    </row>
    <row r="1214">
      <c r="A1214" s="7" t="n"/>
      <c r="B1214" s="8">
        <f>IFERROR(MID(A1214,FIND("01",A1214)+2,14),"")</f>
        <v/>
      </c>
      <c r="C1214" s="7">
        <f>IF(A1214="","",IFERROR(VLOOKUP(B1214,TblArticles,2,FALSE),"GTIN inconnu"))</f>
        <v/>
      </c>
      <c r="D1214" s="8">
        <f>IF(A1214="","",IFERROR(VLOOKUP(B1214,TblArticles,3,FALSE),""))</f>
        <v/>
      </c>
      <c r="E1214" s="9">
        <f>IFERROR(DATE(2000+VALUE(MID(A1214,FIND("15",A1214,FIND("01",A1214)+16)+2,2)),VALUE(MID(A1214,FIND("15",A1214,FIND("01",A1214)+16)+4,2)),VALUE(MID(A1214,FIND("15",A1214,FIND("01",A1214)+16)+6,2))),"")</f>
        <v/>
      </c>
      <c r="F1214" s="8">
        <f>IFERROR(MID(A1214,FIND("10",A1214,FIND("15",A1214,FIND("01",A1214)+16)+8)+2,50),"")</f>
        <v/>
      </c>
      <c r="G1214" s="8" t="n"/>
    </row>
    <row r="1215">
      <c r="A1215" s="4" t="n"/>
      <c r="B1215" s="5">
        <f>IFERROR(MID(A1215,FIND("01",A1215)+2,14),"")</f>
        <v/>
      </c>
      <c r="C1215" s="4">
        <f>IF(A1215="","",IFERROR(VLOOKUP(B1215,TblArticles,2,FALSE),"GTIN inconnu"))</f>
        <v/>
      </c>
      <c r="D1215" s="5">
        <f>IF(A1215="","",IFERROR(VLOOKUP(B1215,TblArticles,3,FALSE),""))</f>
        <v/>
      </c>
      <c r="E1215" s="6">
        <f>IFERROR(DATE(2000+VALUE(MID(A1215,FIND("15",A1215,FIND("01",A1215)+16)+2,2)),VALUE(MID(A1215,FIND("15",A1215,FIND("01",A1215)+16)+4,2)),VALUE(MID(A1215,FIND("15",A1215,FIND("01",A1215)+16)+6,2))),"")</f>
        <v/>
      </c>
      <c r="F1215" s="5">
        <f>IFERROR(MID(A1215,FIND("10",A1215,FIND("15",A1215,FIND("01",A1215)+16)+8)+2,50),"")</f>
        <v/>
      </c>
      <c r="G1215" s="5" t="n"/>
    </row>
    <row r="1216">
      <c r="A1216" s="7" t="n"/>
      <c r="B1216" s="8">
        <f>IFERROR(MID(A1216,FIND("01",A1216)+2,14),"")</f>
        <v/>
      </c>
      <c r="C1216" s="7">
        <f>IF(A1216="","",IFERROR(VLOOKUP(B1216,TblArticles,2,FALSE),"GTIN inconnu"))</f>
        <v/>
      </c>
      <c r="D1216" s="8">
        <f>IF(A1216="","",IFERROR(VLOOKUP(B1216,TblArticles,3,FALSE),""))</f>
        <v/>
      </c>
      <c r="E1216" s="9">
        <f>IFERROR(DATE(2000+VALUE(MID(A1216,FIND("15",A1216,FIND("01",A1216)+16)+2,2)),VALUE(MID(A1216,FIND("15",A1216,FIND("01",A1216)+16)+4,2)),VALUE(MID(A1216,FIND("15",A1216,FIND("01",A1216)+16)+6,2))),"")</f>
        <v/>
      </c>
      <c r="F1216" s="8">
        <f>IFERROR(MID(A1216,FIND("10",A1216,FIND("15",A1216,FIND("01",A1216)+16)+8)+2,50),"")</f>
        <v/>
      </c>
      <c r="G1216" s="8" t="n"/>
    </row>
    <row r="1217">
      <c r="A1217" s="4" t="n"/>
      <c r="B1217" s="5">
        <f>IFERROR(MID(A1217,FIND("01",A1217)+2,14),"")</f>
        <v/>
      </c>
      <c r="C1217" s="4">
        <f>IF(A1217="","",IFERROR(VLOOKUP(B1217,TblArticles,2,FALSE),"GTIN inconnu"))</f>
        <v/>
      </c>
      <c r="D1217" s="5">
        <f>IF(A1217="","",IFERROR(VLOOKUP(B1217,TblArticles,3,FALSE),""))</f>
        <v/>
      </c>
      <c r="E1217" s="6">
        <f>IFERROR(DATE(2000+VALUE(MID(A1217,FIND("15",A1217,FIND("01",A1217)+16)+2,2)),VALUE(MID(A1217,FIND("15",A1217,FIND("01",A1217)+16)+4,2)),VALUE(MID(A1217,FIND("15",A1217,FIND("01",A1217)+16)+6,2))),"")</f>
        <v/>
      </c>
      <c r="F1217" s="5">
        <f>IFERROR(MID(A1217,FIND("10",A1217,FIND("15",A1217,FIND("01",A1217)+16)+8)+2,50),"")</f>
        <v/>
      </c>
      <c r="G1217" s="5" t="n"/>
    </row>
    <row r="1218">
      <c r="A1218" s="7" t="n"/>
      <c r="B1218" s="8">
        <f>IFERROR(MID(A1218,FIND("01",A1218)+2,14),"")</f>
        <v/>
      </c>
      <c r="C1218" s="7">
        <f>IF(A1218="","",IFERROR(VLOOKUP(B1218,TblArticles,2,FALSE),"GTIN inconnu"))</f>
        <v/>
      </c>
      <c r="D1218" s="8">
        <f>IF(A1218="","",IFERROR(VLOOKUP(B1218,TblArticles,3,FALSE),""))</f>
        <v/>
      </c>
      <c r="E1218" s="9">
        <f>IFERROR(DATE(2000+VALUE(MID(A1218,FIND("15",A1218,FIND("01",A1218)+16)+2,2)),VALUE(MID(A1218,FIND("15",A1218,FIND("01",A1218)+16)+4,2)),VALUE(MID(A1218,FIND("15",A1218,FIND("01",A1218)+16)+6,2))),"")</f>
        <v/>
      </c>
      <c r="F1218" s="8">
        <f>IFERROR(MID(A1218,FIND("10",A1218,FIND("15",A1218,FIND("01",A1218)+16)+8)+2,50),"")</f>
        <v/>
      </c>
      <c r="G1218" s="8" t="n"/>
    </row>
    <row r="1219">
      <c r="A1219" s="4" t="n"/>
      <c r="B1219" s="5">
        <f>IFERROR(MID(A1219,FIND("01",A1219)+2,14),"")</f>
        <v/>
      </c>
      <c r="C1219" s="4">
        <f>IF(A1219="","",IFERROR(VLOOKUP(B1219,TblArticles,2,FALSE),"GTIN inconnu"))</f>
        <v/>
      </c>
      <c r="D1219" s="5">
        <f>IF(A1219="","",IFERROR(VLOOKUP(B1219,TblArticles,3,FALSE),""))</f>
        <v/>
      </c>
      <c r="E1219" s="6">
        <f>IFERROR(DATE(2000+VALUE(MID(A1219,FIND("15",A1219,FIND("01",A1219)+16)+2,2)),VALUE(MID(A1219,FIND("15",A1219,FIND("01",A1219)+16)+4,2)),VALUE(MID(A1219,FIND("15",A1219,FIND("01",A1219)+16)+6,2))),"")</f>
        <v/>
      </c>
      <c r="F1219" s="5">
        <f>IFERROR(MID(A1219,FIND("10",A1219,FIND("15",A1219,FIND("01",A1219)+16)+8)+2,50),"")</f>
        <v/>
      </c>
      <c r="G1219" s="5" t="n"/>
    </row>
    <row r="1220">
      <c r="A1220" s="7" t="n"/>
      <c r="B1220" s="8">
        <f>IFERROR(MID(A1220,FIND("01",A1220)+2,14),"")</f>
        <v/>
      </c>
      <c r="C1220" s="7">
        <f>IF(A1220="","",IFERROR(VLOOKUP(B1220,TblArticles,2,FALSE),"GTIN inconnu"))</f>
        <v/>
      </c>
      <c r="D1220" s="8">
        <f>IF(A1220="","",IFERROR(VLOOKUP(B1220,TblArticles,3,FALSE),""))</f>
        <v/>
      </c>
      <c r="E1220" s="9">
        <f>IFERROR(DATE(2000+VALUE(MID(A1220,FIND("15",A1220,FIND("01",A1220)+16)+2,2)),VALUE(MID(A1220,FIND("15",A1220,FIND("01",A1220)+16)+4,2)),VALUE(MID(A1220,FIND("15",A1220,FIND("01",A1220)+16)+6,2))),"")</f>
        <v/>
      </c>
      <c r="F1220" s="8">
        <f>IFERROR(MID(A1220,FIND("10",A1220,FIND("15",A1220,FIND("01",A1220)+16)+8)+2,50),"")</f>
        <v/>
      </c>
      <c r="G1220" s="8" t="n"/>
    </row>
    <row r="1221">
      <c r="A1221" s="4" t="n"/>
      <c r="B1221" s="5">
        <f>IFERROR(MID(A1221,FIND("01",A1221)+2,14),"")</f>
        <v/>
      </c>
      <c r="C1221" s="4">
        <f>IF(A1221="","",IFERROR(VLOOKUP(B1221,TblArticles,2,FALSE),"GTIN inconnu"))</f>
        <v/>
      </c>
      <c r="D1221" s="5">
        <f>IF(A1221="","",IFERROR(VLOOKUP(B1221,TblArticles,3,FALSE),""))</f>
        <v/>
      </c>
      <c r="E1221" s="6">
        <f>IFERROR(DATE(2000+VALUE(MID(A1221,FIND("15",A1221,FIND("01",A1221)+16)+2,2)),VALUE(MID(A1221,FIND("15",A1221,FIND("01",A1221)+16)+4,2)),VALUE(MID(A1221,FIND("15",A1221,FIND("01",A1221)+16)+6,2))),"")</f>
        <v/>
      </c>
      <c r="F1221" s="5">
        <f>IFERROR(MID(A1221,FIND("10",A1221,FIND("15",A1221,FIND("01",A1221)+16)+8)+2,50),"")</f>
        <v/>
      </c>
      <c r="G1221" s="5" t="n"/>
    </row>
    <row r="1222">
      <c r="A1222" s="7" t="n"/>
      <c r="B1222" s="8">
        <f>IFERROR(MID(A1222,FIND("01",A1222)+2,14),"")</f>
        <v/>
      </c>
      <c r="C1222" s="7">
        <f>IF(A1222="","",IFERROR(VLOOKUP(B1222,TblArticles,2,FALSE),"GTIN inconnu"))</f>
        <v/>
      </c>
      <c r="D1222" s="8">
        <f>IF(A1222="","",IFERROR(VLOOKUP(B1222,TblArticles,3,FALSE),""))</f>
        <v/>
      </c>
      <c r="E1222" s="9">
        <f>IFERROR(DATE(2000+VALUE(MID(A1222,FIND("15",A1222,FIND("01",A1222)+16)+2,2)),VALUE(MID(A1222,FIND("15",A1222,FIND("01",A1222)+16)+4,2)),VALUE(MID(A1222,FIND("15",A1222,FIND("01",A1222)+16)+6,2))),"")</f>
        <v/>
      </c>
      <c r="F1222" s="8">
        <f>IFERROR(MID(A1222,FIND("10",A1222,FIND("15",A1222,FIND("01",A1222)+16)+8)+2,50),"")</f>
        <v/>
      </c>
      <c r="G1222" s="8" t="n"/>
    </row>
    <row r="1223">
      <c r="A1223" s="4" t="n"/>
      <c r="B1223" s="5">
        <f>IFERROR(MID(A1223,FIND("01",A1223)+2,14),"")</f>
        <v/>
      </c>
      <c r="C1223" s="4">
        <f>IF(A1223="","",IFERROR(VLOOKUP(B1223,TblArticles,2,FALSE),"GTIN inconnu"))</f>
        <v/>
      </c>
      <c r="D1223" s="5">
        <f>IF(A1223="","",IFERROR(VLOOKUP(B1223,TblArticles,3,FALSE),""))</f>
        <v/>
      </c>
      <c r="E1223" s="6">
        <f>IFERROR(DATE(2000+VALUE(MID(A1223,FIND("15",A1223,FIND("01",A1223)+16)+2,2)),VALUE(MID(A1223,FIND("15",A1223,FIND("01",A1223)+16)+4,2)),VALUE(MID(A1223,FIND("15",A1223,FIND("01",A1223)+16)+6,2))),"")</f>
        <v/>
      </c>
      <c r="F1223" s="5">
        <f>IFERROR(MID(A1223,FIND("10",A1223,FIND("15",A1223,FIND("01",A1223)+16)+8)+2,50),"")</f>
        <v/>
      </c>
      <c r="G1223" s="5" t="n"/>
    </row>
    <row r="1224">
      <c r="A1224" s="7" t="n"/>
      <c r="B1224" s="8">
        <f>IFERROR(MID(A1224,FIND("01",A1224)+2,14),"")</f>
        <v/>
      </c>
      <c r="C1224" s="7">
        <f>IF(A1224="","",IFERROR(VLOOKUP(B1224,TblArticles,2,FALSE),"GTIN inconnu"))</f>
        <v/>
      </c>
      <c r="D1224" s="8">
        <f>IF(A1224="","",IFERROR(VLOOKUP(B1224,TblArticles,3,FALSE),""))</f>
        <v/>
      </c>
      <c r="E1224" s="9">
        <f>IFERROR(DATE(2000+VALUE(MID(A1224,FIND("15",A1224,FIND("01",A1224)+16)+2,2)),VALUE(MID(A1224,FIND("15",A1224,FIND("01",A1224)+16)+4,2)),VALUE(MID(A1224,FIND("15",A1224,FIND("01",A1224)+16)+6,2))),"")</f>
        <v/>
      </c>
      <c r="F1224" s="8">
        <f>IFERROR(MID(A1224,FIND("10",A1224,FIND("15",A1224,FIND("01",A1224)+16)+8)+2,50),"")</f>
        <v/>
      </c>
      <c r="G1224" s="8" t="n"/>
    </row>
    <row r="1225">
      <c r="A1225" s="4" t="n"/>
      <c r="B1225" s="5">
        <f>IFERROR(MID(A1225,FIND("01",A1225)+2,14),"")</f>
        <v/>
      </c>
      <c r="C1225" s="4">
        <f>IF(A1225="","",IFERROR(VLOOKUP(B1225,TblArticles,2,FALSE),"GTIN inconnu"))</f>
        <v/>
      </c>
      <c r="D1225" s="5">
        <f>IF(A1225="","",IFERROR(VLOOKUP(B1225,TblArticles,3,FALSE),""))</f>
        <v/>
      </c>
      <c r="E1225" s="6">
        <f>IFERROR(DATE(2000+VALUE(MID(A1225,FIND("15",A1225,FIND("01",A1225)+16)+2,2)),VALUE(MID(A1225,FIND("15",A1225,FIND("01",A1225)+16)+4,2)),VALUE(MID(A1225,FIND("15",A1225,FIND("01",A1225)+16)+6,2))),"")</f>
        <v/>
      </c>
      <c r="F1225" s="5">
        <f>IFERROR(MID(A1225,FIND("10",A1225,FIND("15",A1225,FIND("01",A1225)+16)+8)+2,50),"")</f>
        <v/>
      </c>
      <c r="G1225" s="5" t="n"/>
    </row>
    <row r="1226">
      <c r="A1226" s="7" t="n"/>
      <c r="B1226" s="8">
        <f>IFERROR(MID(A1226,FIND("01",A1226)+2,14),"")</f>
        <v/>
      </c>
      <c r="C1226" s="7">
        <f>IF(A1226="","",IFERROR(VLOOKUP(B1226,TblArticles,2,FALSE),"GTIN inconnu"))</f>
        <v/>
      </c>
      <c r="D1226" s="8">
        <f>IF(A1226="","",IFERROR(VLOOKUP(B1226,TblArticles,3,FALSE),""))</f>
        <v/>
      </c>
      <c r="E1226" s="9">
        <f>IFERROR(DATE(2000+VALUE(MID(A1226,FIND("15",A1226,FIND("01",A1226)+16)+2,2)),VALUE(MID(A1226,FIND("15",A1226,FIND("01",A1226)+16)+4,2)),VALUE(MID(A1226,FIND("15",A1226,FIND("01",A1226)+16)+6,2))),"")</f>
        <v/>
      </c>
      <c r="F1226" s="8">
        <f>IFERROR(MID(A1226,FIND("10",A1226,FIND("15",A1226,FIND("01",A1226)+16)+8)+2,50),"")</f>
        <v/>
      </c>
      <c r="G1226" s="8" t="n"/>
    </row>
    <row r="1227">
      <c r="A1227" s="4" t="n"/>
      <c r="B1227" s="5">
        <f>IFERROR(MID(A1227,FIND("01",A1227)+2,14),"")</f>
        <v/>
      </c>
      <c r="C1227" s="4">
        <f>IF(A1227="","",IFERROR(VLOOKUP(B1227,TblArticles,2,FALSE),"GTIN inconnu"))</f>
        <v/>
      </c>
      <c r="D1227" s="5">
        <f>IF(A1227="","",IFERROR(VLOOKUP(B1227,TblArticles,3,FALSE),""))</f>
        <v/>
      </c>
      <c r="E1227" s="6">
        <f>IFERROR(DATE(2000+VALUE(MID(A1227,FIND("15",A1227,FIND("01",A1227)+16)+2,2)),VALUE(MID(A1227,FIND("15",A1227,FIND("01",A1227)+16)+4,2)),VALUE(MID(A1227,FIND("15",A1227,FIND("01",A1227)+16)+6,2))),"")</f>
        <v/>
      </c>
      <c r="F1227" s="5">
        <f>IFERROR(MID(A1227,FIND("10",A1227,FIND("15",A1227,FIND("01",A1227)+16)+8)+2,50),"")</f>
        <v/>
      </c>
      <c r="G1227" s="5" t="n"/>
    </row>
    <row r="1228">
      <c r="A1228" s="7" t="n"/>
      <c r="B1228" s="8">
        <f>IFERROR(MID(A1228,FIND("01",A1228)+2,14),"")</f>
        <v/>
      </c>
      <c r="C1228" s="7">
        <f>IF(A1228="","",IFERROR(VLOOKUP(B1228,TblArticles,2,FALSE),"GTIN inconnu"))</f>
        <v/>
      </c>
      <c r="D1228" s="8">
        <f>IF(A1228="","",IFERROR(VLOOKUP(B1228,TblArticles,3,FALSE),""))</f>
        <v/>
      </c>
      <c r="E1228" s="9">
        <f>IFERROR(DATE(2000+VALUE(MID(A1228,FIND("15",A1228,FIND("01",A1228)+16)+2,2)),VALUE(MID(A1228,FIND("15",A1228,FIND("01",A1228)+16)+4,2)),VALUE(MID(A1228,FIND("15",A1228,FIND("01",A1228)+16)+6,2))),"")</f>
        <v/>
      </c>
      <c r="F1228" s="8">
        <f>IFERROR(MID(A1228,FIND("10",A1228,FIND("15",A1228,FIND("01",A1228)+16)+8)+2,50),"")</f>
        <v/>
      </c>
      <c r="G1228" s="8" t="n"/>
    </row>
    <row r="1229">
      <c r="A1229" s="4" t="n"/>
      <c r="B1229" s="5">
        <f>IFERROR(MID(A1229,FIND("01",A1229)+2,14),"")</f>
        <v/>
      </c>
      <c r="C1229" s="4">
        <f>IF(A1229="","",IFERROR(VLOOKUP(B1229,TblArticles,2,FALSE),"GTIN inconnu"))</f>
        <v/>
      </c>
      <c r="D1229" s="5">
        <f>IF(A1229="","",IFERROR(VLOOKUP(B1229,TblArticles,3,FALSE),""))</f>
        <v/>
      </c>
      <c r="E1229" s="6">
        <f>IFERROR(DATE(2000+VALUE(MID(A1229,FIND("15",A1229,FIND("01",A1229)+16)+2,2)),VALUE(MID(A1229,FIND("15",A1229,FIND("01",A1229)+16)+4,2)),VALUE(MID(A1229,FIND("15",A1229,FIND("01",A1229)+16)+6,2))),"")</f>
        <v/>
      </c>
      <c r="F1229" s="5">
        <f>IFERROR(MID(A1229,FIND("10",A1229,FIND("15",A1229,FIND("01",A1229)+16)+8)+2,50),"")</f>
        <v/>
      </c>
      <c r="G1229" s="5" t="n"/>
    </row>
    <row r="1230">
      <c r="A1230" s="7" t="n"/>
      <c r="B1230" s="8">
        <f>IFERROR(MID(A1230,FIND("01",A1230)+2,14),"")</f>
        <v/>
      </c>
      <c r="C1230" s="7">
        <f>IF(A1230="","",IFERROR(VLOOKUP(B1230,TblArticles,2,FALSE),"GTIN inconnu"))</f>
        <v/>
      </c>
      <c r="D1230" s="8">
        <f>IF(A1230="","",IFERROR(VLOOKUP(B1230,TblArticles,3,FALSE),""))</f>
        <v/>
      </c>
      <c r="E1230" s="9">
        <f>IFERROR(DATE(2000+VALUE(MID(A1230,FIND("15",A1230,FIND("01",A1230)+16)+2,2)),VALUE(MID(A1230,FIND("15",A1230,FIND("01",A1230)+16)+4,2)),VALUE(MID(A1230,FIND("15",A1230,FIND("01",A1230)+16)+6,2))),"")</f>
        <v/>
      </c>
      <c r="F1230" s="8">
        <f>IFERROR(MID(A1230,FIND("10",A1230,FIND("15",A1230,FIND("01",A1230)+16)+8)+2,50),"")</f>
        <v/>
      </c>
      <c r="G1230" s="8" t="n"/>
    </row>
    <row r="1231">
      <c r="A1231" s="4" t="n"/>
      <c r="B1231" s="5">
        <f>IFERROR(MID(A1231,FIND("01",A1231)+2,14),"")</f>
        <v/>
      </c>
      <c r="C1231" s="4">
        <f>IF(A1231="","",IFERROR(VLOOKUP(B1231,TblArticles,2,FALSE),"GTIN inconnu"))</f>
        <v/>
      </c>
      <c r="D1231" s="5">
        <f>IF(A1231="","",IFERROR(VLOOKUP(B1231,TblArticles,3,FALSE),""))</f>
        <v/>
      </c>
      <c r="E1231" s="6">
        <f>IFERROR(DATE(2000+VALUE(MID(A1231,FIND("15",A1231,FIND("01",A1231)+16)+2,2)),VALUE(MID(A1231,FIND("15",A1231,FIND("01",A1231)+16)+4,2)),VALUE(MID(A1231,FIND("15",A1231,FIND("01",A1231)+16)+6,2))),"")</f>
        <v/>
      </c>
      <c r="F1231" s="5">
        <f>IFERROR(MID(A1231,FIND("10",A1231,FIND("15",A1231,FIND("01",A1231)+16)+8)+2,50),"")</f>
        <v/>
      </c>
      <c r="G1231" s="5" t="n"/>
    </row>
    <row r="1232">
      <c r="A1232" s="7" t="n"/>
      <c r="B1232" s="8">
        <f>IFERROR(MID(A1232,FIND("01",A1232)+2,14),"")</f>
        <v/>
      </c>
      <c r="C1232" s="7">
        <f>IF(A1232="","",IFERROR(VLOOKUP(B1232,TblArticles,2,FALSE),"GTIN inconnu"))</f>
        <v/>
      </c>
      <c r="D1232" s="8">
        <f>IF(A1232="","",IFERROR(VLOOKUP(B1232,TblArticles,3,FALSE),""))</f>
        <v/>
      </c>
      <c r="E1232" s="9">
        <f>IFERROR(DATE(2000+VALUE(MID(A1232,FIND("15",A1232,FIND("01",A1232)+16)+2,2)),VALUE(MID(A1232,FIND("15",A1232,FIND("01",A1232)+16)+4,2)),VALUE(MID(A1232,FIND("15",A1232,FIND("01",A1232)+16)+6,2))),"")</f>
        <v/>
      </c>
      <c r="F1232" s="8">
        <f>IFERROR(MID(A1232,FIND("10",A1232,FIND("15",A1232,FIND("01",A1232)+16)+8)+2,50),"")</f>
        <v/>
      </c>
      <c r="G1232" s="8" t="n"/>
    </row>
    <row r="1233">
      <c r="A1233" s="4" t="n"/>
      <c r="B1233" s="5">
        <f>IFERROR(MID(A1233,FIND("01",A1233)+2,14),"")</f>
        <v/>
      </c>
      <c r="C1233" s="4">
        <f>IF(A1233="","",IFERROR(VLOOKUP(B1233,TblArticles,2,FALSE),"GTIN inconnu"))</f>
        <v/>
      </c>
      <c r="D1233" s="5">
        <f>IF(A1233="","",IFERROR(VLOOKUP(B1233,TblArticles,3,FALSE),""))</f>
        <v/>
      </c>
      <c r="E1233" s="6">
        <f>IFERROR(DATE(2000+VALUE(MID(A1233,FIND("15",A1233,FIND("01",A1233)+16)+2,2)),VALUE(MID(A1233,FIND("15",A1233,FIND("01",A1233)+16)+4,2)),VALUE(MID(A1233,FIND("15",A1233,FIND("01",A1233)+16)+6,2))),"")</f>
        <v/>
      </c>
      <c r="F1233" s="5">
        <f>IFERROR(MID(A1233,FIND("10",A1233,FIND("15",A1233,FIND("01",A1233)+16)+8)+2,50),"")</f>
        <v/>
      </c>
      <c r="G1233" s="5" t="n"/>
    </row>
    <row r="1234">
      <c r="A1234" s="7" t="n"/>
      <c r="B1234" s="8">
        <f>IFERROR(MID(A1234,FIND("01",A1234)+2,14),"")</f>
        <v/>
      </c>
      <c r="C1234" s="7">
        <f>IF(A1234="","",IFERROR(VLOOKUP(B1234,TblArticles,2,FALSE),"GTIN inconnu"))</f>
        <v/>
      </c>
      <c r="D1234" s="8">
        <f>IF(A1234="","",IFERROR(VLOOKUP(B1234,TblArticles,3,FALSE),""))</f>
        <v/>
      </c>
      <c r="E1234" s="9">
        <f>IFERROR(DATE(2000+VALUE(MID(A1234,FIND("15",A1234,FIND("01",A1234)+16)+2,2)),VALUE(MID(A1234,FIND("15",A1234,FIND("01",A1234)+16)+4,2)),VALUE(MID(A1234,FIND("15",A1234,FIND("01",A1234)+16)+6,2))),"")</f>
        <v/>
      </c>
      <c r="F1234" s="8">
        <f>IFERROR(MID(A1234,FIND("10",A1234,FIND("15",A1234,FIND("01",A1234)+16)+8)+2,50),"")</f>
        <v/>
      </c>
      <c r="G1234" s="8" t="n"/>
    </row>
    <row r="1235">
      <c r="A1235" s="4" t="n"/>
      <c r="B1235" s="5">
        <f>IFERROR(MID(A1235,FIND("01",A1235)+2,14),"")</f>
        <v/>
      </c>
      <c r="C1235" s="4">
        <f>IF(A1235="","",IFERROR(VLOOKUP(B1235,TblArticles,2,FALSE),"GTIN inconnu"))</f>
        <v/>
      </c>
      <c r="D1235" s="5">
        <f>IF(A1235="","",IFERROR(VLOOKUP(B1235,TblArticles,3,FALSE),""))</f>
        <v/>
      </c>
      <c r="E1235" s="6">
        <f>IFERROR(DATE(2000+VALUE(MID(A1235,FIND("15",A1235,FIND("01",A1235)+16)+2,2)),VALUE(MID(A1235,FIND("15",A1235,FIND("01",A1235)+16)+4,2)),VALUE(MID(A1235,FIND("15",A1235,FIND("01",A1235)+16)+6,2))),"")</f>
        <v/>
      </c>
      <c r="F1235" s="5">
        <f>IFERROR(MID(A1235,FIND("10",A1235,FIND("15",A1235,FIND("01",A1235)+16)+8)+2,50),"")</f>
        <v/>
      </c>
      <c r="G1235" s="5" t="n"/>
    </row>
    <row r="1236">
      <c r="A1236" s="7" t="n"/>
      <c r="B1236" s="8">
        <f>IFERROR(MID(A1236,FIND("01",A1236)+2,14),"")</f>
        <v/>
      </c>
      <c r="C1236" s="7">
        <f>IF(A1236="","",IFERROR(VLOOKUP(B1236,TblArticles,2,FALSE),"GTIN inconnu"))</f>
        <v/>
      </c>
      <c r="D1236" s="8">
        <f>IF(A1236="","",IFERROR(VLOOKUP(B1236,TblArticles,3,FALSE),""))</f>
        <v/>
      </c>
      <c r="E1236" s="9">
        <f>IFERROR(DATE(2000+VALUE(MID(A1236,FIND("15",A1236,FIND("01",A1236)+16)+2,2)),VALUE(MID(A1236,FIND("15",A1236,FIND("01",A1236)+16)+4,2)),VALUE(MID(A1236,FIND("15",A1236,FIND("01",A1236)+16)+6,2))),"")</f>
        <v/>
      </c>
      <c r="F1236" s="8">
        <f>IFERROR(MID(A1236,FIND("10",A1236,FIND("15",A1236,FIND("01",A1236)+16)+8)+2,50),"")</f>
        <v/>
      </c>
      <c r="G1236" s="8" t="n"/>
    </row>
    <row r="1237">
      <c r="A1237" s="4" t="n"/>
      <c r="B1237" s="5">
        <f>IFERROR(MID(A1237,FIND("01",A1237)+2,14),"")</f>
        <v/>
      </c>
      <c r="C1237" s="4">
        <f>IF(A1237="","",IFERROR(VLOOKUP(B1237,TblArticles,2,FALSE),"GTIN inconnu"))</f>
        <v/>
      </c>
      <c r="D1237" s="5">
        <f>IF(A1237="","",IFERROR(VLOOKUP(B1237,TblArticles,3,FALSE),""))</f>
        <v/>
      </c>
      <c r="E1237" s="6">
        <f>IFERROR(DATE(2000+VALUE(MID(A1237,FIND("15",A1237,FIND("01",A1237)+16)+2,2)),VALUE(MID(A1237,FIND("15",A1237,FIND("01",A1237)+16)+4,2)),VALUE(MID(A1237,FIND("15",A1237,FIND("01",A1237)+16)+6,2))),"")</f>
        <v/>
      </c>
      <c r="F1237" s="5">
        <f>IFERROR(MID(A1237,FIND("10",A1237,FIND("15",A1237,FIND("01",A1237)+16)+8)+2,50),"")</f>
        <v/>
      </c>
      <c r="G1237" s="5" t="n"/>
    </row>
    <row r="1238">
      <c r="A1238" s="7" t="n"/>
      <c r="B1238" s="8">
        <f>IFERROR(MID(A1238,FIND("01",A1238)+2,14),"")</f>
        <v/>
      </c>
      <c r="C1238" s="7">
        <f>IF(A1238="","",IFERROR(VLOOKUP(B1238,TblArticles,2,FALSE),"GTIN inconnu"))</f>
        <v/>
      </c>
      <c r="D1238" s="8">
        <f>IF(A1238="","",IFERROR(VLOOKUP(B1238,TblArticles,3,FALSE),""))</f>
        <v/>
      </c>
      <c r="E1238" s="9">
        <f>IFERROR(DATE(2000+VALUE(MID(A1238,FIND("15",A1238,FIND("01",A1238)+16)+2,2)),VALUE(MID(A1238,FIND("15",A1238,FIND("01",A1238)+16)+4,2)),VALUE(MID(A1238,FIND("15",A1238,FIND("01",A1238)+16)+6,2))),"")</f>
        <v/>
      </c>
      <c r="F1238" s="8">
        <f>IFERROR(MID(A1238,FIND("10",A1238,FIND("15",A1238,FIND("01",A1238)+16)+8)+2,50),"")</f>
        <v/>
      </c>
      <c r="G1238" s="8" t="n"/>
    </row>
    <row r="1239">
      <c r="A1239" s="4" t="n"/>
      <c r="B1239" s="5">
        <f>IFERROR(MID(A1239,FIND("01",A1239)+2,14),"")</f>
        <v/>
      </c>
      <c r="C1239" s="4">
        <f>IF(A1239="","",IFERROR(VLOOKUP(B1239,TblArticles,2,FALSE),"GTIN inconnu"))</f>
        <v/>
      </c>
      <c r="D1239" s="5">
        <f>IF(A1239="","",IFERROR(VLOOKUP(B1239,TblArticles,3,FALSE),""))</f>
        <v/>
      </c>
      <c r="E1239" s="6">
        <f>IFERROR(DATE(2000+VALUE(MID(A1239,FIND("15",A1239,FIND("01",A1239)+16)+2,2)),VALUE(MID(A1239,FIND("15",A1239,FIND("01",A1239)+16)+4,2)),VALUE(MID(A1239,FIND("15",A1239,FIND("01",A1239)+16)+6,2))),"")</f>
        <v/>
      </c>
      <c r="F1239" s="5">
        <f>IFERROR(MID(A1239,FIND("10",A1239,FIND("15",A1239,FIND("01",A1239)+16)+8)+2,50),"")</f>
        <v/>
      </c>
      <c r="G1239" s="5" t="n"/>
    </row>
    <row r="1240">
      <c r="A1240" s="7" t="n"/>
      <c r="B1240" s="8">
        <f>IFERROR(MID(A1240,FIND("01",A1240)+2,14),"")</f>
        <v/>
      </c>
      <c r="C1240" s="7">
        <f>IF(A1240="","",IFERROR(VLOOKUP(B1240,TblArticles,2,FALSE),"GTIN inconnu"))</f>
        <v/>
      </c>
      <c r="D1240" s="8">
        <f>IF(A1240="","",IFERROR(VLOOKUP(B1240,TblArticles,3,FALSE),""))</f>
        <v/>
      </c>
      <c r="E1240" s="9">
        <f>IFERROR(DATE(2000+VALUE(MID(A1240,FIND("15",A1240,FIND("01",A1240)+16)+2,2)),VALUE(MID(A1240,FIND("15",A1240,FIND("01",A1240)+16)+4,2)),VALUE(MID(A1240,FIND("15",A1240,FIND("01",A1240)+16)+6,2))),"")</f>
        <v/>
      </c>
      <c r="F1240" s="8">
        <f>IFERROR(MID(A1240,FIND("10",A1240,FIND("15",A1240,FIND("01",A1240)+16)+8)+2,50),"")</f>
        <v/>
      </c>
      <c r="G1240" s="8" t="n"/>
    </row>
    <row r="1241">
      <c r="A1241" s="4" t="n"/>
      <c r="B1241" s="5">
        <f>IFERROR(MID(A1241,FIND("01",A1241)+2,14),"")</f>
        <v/>
      </c>
      <c r="C1241" s="4">
        <f>IF(A1241="","",IFERROR(VLOOKUP(B1241,TblArticles,2,FALSE),"GTIN inconnu"))</f>
        <v/>
      </c>
      <c r="D1241" s="5">
        <f>IF(A1241="","",IFERROR(VLOOKUP(B1241,TblArticles,3,FALSE),""))</f>
        <v/>
      </c>
      <c r="E1241" s="6">
        <f>IFERROR(DATE(2000+VALUE(MID(A1241,FIND("15",A1241,FIND("01",A1241)+16)+2,2)),VALUE(MID(A1241,FIND("15",A1241,FIND("01",A1241)+16)+4,2)),VALUE(MID(A1241,FIND("15",A1241,FIND("01",A1241)+16)+6,2))),"")</f>
        <v/>
      </c>
      <c r="F1241" s="5">
        <f>IFERROR(MID(A1241,FIND("10",A1241,FIND("15",A1241,FIND("01",A1241)+16)+8)+2,50),"")</f>
        <v/>
      </c>
      <c r="G1241" s="5" t="n"/>
    </row>
    <row r="1242">
      <c r="A1242" s="7" t="n"/>
      <c r="B1242" s="8">
        <f>IFERROR(MID(A1242,FIND("01",A1242)+2,14),"")</f>
        <v/>
      </c>
      <c r="C1242" s="7">
        <f>IF(A1242="","",IFERROR(VLOOKUP(B1242,TblArticles,2,FALSE),"GTIN inconnu"))</f>
        <v/>
      </c>
      <c r="D1242" s="8">
        <f>IF(A1242="","",IFERROR(VLOOKUP(B1242,TblArticles,3,FALSE),""))</f>
        <v/>
      </c>
      <c r="E1242" s="9">
        <f>IFERROR(DATE(2000+VALUE(MID(A1242,FIND("15",A1242,FIND("01",A1242)+16)+2,2)),VALUE(MID(A1242,FIND("15",A1242,FIND("01",A1242)+16)+4,2)),VALUE(MID(A1242,FIND("15",A1242,FIND("01",A1242)+16)+6,2))),"")</f>
        <v/>
      </c>
      <c r="F1242" s="8">
        <f>IFERROR(MID(A1242,FIND("10",A1242,FIND("15",A1242,FIND("01",A1242)+16)+8)+2,50),"")</f>
        <v/>
      </c>
      <c r="G1242" s="8" t="n"/>
    </row>
    <row r="1243">
      <c r="A1243" s="4" t="n"/>
      <c r="B1243" s="5">
        <f>IFERROR(MID(A1243,FIND("01",A1243)+2,14),"")</f>
        <v/>
      </c>
      <c r="C1243" s="4">
        <f>IF(A1243="","",IFERROR(VLOOKUP(B1243,TblArticles,2,FALSE),"GTIN inconnu"))</f>
        <v/>
      </c>
      <c r="D1243" s="5">
        <f>IF(A1243="","",IFERROR(VLOOKUP(B1243,TblArticles,3,FALSE),""))</f>
        <v/>
      </c>
      <c r="E1243" s="6">
        <f>IFERROR(DATE(2000+VALUE(MID(A1243,FIND("15",A1243,FIND("01",A1243)+16)+2,2)),VALUE(MID(A1243,FIND("15",A1243,FIND("01",A1243)+16)+4,2)),VALUE(MID(A1243,FIND("15",A1243,FIND("01",A1243)+16)+6,2))),"")</f>
        <v/>
      </c>
      <c r="F1243" s="5">
        <f>IFERROR(MID(A1243,FIND("10",A1243,FIND("15",A1243,FIND("01",A1243)+16)+8)+2,50),"")</f>
        <v/>
      </c>
      <c r="G1243" s="5" t="n"/>
    </row>
    <row r="1244">
      <c r="A1244" s="7" t="n"/>
      <c r="B1244" s="8">
        <f>IFERROR(MID(A1244,FIND("01",A1244)+2,14),"")</f>
        <v/>
      </c>
      <c r="C1244" s="7">
        <f>IF(A1244="","",IFERROR(VLOOKUP(B1244,TblArticles,2,FALSE),"GTIN inconnu"))</f>
        <v/>
      </c>
      <c r="D1244" s="8">
        <f>IF(A1244="","",IFERROR(VLOOKUP(B1244,TblArticles,3,FALSE),""))</f>
        <v/>
      </c>
      <c r="E1244" s="9">
        <f>IFERROR(DATE(2000+VALUE(MID(A1244,FIND("15",A1244,FIND("01",A1244)+16)+2,2)),VALUE(MID(A1244,FIND("15",A1244,FIND("01",A1244)+16)+4,2)),VALUE(MID(A1244,FIND("15",A1244,FIND("01",A1244)+16)+6,2))),"")</f>
        <v/>
      </c>
      <c r="F1244" s="8">
        <f>IFERROR(MID(A1244,FIND("10",A1244,FIND("15",A1244,FIND("01",A1244)+16)+8)+2,50),"")</f>
        <v/>
      </c>
      <c r="G1244" s="8" t="n"/>
    </row>
    <row r="1245">
      <c r="A1245" s="4" t="n"/>
      <c r="B1245" s="5">
        <f>IFERROR(MID(A1245,FIND("01",A1245)+2,14),"")</f>
        <v/>
      </c>
      <c r="C1245" s="4">
        <f>IF(A1245="","",IFERROR(VLOOKUP(B1245,TblArticles,2,FALSE),"GTIN inconnu"))</f>
        <v/>
      </c>
      <c r="D1245" s="5">
        <f>IF(A1245="","",IFERROR(VLOOKUP(B1245,TblArticles,3,FALSE),""))</f>
        <v/>
      </c>
      <c r="E1245" s="6">
        <f>IFERROR(DATE(2000+VALUE(MID(A1245,FIND("15",A1245,FIND("01",A1245)+16)+2,2)),VALUE(MID(A1245,FIND("15",A1245,FIND("01",A1245)+16)+4,2)),VALUE(MID(A1245,FIND("15",A1245,FIND("01",A1245)+16)+6,2))),"")</f>
        <v/>
      </c>
      <c r="F1245" s="5">
        <f>IFERROR(MID(A1245,FIND("10",A1245,FIND("15",A1245,FIND("01",A1245)+16)+8)+2,50),"")</f>
        <v/>
      </c>
      <c r="G1245" s="5" t="n"/>
    </row>
    <row r="1246">
      <c r="A1246" s="7" t="n"/>
      <c r="B1246" s="8">
        <f>IFERROR(MID(A1246,FIND("01",A1246)+2,14),"")</f>
        <v/>
      </c>
      <c r="C1246" s="7">
        <f>IF(A1246="","",IFERROR(VLOOKUP(B1246,TblArticles,2,FALSE),"GTIN inconnu"))</f>
        <v/>
      </c>
      <c r="D1246" s="8">
        <f>IF(A1246="","",IFERROR(VLOOKUP(B1246,TblArticles,3,FALSE),""))</f>
        <v/>
      </c>
      <c r="E1246" s="9">
        <f>IFERROR(DATE(2000+VALUE(MID(A1246,FIND("15",A1246,FIND("01",A1246)+16)+2,2)),VALUE(MID(A1246,FIND("15",A1246,FIND("01",A1246)+16)+4,2)),VALUE(MID(A1246,FIND("15",A1246,FIND("01",A1246)+16)+6,2))),"")</f>
        <v/>
      </c>
      <c r="F1246" s="8">
        <f>IFERROR(MID(A1246,FIND("10",A1246,FIND("15",A1246,FIND("01",A1246)+16)+8)+2,50),"")</f>
        <v/>
      </c>
      <c r="G1246" s="8" t="n"/>
    </row>
    <row r="1247">
      <c r="A1247" s="4" t="n"/>
      <c r="B1247" s="5">
        <f>IFERROR(MID(A1247,FIND("01",A1247)+2,14),"")</f>
        <v/>
      </c>
      <c r="C1247" s="4">
        <f>IF(A1247="","",IFERROR(VLOOKUP(B1247,TblArticles,2,FALSE),"GTIN inconnu"))</f>
        <v/>
      </c>
      <c r="D1247" s="5">
        <f>IF(A1247="","",IFERROR(VLOOKUP(B1247,TblArticles,3,FALSE),""))</f>
        <v/>
      </c>
      <c r="E1247" s="6">
        <f>IFERROR(DATE(2000+VALUE(MID(A1247,FIND("15",A1247,FIND("01",A1247)+16)+2,2)),VALUE(MID(A1247,FIND("15",A1247,FIND("01",A1247)+16)+4,2)),VALUE(MID(A1247,FIND("15",A1247,FIND("01",A1247)+16)+6,2))),"")</f>
        <v/>
      </c>
      <c r="F1247" s="5">
        <f>IFERROR(MID(A1247,FIND("10",A1247,FIND("15",A1247,FIND("01",A1247)+16)+8)+2,50),"")</f>
        <v/>
      </c>
      <c r="G1247" s="5" t="n"/>
    </row>
    <row r="1248">
      <c r="A1248" s="7" t="n"/>
      <c r="B1248" s="8">
        <f>IFERROR(MID(A1248,FIND("01",A1248)+2,14),"")</f>
        <v/>
      </c>
      <c r="C1248" s="7">
        <f>IF(A1248="","",IFERROR(VLOOKUP(B1248,TblArticles,2,FALSE),"GTIN inconnu"))</f>
        <v/>
      </c>
      <c r="D1248" s="8">
        <f>IF(A1248="","",IFERROR(VLOOKUP(B1248,TblArticles,3,FALSE),""))</f>
        <v/>
      </c>
      <c r="E1248" s="9">
        <f>IFERROR(DATE(2000+VALUE(MID(A1248,FIND("15",A1248,FIND("01",A1248)+16)+2,2)),VALUE(MID(A1248,FIND("15",A1248,FIND("01",A1248)+16)+4,2)),VALUE(MID(A1248,FIND("15",A1248,FIND("01",A1248)+16)+6,2))),"")</f>
        <v/>
      </c>
      <c r="F1248" s="8">
        <f>IFERROR(MID(A1248,FIND("10",A1248,FIND("15",A1248,FIND("01",A1248)+16)+8)+2,50),"")</f>
        <v/>
      </c>
      <c r="G1248" s="8" t="n"/>
    </row>
    <row r="1249">
      <c r="A1249" s="4" t="n"/>
      <c r="B1249" s="5">
        <f>IFERROR(MID(A1249,FIND("01",A1249)+2,14),"")</f>
        <v/>
      </c>
      <c r="C1249" s="4">
        <f>IF(A1249="","",IFERROR(VLOOKUP(B1249,TblArticles,2,FALSE),"GTIN inconnu"))</f>
        <v/>
      </c>
      <c r="D1249" s="5">
        <f>IF(A1249="","",IFERROR(VLOOKUP(B1249,TblArticles,3,FALSE),""))</f>
        <v/>
      </c>
      <c r="E1249" s="6">
        <f>IFERROR(DATE(2000+VALUE(MID(A1249,FIND("15",A1249,FIND("01",A1249)+16)+2,2)),VALUE(MID(A1249,FIND("15",A1249,FIND("01",A1249)+16)+4,2)),VALUE(MID(A1249,FIND("15",A1249,FIND("01",A1249)+16)+6,2))),"")</f>
        <v/>
      </c>
      <c r="F1249" s="5">
        <f>IFERROR(MID(A1249,FIND("10",A1249,FIND("15",A1249,FIND("01",A1249)+16)+8)+2,50),"")</f>
        <v/>
      </c>
      <c r="G1249" s="5" t="n"/>
    </row>
    <row r="1250">
      <c r="A1250" s="7" t="n"/>
      <c r="B1250" s="8">
        <f>IFERROR(MID(A1250,FIND("01",A1250)+2,14),"")</f>
        <v/>
      </c>
      <c r="C1250" s="7">
        <f>IF(A1250="","",IFERROR(VLOOKUP(B1250,TblArticles,2,FALSE),"GTIN inconnu"))</f>
        <v/>
      </c>
      <c r="D1250" s="8">
        <f>IF(A1250="","",IFERROR(VLOOKUP(B1250,TblArticles,3,FALSE),""))</f>
        <v/>
      </c>
      <c r="E1250" s="9">
        <f>IFERROR(DATE(2000+VALUE(MID(A1250,FIND("15",A1250,FIND("01",A1250)+16)+2,2)),VALUE(MID(A1250,FIND("15",A1250,FIND("01",A1250)+16)+4,2)),VALUE(MID(A1250,FIND("15",A1250,FIND("01",A1250)+16)+6,2))),"")</f>
        <v/>
      </c>
      <c r="F1250" s="8">
        <f>IFERROR(MID(A1250,FIND("10",A1250,FIND("15",A1250,FIND("01",A1250)+16)+8)+2,50),"")</f>
        <v/>
      </c>
      <c r="G1250" s="8" t="n"/>
    </row>
    <row r="1251">
      <c r="A1251" s="4" t="n"/>
      <c r="B1251" s="5">
        <f>IFERROR(MID(A1251,FIND("01",A1251)+2,14),"")</f>
        <v/>
      </c>
      <c r="C1251" s="4">
        <f>IF(A1251="","",IFERROR(VLOOKUP(B1251,TblArticles,2,FALSE),"GTIN inconnu"))</f>
        <v/>
      </c>
      <c r="D1251" s="5">
        <f>IF(A1251="","",IFERROR(VLOOKUP(B1251,TblArticles,3,FALSE),""))</f>
        <v/>
      </c>
      <c r="E1251" s="6">
        <f>IFERROR(DATE(2000+VALUE(MID(A1251,FIND("15",A1251,FIND("01",A1251)+16)+2,2)),VALUE(MID(A1251,FIND("15",A1251,FIND("01",A1251)+16)+4,2)),VALUE(MID(A1251,FIND("15",A1251,FIND("01",A1251)+16)+6,2))),"")</f>
        <v/>
      </c>
      <c r="F1251" s="5">
        <f>IFERROR(MID(A1251,FIND("10",A1251,FIND("15",A1251,FIND("01",A1251)+16)+8)+2,50),"")</f>
        <v/>
      </c>
      <c r="G1251" s="5" t="n"/>
    </row>
    <row r="1252">
      <c r="A1252" s="7" t="n"/>
      <c r="B1252" s="8">
        <f>IFERROR(MID(A1252,FIND("01",A1252)+2,14),"")</f>
        <v/>
      </c>
      <c r="C1252" s="7">
        <f>IF(A1252="","",IFERROR(VLOOKUP(B1252,TblArticles,2,FALSE),"GTIN inconnu"))</f>
        <v/>
      </c>
      <c r="D1252" s="8">
        <f>IF(A1252="","",IFERROR(VLOOKUP(B1252,TblArticles,3,FALSE),""))</f>
        <v/>
      </c>
      <c r="E1252" s="9">
        <f>IFERROR(DATE(2000+VALUE(MID(A1252,FIND("15",A1252,FIND("01",A1252)+16)+2,2)),VALUE(MID(A1252,FIND("15",A1252,FIND("01",A1252)+16)+4,2)),VALUE(MID(A1252,FIND("15",A1252,FIND("01",A1252)+16)+6,2))),"")</f>
        <v/>
      </c>
      <c r="F1252" s="8">
        <f>IFERROR(MID(A1252,FIND("10",A1252,FIND("15",A1252,FIND("01",A1252)+16)+8)+2,50),"")</f>
        <v/>
      </c>
      <c r="G1252" s="8" t="n"/>
    </row>
    <row r="1253">
      <c r="A1253" s="4" t="n"/>
      <c r="B1253" s="5">
        <f>IFERROR(MID(A1253,FIND("01",A1253)+2,14),"")</f>
        <v/>
      </c>
      <c r="C1253" s="4">
        <f>IF(A1253="","",IFERROR(VLOOKUP(B1253,TblArticles,2,FALSE),"GTIN inconnu"))</f>
        <v/>
      </c>
      <c r="D1253" s="5">
        <f>IF(A1253="","",IFERROR(VLOOKUP(B1253,TblArticles,3,FALSE),""))</f>
        <v/>
      </c>
      <c r="E1253" s="6">
        <f>IFERROR(DATE(2000+VALUE(MID(A1253,FIND("15",A1253,FIND("01",A1253)+16)+2,2)),VALUE(MID(A1253,FIND("15",A1253,FIND("01",A1253)+16)+4,2)),VALUE(MID(A1253,FIND("15",A1253,FIND("01",A1253)+16)+6,2))),"")</f>
        <v/>
      </c>
      <c r="F1253" s="5">
        <f>IFERROR(MID(A1253,FIND("10",A1253,FIND("15",A1253,FIND("01",A1253)+16)+8)+2,50),"")</f>
        <v/>
      </c>
      <c r="G1253" s="5" t="n"/>
    </row>
    <row r="1254">
      <c r="A1254" s="7" t="n"/>
      <c r="B1254" s="8">
        <f>IFERROR(MID(A1254,FIND("01",A1254)+2,14),"")</f>
        <v/>
      </c>
      <c r="C1254" s="7">
        <f>IF(A1254="","",IFERROR(VLOOKUP(B1254,TblArticles,2,FALSE),"GTIN inconnu"))</f>
        <v/>
      </c>
      <c r="D1254" s="8">
        <f>IF(A1254="","",IFERROR(VLOOKUP(B1254,TblArticles,3,FALSE),""))</f>
        <v/>
      </c>
      <c r="E1254" s="9">
        <f>IFERROR(DATE(2000+VALUE(MID(A1254,FIND("15",A1254,FIND("01",A1254)+16)+2,2)),VALUE(MID(A1254,FIND("15",A1254,FIND("01",A1254)+16)+4,2)),VALUE(MID(A1254,FIND("15",A1254,FIND("01",A1254)+16)+6,2))),"")</f>
        <v/>
      </c>
      <c r="F1254" s="8">
        <f>IFERROR(MID(A1254,FIND("10",A1254,FIND("15",A1254,FIND("01",A1254)+16)+8)+2,50),"")</f>
        <v/>
      </c>
      <c r="G1254" s="8" t="n"/>
    </row>
    <row r="1255">
      <c r="A1255" s="4" t="n"/>
      <c r="B1255" s="5">
        <f>IFERROR(MID(A1255,FIND("01",A1255)+2,14),"")</f>
        <v/>
      </c>
      <c r="C1255" s="4">
        <f>IF(A1255="","",IFERROR(VLOOKUP(B1255,TblArticles,2,FALSE),"GTIN inconnu"))</f>
        <v/>
      </c>
      <c r="D1255" s="5">
        <f>IF(A1255="","",IFERROR(VLOOKUP(B1255,TblArticles,3,FALSE),""))</f>
        <v/>
      </c>
      <c r="E1255" s="6">
        <f>IFERROR(DATE(2000+VALUE(MID(A1255,FIND("15",A1255,FIND("01",A1255)+16)+2,2)),VALUE(MID(A1255,FIND("15",A1255,FIND("01",A1255)+16)+4,2)),VALUE(MID(A1255,FIND("15",A1255,FIND("01",A1255)+16)+6,2))),"")</f>
        <v/>
      </c>
      <c r="F1255" s="5">
        <f>IFERROR(MID(A1255,FIND("10",A1255,FIND("15",A1255,FIND("01",A1255)+16)+8)+2,50),"")</f>
        <v/>
      </c>
      <c r="G1255" s="5" t="n"/>
    </row>
    <row r="1256">
      <c r="A1256" s="7" t="n"/>
      <c r="B1256" s="8">
        <f>IFERROR(MID(A1256,FIND("01",A1256)+2,14),"")</f>
        <v/>
      </c>
      <c r="C1256" s="7">
        <f>IF(A1256="","",IFERROR(VLOOKUP(B1256,TblArticles,2,FALSE),"GTIN inconnu"))</f>
        <v/>
      </c>
      <c r="D1256" s="8">
        <f>IF(A1256="","",IFERROR(VLOOKUP(B1256,TblArticles,3,FALSE),""))</f>
        <v/>
      </c>
      <c r="E1256" s="9">
        <f>IFERROR(DATE(2000+VALUE(MID(A1256,FIND("15",A1256,FIND("01",A1256)+16)+2,2)),VALUE(MID(A1256,FIND("15",A1256,FIND("01",A1256)+16)+4,2)),VALUE(MID(A1256,FIND("15",A1256,FIND("01",A1256)+16)+6,2))),"")</f>
        <v/>
      </c>
      <c r="F1256" s="8">
        <f>IFERROR(MID(A1256,FIND("10",A1256,FIND("15",A1256,FIND("01",A1256)+16)+8)+2,50),"")</f>
        <v/>
      </c>
      <c r="G1256" s="8" t="n"/>
    </row>
    <row r="1257">
      <c r="A1257" s="4" t="n"/>
      <c r="B1257" s="5">
        <f>IFERROR(MID(A1257,FIND("01",A1257)+2,14),"")</f>
        <v/>
      </c>
      <c r="C1257" s="4">
        <f>IF(A1257="","",IFERROR(VLOOKUP(B1257,TblArticles,2,FALSE),"GTIN inconnu"))</f>
        <v/>
      </c>
      <c r="D1257" s="5">
        <f>IF(A1257="","",IFERROR(VLOOKUP(B1257,TblArticles,3,FALSE),""))</f>
        <v/>
      </c>
      <c r="E1257" s="6">
        <f>IFERROR(DATE(2000+VALUE(MID(A1257,FIND("15",A1257,FIND("01",A1257)+16)+2,2)),VALUE(MID(A1257,FIND("15",A1257,FIND("01",A1257)+16)+4,2)),VALUE(MID(A1257,FIND("15",A1257,FIND("01",A1257)+16)+6,2))),"")</f>
        <v/>
      </c>
      <c r="F1257" s="5">
        <f>IFERROR(MID(A1257,FIND("10",A1257,FIND("15",A1257,FIND("01",A1257)+16)+8)+2,50),"")</f>
        <v/>
      </c>
      <c r="G1257" s="5" t="n"/>
    </row>
    <row r="1258">
      <c r="A1258" s="7" t="n"/>
      <c r="B1258" s="8">
        <f>IFERROR(MID(A1258,FIND("01",A1258)+2,14),"")</f>
        <v/>
      </c>
      <c r="C1258" s="7">
        <f>IF(A1258="","",IFERROR(VLOOKUP(B1258,TblArticles,2,FALSE),"GTIN inconnu"))</f>
        <v/>
      </c>
      <c r="D1258" s="8">
        <f>IF(A1258="","",IFERROR(VLOOKUP(B1258,TblArticles,3,FALSE),""))</f>
        <v/>
      </c>
      <c r="E1258" s="9">
        <f>IFERROR(DATE(2000+VALUE(MID(A1258,FIND("15",A1258,FIND("01",A1258)+16)+2,2)),VALUE(MID(A1258,FIND("15",A1258,FIND("01",A1258)+16)+4,2)),VALUE(MID(A1258,FIND("15",A1258,FIND("01",A1258)+16)+6,2))),"")</f>
        <v/>
      </c>
      <c r="F1258" s="8">
        <f>IFERROR(MID(A1258,FIND("10",A1258,FIND("15",A1258,FIND("01",A1258)+16)+8)+2,50),"")</f>
        <v/>
      </c>
      <c r="G1258" s="8" t="n"/>
    </row>
    <row r="1259">
      <c r="A1259" s="4" t="n"/>
      <c r="B1259" s="5">
        <f>IFERROR(MID(A1259,FIND("01",A1259)+2,14),"")</f>
        <v/>
      </c>
      <c r="C1259" s="4">
        <f>IF(A1259="","",IFERROR(VLOOKUP(B1259,TblArticles,2,FALSE),"GTIN inconnu"))</f>
        <v/>
      </c>
      <c r="D1259" s="5">
        <f>IF(A1259="","",IFERROR(VLOOKUP(B1259,TblArticles,3,FALSE),""))</f>
        <v/>
      </c>
      <c r="E1259" s="6">
        <f>IFERROR(DATE(2000+VALUE(MID(A1259,FIND("15",A1259,FIND("01",A1259)+16)+2,2)),VALUE(MID(A1259,FIND("15",A1259,FIND("01",A1259)+16)+4,2)),VALUE(MID(A1259,FIND("15",A1259,FIND("01",A1259)+16)+6,2))),"")</f>
        <v/>
      </c>
      <c r="F1259" s="5">
        <f>IFERROR(MID(A1259,FIND("10",A1259,FIND("15",A1259,FIND("01",A1259)+16)+8)+2,50),"")</f>
        <v/>
      </c>
      <c r="G1259" s="5" t="n"/>
    </row>
    <row r="1260">
      <c r="A1260" s="7" t="n"/>
      <c r="B1260" s="8">
        <f>IFERROR(MID(A1260,FIND("01",A1260)+2,14),"")</f>
        <v/>
      </c>
      <c r="C1260" s="7">
        <f>IF(A1260="","",IFERROR(VLOOKUP(B1260,TblArticles,2,FALSE),"GTIN inconnu"))</f>
        <v/>
      </c>
      <c r="D1260" s="8">
        <f>IF(A1260="","",IFERROR(VLOOKUP(B1260,TblArticles,3,FALSE),""))</f>
        <v/>
      </c>
      <c r="E1260" s="9">
        <f>IFERROR(DATE(2000+VALUE(MID(A1260,FIND("15",A1260,FIND("01",A1260)+16)+2,2)),VALUE(MID(A1260,FIND("15",A1260,FIND("01",A1260)+16)+4,2)),VALUE(MID(A1260,FIND("15",A1260,FIND("01",A1260)+16)+6,2))),"")</f>
        <v/>
      </c>
      <c r="F1260" s="8">
        <f>IFERROR(MID(A1260,FIND("10",A1260,FIND("15",A1260,FIND("01",A1260)+16)+8)+2,50),"")</f>
        <v/>
      </c>
      <c r="G1260" s="8" t="n"/>
    </row>
    <row r="1261">
      <c r="A1261" s="4" t="n"/>
      <c r="B1261" s="5">
        <f>IFERROR(MID(A1261,FIND("01",A1261)+2,14),"")</f>
        <v/>
      </c>
      <c r="C1261" s="4">
        <f>IF(A1261="","",IFERROR(VLOOKUP(B1261,TblArticles,2,FALSE),"GTIN inconnu"))</f>
        <v/>
      </c>
      <c r="D1261" s="5">
        <f>IF(A1261="","",IFERROR(VLOOKUP(B1261,TblArticles,3,FALSE),""))</f>
        <v/>
      </c>
      <c r="E1261" s="6">
        <f>IFERROR(DATE(2000+VALUE(MID(A1261,FIND("15",A1261,FIND("01",A1261)+16)+2,2)),VALUE(MID(A1261,FIND("15",A1261,FIND("01",A1261)+16)+4,2)),VALUE(MID(A1261,FIND("15",A1261,FIND("01",A1261)+16)+6,2))),"")</f>
        <v/>
      </c>
      <c r="F1261" s="5">
        <f>IFERROR(MID(A1261,FIND("10",A1261,FIND("15",A1261,FIND("01",A1261)+16)+8)+2,50),"")</f>
        <v/>
      </c>
      <c r="G1261" s="5" t="n"/>
    </row>
    <row r="1262">
      <c r="A1262" s="7" t="n"/>
      <c r="B1262" s="8">
        <f>IFERROR(MID(A1262,FIND("01",A1262)+2,14),"")</f>
        <v/>
      </c>
      <c r="C1262" s="7">
        <f>IF(A1262="","",IFERROR(VLOOKUP(B1262,TblArticles,2,FALSE),"GTIN inconnu"))</f>
        <v/>
      </c>
      <c r="D1262" s="8">
        <f>IF(A1262="","",IFERROR(VLOOKUP(B1262,TblArticles,3,FALSE),""))</f>
        <v/>
      </c>
      <c r="E1262" s="9">
        <f>IFERROR(DATE(2000+VALUE(MID(A1262,FIND("15",A1262,FIND("01",A1262)+16)+2,2)),VALUE(MID(A1262,FIND("15",A1262,FIND("01",A1262)+16)+4,2)),VALUE(MID(A1262,FIND("15",A1262,FIND("01",A1262)+16)+6,2))),"")</f>
        <v/>
      </c>
      <c r="F1262" s="8">
        <f>IFERROR(MID(A1262,FIND("10",A1262,FIND("15",A1262,FIND("01",A1262)+16)+8)+2,50),"")</f>
        <v/>
      </c>
      <c r="G1262" s="8" t="n"/>
    </row>
    <row r="1263">
      <c r="A1263" s="4" t="n"/>
      <c r="B1263" s="5">
        <f>IFERROR(MID(A1263,FIND("01",A1263)+2,14),"")</f>
        <v/>
      </c>
      <c r="C1263" s="4">
        <f>IF(A1263="","",IFERROR(VLOOKUP(B1263,TblArticles,2,FALSE),"GTIN inconnu"))</f>
        <v/>
      </c>
      <c r="D1263" s="5">
        <f>IF(A1263="","",IFERROR(VLOOKUP(B1263,TblArticles,3,FALSE),""))</f>
        <v/>
      </c>
      <c r="E1263" s="6">
        <f>IFERROR(DATE(2000+VALUE(MID(A1263,FIND("15",A1263,FIND("01",A1263)+16)+2,2)),VALUE(MID(A1263,FIND("15",A1263,FIND("01",A1263)+16)+4,2)),VALUE(MID(A1263,FIND("15",A1263,FIND("01",A1263)+16)+6,2))),"")</f>
        <v/>
      </c>
      <c r="F1263" s="5">
        <f>IFERROR(MID(A1263,FIND("10",A1263,FIND("15",A1263,FIND("01",A1263)+16)+8)+2,50),"")</f>
        <v/>
      </c>
      <c r="G1263" s="5" t="n"/>
    </row>
    <row r="1264">
      <c r="A1264" s="7" t="n"/>
      <c r="B1264" s="8">
        <f>IFERROR(MID(A1264,FIND("01",A1264)+2,14),"")</f>
        <v/>
      </c>
      <c r="C1264" s="7">
        <f>IF(A1264="","",IFERROR(VLOOKUP(B1264,TblArticles,2,FALSE),"GTIN inconnu"))</f>
        <v/>
      </c>
      <c r="D1264" s="8">
        <f>IF(A1264="","",IFERROR(VLOOKUP(B1264,TblArticles,3,FALSE),""))</f>
        <v/>
      </c>
      <c r="E1264" s="9">
        <f>IFERROR(DATE(2000+VALUE(MID(A1264,FIND("15",A1264,FIND("01",A1264)+16)+2,2)),VALUE(MID(A1264,FIND("15",A1264,FIND("01",A1264)+16)+4,2)),VALUE(MID(A1264,FIND("15",A1264,FIND("01",A1264)+16)+6,2))),"")</f>
        <v/>
      </c>
      <c r="F1264" s="8">
        <f>IFERROR(MID(A1264,FIND("10",A1264,FIND("15",A1264,FIND("01",A1264)+16)+8)+2,50),"")</f>
        <v/>
      </c>
      <c r="G1264" s="8" t="n"/>
    </row>
    <row r="1265">
      <c r="A1265" s="4" t="n"/>
      <c r="B1265" s="5">
        <f>IFERROR(MID(A1265,FIND("01",A1265)+2,14),"")</f>
        <v/>
      </c>
      <c r="C1265" s="4">
        <f>IF(A1265="","",IFERROR(VLOOKUP(B1265,TblArticles,2,FALSE),"GTIN inconnu"))</f>
        <v/>
      </c>
      <c r="D1265" s="5">
        <f>IF(A1265="","",IFERROR(VLOOKUP(B1265,TblArticles,3,FALSE),""))</f>
        <v/>
      </c>
      <c r="E1265" s="6">
        <f>IFERROR(DATE(2000+VALUE(MID(A1265,FIND("15",A1265,FIND("01",A1265)+16)+2,2)),VALUE(MID(A1265,FIND("15",A1265,FIND("01",A1265)+16)+4,2)),VALUE(MID(A1265,FIND("15",A1265,FIND("01",A1265)+16)+6,2))),"")</f>
        <v/>
      </c>
      <c r="F1265" s="5">
        <f>IFERROR(MID(A1265,FIND("10",A1265,FIND("15",A1265,FIND("01",A1265)+16)+8)+2,50),"")</f>
        <v/>
      </c>
      <c r="G1265" s="5" t="n"/>
    </row>
    <row r="1266">
      <c r="A1266" s="7" t="n"/>
      <c r="B1266" s="8">
        <f>IFERROR(MID(A1266,FIND("01",A1266)+2,14),"")</f>
        <v/>
      </c>
      <c r="C1266" s="7">
        <f>IF(A1266="","",IFERROR(VLOOKUP(B1266,TblArticles,2,FALSE),"GTIN inconnu"))</f>
        <v/>
      </c>
      <c r="D1266" s="8">
        <f>IF(A1266="","",IFERROR(VLOOKUP(B1266,TblArticles,3,FALSE),""))</f>
        <v/>
      </c>
      <c r="E1266" s="9">
        <f>IFERROR(DATE(2000+VALUE(MID(A1266,FIND("15",A1266,FIND("01",A1266)+16)+2,2)),VALUE(MID(A1266,FIND("15",A1266,FIND("01",A1266)+16)+4,2)),VALUE(MID(A1266,FIND("15",A1266,FIND("01",A1266)+16)+6,2))),"")</f>
        <v/>
      </c>
      <c r="F1266" s="8">
        <f>IFERROR(MID(A1266,FIND("10",A1266,FIND("15",A1266,FIND("01",A1266)+16)+8)+2,50),"")</f>
        <v/>
      </c>
      <c r="G1266" s="8" t="n"/>
    </row>
    <row r="1267">
      <c r="A1267" s="4" t="n"/>
      <c r="B1267" s="5">
        <f>IFERROR(MID(A1267,FIND("01",A1267)+2,14),"")</f>
        <v/>
      </c>
      <c r="C1267" s="4">
        <f>IF(A1267="","",IFERROR(VLOOKUP(B1267,TblArticles,2,FALSE),"GTIN inconnu"))</f>
        <v/>
      </c>
      <c r="D1267" s="5">
        <f>IF(A1267="","",IFERROR(VLOOKUP(B1267,TblArticles,3,FALSE),""))</f>
        <v/>
      </c>
      <c r="E1267" s="6">
        <f>IFERROR(DATE(2000+VALUE(MID(A1267,FIND("15",A1267,FIND("01",A1267)+16)+2,2)),VALUE(MID(A1267,FIND("15",A1267,FIND("01",A1267)+16)+4,2)),VALUE(MID(A1267,FIND("15",A1267,FIND("01",A1267)+16)+6,2))),"")</f>
        <v/>
      </c>
      <c r="F1267" s="5">
        <f>IFERROR(MID(A1267,FIND("10",A1267,FIND("15",A1267,FIND("01",A1267)+16)+8)+2,50),"")</f>
        <v/>
      </c>
      <c r="G1267" s="5" t="n"/>
    </row>
    <row r="1268">
      <c r="A1268" s="7" t="n"/>
      <c r="B1268" s="8">
        <f>IFERROR(MID(A1268,FIND("01",A1268)+2,14),"")</f>
        <v/>
      </c>
      <c r="C1268" s="7">
        <f>IF(A1268="","",IFERROR(VLOOKUP(B1268,TblArticles,2,FALSE),"GTIN inconnu"))</f>
        <v/>
      </c>
      <c r="D1268" s="8">
        <f>IF(A1268="","",IFERROR(VLOOKUP(B1268,TblArticles,3,FALSE),""))</f>
        <v/>
      </c>
      <c r="E1268" s="9">
        <f>IFERROR(DATE(2000+VALUE(MID(A1268,FIND("15",A1268,FIND("01",A1268)+16)+2,2)),VALUE(MID(A1268,FIND("15",A1268,FIND("01",A1268)+16)+4,2)),VALUE(MID(A1268,FIND("15",A1268,FIND("01",A1268)+16)+6,2))),"")</f>
        <v/>
      </c>
      <c r="F1268" s="8">
        <f>IFERROR(MID(A1268,FIND("10",A1268,FIND("15",A1268,FIND("01",A1268)+16)+8)+2,50),"")</f>
        <v/>
      </c>
      <c r="G1268" s="8" t="n"/>
    </row>
    <row r="1269">
      <c r="A1269" s="4" t="n"/>
      <c r="B1269" s="5">
        <f>IFERROR(MID(A1269,FIND("01",A1269)+2,14),"")</f>
        <v/>
      </c>
      <c r="C1269" s="4">
        <f>IF(A1269="","",IFERROR(VLOOKUP(B1269,TblArticles,2,FALSE),"GTIN inconnu"))</f>
        <v/>
      </c>
      <c r="D1269" s="5">
        <f>IF(A1269="","",IFERROR(VLOOKUP(B1269,TblArticles,3,FALSE),""))</f>
        <v/>
      </c>
      <c r="E1269" s="6">
        <f>IFERROR(DATE(2000+VALUE(MID(A1269,FIND("15",A1269,FIND("01",A1269)+16)+2,2)),VALUE(MID(A1269,FIND("15",A1269,FIND("01",A1269)+16)+4,2)),VALUE(MID(A1269,FIND("15",A1269,FIND("01",A1269)+16)+6,2))),"")</f>
        <v/>
      </c>
      <c r="F1269" s="5">
        <f>IFERROR(MID(A1269,FIND("10",A1269,FIND("15",A1269,FIND("01",A1269)+16)+8)+2,50),"")</f>
        <v/>
      </c>
      <c r="G1269" s="5" t="n"/>
    </row>
    <row r="1270">
      <c r="A1270" s="7" t="n"/>
      <c r="B1270" s="8">
        <f>IFERROR(MID(A1270,FIND("01",A1270)+2,14),"")</f>
        <v/>
      </c>
      <c r="C1270" s="7">
        <f>IF(A1270="","",IFERROR(VLOOKUP(B1270,TblArticles,2,FALSE),"GTIN inconnu"))</f>
        <v/>
      </c>
      <c r="D1270" s="8">
        <f>IF(A1270="","",IFERROR(VLOOKUP(B1270,TblArticles,3,FALSE),""))</f>
        <v/>
      </c>
      <c r="E1270" s="9">
        <f>IFERROR(DATE(2000+VALUE(MID(A1270,FIND("15",A1270,FIND("01",A1270)+16)+2,2)),VALUE(MID(A1270,FIND("15",A1270,FIND("01",A1270)+16)+4,2)),VALUE(MID(A1270,FIND("15",A1270,FIND("01",A1270)+16)+6,2))),"")</f>
        <v/>
      </c>
      <c r="F1270" s="8">
        <f>IFERROR(MID(A1270,FIND("10",A1270,FIND("15",A1270,FIND("01",A1270)+16)+8)+2,50),"")</f>
        <v/>
      </c>
      <c r="G1270" s="8" t="n"/>
    </row>
    <row r="1271">
      <c r="A1271" s="4" t="n"/>
      <c r="B1271" s="5">
        <f>IFERROR(MID(A1271,FIND("01",A1271)+2,14),"")</f>
        <v/>
      </c>
      <c r="C1271" s="4">
        <f>IF(A1271="","",IFERROR(VLOOKUP(B1271,TblArticles,2,FALSE),"GTIN inconnu"))</f>
        <v/>
      </c>
      <c r="D1271" s="5">
        <f>IF(A1271="","",IFERROR(VLOOKUP(B1271,TblArticles,3,FALSE),""))</f>
        <v/>
      </c>
      <c r="E1271" s="6">
        <f>IFERROR(DATE(2000+VALUE(MID(A1271,FIND("15",A1271,FIND("01",A1271)+16)+2,2)),VALUE(MID(A1271,FIND("15",A1271,FIND("01",A1271)+16)+4,2)),VALUE(MID(A1271,FIND("15",A1271,FIND("01",A1271)+16)+6,2))),"")</f>
        <v/>
      </c>
      <c r="F1271" s="5">
        <f>IFERROR(MID(A1271,FIND("10",A1271,FIND("15",A1271,FIND("01",A1271)+16)+8)+2,50),"")</f>
        <v/>
      </c>
      <c r="G1271" s="5" t="n"/>
    </row>
    <row r="1272">
      <c r="A1272" s="7" t="n"/>
      <c r="B1272" s="8">
        <f>IFERROR(MID(A1272,FIND("01",A1272)+2,14),"")</f>
        <v/>
      </c>
      <c r="C1272" s="7">
        <f>IF(A1272="","",IFERROR(VLOOKUP(B1272,TblArticles,2,FALSE),"GTIN inconnu"))</f>
        <v/>
      </c>
      <c r="D1272" s="8">
        <f>IF(A1272="","",IFERROR(VLOOKUP(B1272,TblArticles,3,FALSE),""))</f>
        <v/>
      </c>
      <c r="E1272" s="9">
        <f>IFERROR(DATE(2000+VALUE(MID(A1272,FIND("15",A1272,FIND("01",A1272)+16)+2,2)),VALUE(MID(A1272,FIND("15",A1272,FIND("01",A1272)+16)+4,2)),VALUE(MID(A1272,FIND("15",A1272,FIND("01",A1272)+16)+6,2))),"")</f>
        <v/>
      </c>
      <c r="F1272" s="8">
        <f>IFERROR(MID(A1272,FIND("10",A1272,FIND("15",A1272,FIND("01",A1272)+16)+8)+2,50),"")</f>
        <v/>
      </c>
      <c r="G1272" s="8" t="n"/>
    </row>
    <row r="1273">
      <c r="A1273" s="4" t="n"/>
      <c r="B1273" s="5">
        <f>IFERROR(MID(A1273,FIND("01",A1273)+2,14),"")</f>
        <v/>
      </c>
      <c r="C1273" s="4">
        <f>IF(A1273="","",IFERROR(VLOOKUP(B1273,TblArticles,2,FALSE),"GTIN inconnu"))</f>
        <v/>
      </c>
      <c r="D1273" s="5">
        <f>IF(A1273="","",IFERROR(VLOOKUP(B1273,TblArticles,3,FALSE),""))</f>
        <v/>
      </c>
      <c r="E1273" s="6">
        <f>IFERROR(DATE(2000+VALUE(MID(A1273,FIND("15",A1273,FIND("01",A1273)+16)+2,2)),VALUE(MID(A1273,FIND("15",A1273,FIND("01",A1273)+16)+4,2)),VALUE(MID(A1273,FIND("15",A1273,FIND("01",A1273)+16)+6,2))),"")</f>
        <v/>
      </c>
      <c r="F1273" s="5">
        <f>IFERROR(MID(A1273,FIND("10",A1273,FIND("15",A1273,FIND("01",A1273)+16)+8)+2,50),"")</f>
        <v/>
      </c>
      <c r="G1273" s="5" t="n"/>
    </row>
    <row r="1274">
      <c r="A1274" s="7" t="n"/>
      <c r="B1274" s="8">
        <f>IFERROR(MID(A1274,FIND("01",A1274)+2,14),"")</f>
        <v/>
      </c>
      <c r="C1274" s="7">
        <f>IF(A1274="","",IFERROR(VLOOKUP(B1274,TblArticles,2,FALSE),"GTIN inconnu"))</f>
        <v/>
      </c>
      <c r="D1274" s="8">
        <f>IF(A1274="","",IFERROR(VLOOKUP(B1274,TblArticles,3,FALSE),""))</f>
        <v/>
      </c>
      <c r="E1274" s="9">
        <f>IFERROR(DATE(2000+VALUE(MID(A1274,FIND("15",A1274,FIND("01",A1274)+16)+2,2)),VALUE(MID(A1274,FIND("15",A1274,FIND("01",A1274)+16)+4,2)),VALUE(MID(A1274,FIND("15",A1274,FIND("01",A1274)+16)+6,2))),"")</f>
        <v/>
      </c>
      <c r="F1274" s="8">
        <f>IFERROR(MID(A1274,FIND("10",A1274,FIND("15",A1274,FIND("01",A1274)+16)+8)+2,50),"")</f>
        <v/>
      </c>
      <c r="G1274" s="8" t="n"/>
    </row>
    <row r="1275">
      <c r="A1275" s="4" t="n"/>
      <c r="B1275" s="5">
        <f>IFERROR(MID(A1275,FIND("01",A1275)+2,14),"")</f>
        <v/>
      </c>
      <c r="C1275" s="4">
        <f>IF(A1275="","",IFERROR(VLOOKUP(B1275,TblArticles,2,FALSE),"GTIN inconnu"))</f>
        <v/>
      </c>
      <c r="D1275" s="5">
        <f>IF(A1275="","",IFERROR(VLOOKUP(B1275,TblArticles,3,FALSE),""))</f>
        <v/>
      </c>
      <c r="E1275" s="6">
        <f>IFERROR(DATE(2000+VALUE(MID(A1275,FIND("15",A1275,FIND("01",A1275)+16)+2,2)),VALUE(MID(A1275,FIND("15",A1275,FIND("01",A1275)+16)+4,2)),VALUE(MID(A1275,FIND("15",A1275,FIND("01",A1275)+16)+6,2))),"")</f>
        <v/>
      </c>
      <c r="F1275" s="5">
        <f>IFERROR(MID(A1275,FIND("10",A1275,FIND("15",A1275,FIND("01",A1275)+16)+8)+2,50),"")</f>
        <v/>
      </c>
      <c r="G1275" s="5" t="n"/>
    </row>
    <row r="1276">
      <c r="A1276" s="7" t="n"/>
      <c r="B1276" s="8">
        <f>IFERROR(MID(A1276,FIND("01",A1276)+2,14),"")</f>
        <v/>
      </c>
      <c r="C1276" s="7">
        <f>IF(A1276="","",IFERROR(VLOOKUP(B1276,TblArticles,2,FALSE),"GTIN inconnu"))</f>
        <v/>
      </c>
      <c r="D1276" s="8">
        <f>IF(A1276="","",IFERROR(VLOOKUP(B1276,TblArticles,3,FALSE),""))</f>
        <v/>
      </c>
      <c r="E1276" s="9">
        <f>IFERROR(DATE(2000+VALUE(MID(A1276,FIND("15",A1276,FIND("01",A1276)+16)+2,2)),VALUE(MID(A1276,FIND("15",A1276,FIND("01",A1276)+16)+4,2)),VALUE(MID(A1276,FIND("15",A1276,FIND("01",A1276)+16)+6,2))),"")</f>
        <v/>
      </c>
      <c r="F1276" s="8">
        <f>IFERROR(MID(A1276,FIND("10",A1276,FIND("15",A1276,FIND("01",A1276)+16)+8)+2,50),"")</f>
        <v/>
      </c>
      <c r="G1276" s="8" t="n"/>
    </row>
    <row r="1277">
      <c r="A1277" s="4" t="n"/>
      <c r="B1277" s="5">
        <f>IFERROR(MID(A1277,FIND("01",A1277)+2,14),"")</f>
        <v/>
      </c>
      <c r="C1277" s="4">
        <f>IF(A1277="","",IFERROR(VLOOKUP(B1277,TblArticles,2,FALSE),"GTIN inconnu"))</f>
        <v/>
      </c>
      <c r="D1277" s="5">
        <f>IF(A1277="","",IFERROR(VLOOKUP(B1277,TblArticles,3,FALSE),""))</f>
        <v/>
      </c>
      <c r="E1277" s="6">
        <f>IFERROR(DATE(2000+VALUE(MID(A1277,FIND("15",A1277,FIND("01",A1277)+16)+2,2)),VALUE(MID(A1277,FIND("15",A1277,FIND("01",A1277)+16)+4,2)),VALUE(MID(A1277,FIND("15",A1277,FIND("01",A1277)+16)+6,2))),"")</f>
        <v/>
      </c>
      <c r="F1277" s="5">
        <f>IFERROR(MID(A1277,FIND("10",A1277,FIND("15",A1277,FIND("01",A1277)+16)+8)+2,50),"")</f>
        <v/>
      </c>
      <c r="G1277" s="5" t="n"/>
    </row>
    <row r="1278">
      <c r="A1278" s="7" t="n"/>
      <c r="B1278" s="8">
        <f>IFERROR(MID(A1278,FIND("01",A1278)+2,14),"")</f>
        <v/>
      </c>
      <c r="C1278" s="7">
        <f>IF(A1278="","",IFERROR(VLOOKUP(B1278,TblArticles,2,FALSE),"GTIN inconnu"))</f>
        <v/>
      </c>
      <c r="D1278" s="8">
        <f>IF(A1278="","",IFERROR(VLOOKUP(B1278,TblArticles,3,FALSE),""))</f>
        <v/>
      </c>
      <c r="E1278" s="9">
        <f>IFERROR(DATE(2000+VALUE(MID(A1278,FIND("15",A1278,FIND("01",A1278)+16)+2,2)),VALUE(MID(A1278,FIND("15",A1278,FIND("01",A1278)+16)+4,2)),VALUE(MID(A1278,FIND("15",A1278,FIND("01",A1278)+16)+6,2))),"")</f>
        <v/>
      </c>
      <c r="F1278" s="8">
        <f>IFERROR(MID(A1278,FIND("10",A1278,FIND("15",A1278,FIND("01",A1278)+16)+8)+2,50),"")</f>
        <v/>
      </c>
      <c r="G1278" s="8" t="n"/>
    </row>
    <row r="1279">
      <c r="A1279" s="4" t="n"/>
      <c r="B1279" s="5">
        <f>IFERROR(MID(A1279,FIND("01",A1279)+2,14),"")</f>
        <v/>
      </c>
      <c r="C1279" s="4">
        <f>IF(A1279="","",IFERROR(VLOOKUP(B1279,TblArticles,2,FALSE),"GTIN inconnu"))</f>
        <v/>
      </c>
      <c r="D1279" s="5">
        <f>IF(A1279="","",IFERROR(VLOOKUP(B1279,TblArticles,3,FALSE),""))</f>
        <v/>
      </c>
      <c r="E1279" s="6">
        <f>IFERROR(DATE(2000+VALUE(MID(A1279,FIND("15",A1279,FIND("01",A1279)+16)+2,2)),VALUE(MID(A1279,FIND("15",A1279,FIND("01",A1279)+16)+4,2)),VALUE(MID(A1279,FIND("15",A1279,FIND("01",A1279)+16)+6,2))),"")</f>
        <v/>
      </c>
      <c r="F1279" s="5">
        <f>IFERROR(MID(A1279,FIND("10",A1279,FIND("15",A1279,FIND("01",A1279)+16)+8)+2,50),"")</f>
        <v/>
      </c>
      <c r="G1279" s="5" t="n"/>
    </row>
    <row r="1280">
      <c r="A1280" s="7" t="n"/>
      <c r="B1280" s="8">
        <f>IFERROR(MID(A1280,FIND("01",A1280)+2,14),"")</f>
        <v/>
      </c>
      <c r="C1280" s="7">
        <f>IF(A1280="","",IFERROR(VLOOKUP(B1280,TblArticles,2,FALSE),"GTIN inconnu"))</f>
        <v/>
      </c>
      <c r="D1280" s="8">
        <f>IF(A1280="","",IFERROR(VLOOKUP(B1280,TblArticles,3,FALSE),""))</f>
        <v/>
      </c>
      <c r="E1280" s="9">
        <f>IFERROR(DATE(2000+VALUE(MID(A1280,FIND("15",A1280,FIND("01",A1280)+16)+2,2)),VALUE(MID(A1280,FIND("15",A1280,FIND("01",A1280)+16)+4,2)),VALUE(MID(A1280,FIND("15",A1280,FIND("01",A1280)+16)+6,2))),"")</f>
        <v/>
      </c>
      <c r="F1280" s="8">
        <f>IFERROR(MID(A1280,FIND("10",A1280,FIND("15",A1280,FIND("01",A1280)+16)+8)+2,50),"")</f>
        <v/>
      </c>
      <c r="G1280" s="8" t="n"/>
    </row>
    <row r="1281">
      <c r="A1281" s="4" t="n"/>
      <c r="B1281" s="5">
        <f>IFERROR(MID(A1281,FIND("01",A1281)+2,14),"")</f>
        <v/>
      </c>
      <c r="C1281" s="4">
        <f>IF(A1281="","",IFERROR(VLOOKUP(B1281,TblArticles,2,FALSE),"GTIN inconnu"))</f>
        <v/>
      </c>
      <c r="D1281" s="5">
        <f>IF(A1281="","",IFERROR(VLOOKUP(B1281,TblArticles,3,FALSE),""))</f>
        <v/>
      </c>
      <c r="E1281" s="6">
        <f>IFERROR(DATE(2000+VALUE(MID(A1281,FIND("15",A1281,FIND("01",A1281)+16)+2,2)),VALUE(MID(A1281,FIND("15",A1281,FIND("01",A1281)+16)+4,2)),VALUE(MID(A1281,FIND("15",A1281,FIND("01",A1281)+16)+6,2))),"")</f>
        <v/>
      </c>
      <c r="F1281" s="5">
        <f>IFERROR(MID(A1281,FIND("10",A1281,FIND("15",A1281,FIND("01",A1281)+16)+8)+2,50),"")</f>
        <v/>
      </c>
      <c r="G1281" s="5" t="n"/>
    </row>
    <row r="1282">
      <c r="A1282" s="7" t="n"/>
      <c r="B1282" s="8">
        <f>IFERROR(MID(A1282,FIND("01",A1282)+2,14),"")</f>
        <v/>
      </c>
      <c r="C1282" s="7">
        <f>IF(A1282="","",IFERROR(VLOOKUP(B1282,TblArticles,2,FALSE),"GTIN inconnu"))</f>
        <v/>
      </c>
      <c r="D1282" s="8">
        <f>IF(A1282="","",IFERROR(VLOOKUP(B1282,TblArticles,3,FALSE),""))</f>
        <v/>
      </c>
      <c r="E1282" s="9">
        <f>IFERROR(DATE(2000+VALUE(MID(A1282,FIND("15",A1282,FIND("01",A1282)+16)+2,2)),VALUE(MID(A1282,FIND("15",A1282,FIND("01",A1282)+16)+4,2)),VALUE(MID(A1282,FIND("15",A1282,FIND("01",A1282)+16)+6,2))),"")</f>
        <v/>
      </c>
      <c r="F1282" s="8">
        <f>IFERROR(MID(A1282,FIND("10",A1282,FIND("15",A1282,FIND("01",A1282)+16)+8)+2,50),"")</f>
        <v/>
      </c>
      <c r="G1282" s="8" t="n"/>
    </row>
    <row r="1283">
      <c r="A1283" s="4" t="n"/>
      <c r="B1283" s="5">
        <f>IFERROR(MID(A1283,FIND("01",A1283)+2,14),"")</f>
        <v/>
      </c>
      <c r="C1283" s="4">
        <f>IF(A1283="","",IFERROR(VLOOKUP(B1283,TblArticles,2,FALSE),"GTIN inconnu"))</f>
        <v/>
      </c>
      <c r="D1283" s="5">
        <f>IF(A1283="","",IFERROR(VLOOKUP(B1283,TblArticles,3,FALSE),""))</f>
        <v/>
      </c>
      <c r="E1283" s="6">
        <f>IFERROR(DATE(2000+VALUE(MID(A1283,FIND("15",A1283,FIND("01",A1283)+16)+2,2)),VALUE(MID(A1283,FIND("15",A1283,FIND("01",A1283)+16)+4,2)),VALUE(MID(A1283,FIND("15",A1283,FIND("01",A1283)+16)+6,2))),"")</f>
        <v/>
      </c>
      <c r="F1283" s="5">
        <f>IFERROR(MID(A1283,FIND("10",A1283,FIND("15",A1283,FIND("01",A1283)+16)+8)+2,50),"")</f>
        <v/>
      </c>
      <c r="G1283" s="5" t="n"/>
    </row>
    <row r="1284">
      <c r="A1284" s="7" t="n"/>
      <c r="B1284" s="8">
        <f>IFERROR(MID(A1284,FIND("01",A1284)+2,14),"")</f>
        <v/>
      </c>
      <c r="C1284" s="7">
        <f>IF(A1284="","",IFERROR(VLOOKUP(B1284,TblArticles,2,FALSE),"GTIN inconnu"))</f>
        <v/>
      </c>
      <c r="D1284" s="8">
        <f>IF(A1284="","",IFERROR(VLOOKUP(B1284,TblArticles,3,FALSE),""))</f>
        <v/>
      </c>
      <c r="E1284" s="9">
        <f>IFERROR(DATE(2000+VALUE(MID(A1284,FIND("15",A1284,FIND("01",A1284)+16)+2,2)),VALUE(MID(A1284,FIND("15",A1284,FIND("01",A1284)+16)+4,2)),VALUE(MID(A1284,FIND("15",A1284,FIND("01",A1284)+16)+6,2))),"")</f>
        <v/>
      </c>
      <c r="F1284" s="8">
        <f>IFERROR(MID(A1284,FIND("10",A1284,FIND("15",A1284,FIND("01",A1284)+16)+8)+2,50),"")</f>
        <v/>
      </c>
      <c r="G1284" s="8" t="n"/>
    </row>
    <row r="1285">
      <c r="A1285" s="4" t="n"/>
      <c r="B1285" s="5">
        <f>IFERROR(MID(A1285,FIND("01",A1285)+2,14),"")</f>
        <v/>
      </c>
      <c r="C1285" s="4">
        <f>IF(A1285="","",IFERROR(VLOOKUP(B1285,TblArticles,2,FALSE),"GTIN inconnu"))</f>
        <v/>
      </c>
      <c r="D1285" s="5">
        <f>IF(A1285="","",IFERROR(VLOOKUP(B1285,TblArticles,3,FALSE),""))</f>
        <v/>
      </c>
      <c r="E1285" s="6">
        <f>IFERROR(DATE(2000+VALUE(MID(A1285,FIND("15",A1285,FIND("01",A1285)+16)+2,2)),VALUE(MID(A1285,FIND("15",A1285,FIND("01",A1285)+16)+4,2)),VALUE(MID(A1285,FIND("15",A1285,FIND("01",A1285)+16)+6,2))),"")</f>
        <v/>
      </c>
      <c r="F1285" s="5">
        <f>IFERROR(MID(A1285,FIND("10",A1285,FIND("15",A1285,FIND("01",A1285)+16)+8)+2,50),"")</f>
        <v/>
      </c>
      <c r="G1285" s="5" t="n"/>
    </row>
    <row r="1286">
      <c r="A1286" s="7" t="n"/>
      <c r="B1286" s="8">
        <f>IFERROR(MID(A1286,FIND("01",A1286)+2,14),"")</f>
        <v/>
      </c>
      <c r="C1286" s="7">
        <f>IF(A1286="","",IFERROR(VLOOKUP(B1286,TblArticles,2,FALSE),"GTIN inconnu"))</f>
        <v/>
      </c>
      <c r="D1286" s="8">
        <f>IF(A1286="","",IFERROR(VLOOKUP(B1286,TblArticles,3,FALSE),""))</f>
        <v/>
      </c>
      <c r="E1286" s="9">
        <f>IFERROR(DATE(2000+VALUE(MID(A1286,FIND("15",A1286,FIND("01",A1286)+16)+2,2)),VALUE(MID(A1286,FIND("15",A1286,FIND("01",A1286)+16)+4,2)),VALUE(MID(A1286,FIND("15",A1286,FIND("01",A1286)+16)+6,2))),"")</f>
        <v/>
      </c>
      <c r="F1286" s="8">
        <f>IFERROR(MID(A1286,FIND("10",A1286,FIND("15",A1286,FIND("01",A1286)+16)+8)+2,50),"")</f>
        <v/>
      </c>
      <c r="G1286" s="8" t="n"/>
    </row>
    <row r="1287">
      <c r="A1287" s="4" t="n"/>
      <c r="B1287" s="5">
        <f>IFERROR(MID(A1287,FIND("01",A1287)+2,14),"")</f>
        <v/>
      </c>
      <c r="C1287" s="4">
        <f>IF(A1287="","",IFERROR(VLOOKUP(B1287,TblArticles,2,FALSE),"GTIN inconnu"))</f>
        <v/>
      </c>
      <c r="D1287" s="5">
        <f>IF(A1287="","",IFERROR(VLOOKUP(B1287,TblArticles,3,FALSE),""))</f>
        <v/>
      </c>
      <c r="E1287" s="6">
        <f>IFERROR(DATE(2000+VALUE(MID(A1287,FIND("15",A1287,FIND("01",A1287)+16)+2,2)),VALUE(MID(A1287,FIND("15",A1287,FIND("01",A1287)+16)+4,2)),VALUE(MID(A1287,FIND("15",A1287,FIND("01",A1287)+16)+6,2))),"")</f>
        <v/>
      </c>
      <c r="F1287" s="5">
        <f>IFERROR(MID(A1287,FIND("10",A1287,FIND("15",A1287,FIND("01",A1287)+16)+8)+2,50),"")</f>
        <v/>
      </c>
      <c r="G1287" s="5" t="n"/>
    </row>
    <row r="1288">
      <c r="A1288" s="7" t="n"/>
      <c r="B1288" s="8">
        <f>IFERROR(MID(A1288,FIND("01",A1288)+2,14),"")</f>
        <v/>
      </c>
      <c r="C1288" s="7">
        <f>IF(A1288="","",IFERROR(VLOOKUP(B1288,TblArticles,2,FALSE),"GTIN inconnu"))</f>
        <v/>
      </c>
      <c r="D1288" s="8">
        <f>IF(A1288="","",IFERROR(VLOOKUP(B1288,TblArticles,3,FALSE),""))</f>
        <v/>
      </c>
      <c r="E1288" s="9">
        <f>IFERROR(DATE(2000+VALUE(MID(A1288,FIND("15",A1288,FIND("01",A1288)+16)+2,2)),VALUE(MID(A1288,FIND("15",A1288,FIND("01",A1288)+16)+4,2)),VALUE(MID(A1288,FIND("15",A1288,FIND("01",A1288)+16)+6,2))),"")</f>
        <v/>
      </c>
      <c r="F1288" s="8">
        <f>IFERROR(MID(A1288,FIND("10",A1288,FIND("15",A1288,FIND("01",A1288)+16)+8)+2,50),"")</f>
        <v/>
      </c>
      <c r="G1288" s="8" t="n"/>
    </row>
    <row r="1289">
      <c r="A1289" s="4" t="n"/>
      <c r="B1289" s="5">
        <f>IFERROR(MID(A1289,FIND("01",A1289)+2,14),"")</f>
        <v/>
      </c>
      <c r="C1289" s="4">
        <f>IF(A1289="","",IFERROR(VLOOKUP(B1289,TblArticles,2,FALSE),"GTIN inconnu"))</f>
        <v/>
      </c>
      <c r="D1289" s="5">
        <f>IF(A1289="","",IFERROR(VLOOKUP(B1289,TblArticles,3,FALSE),""))</f>
        <v/>
      </c>
      <c r="E1289" s="6">
        <f>IFERROR(DATE(2000+VALUE(MID(A1289,FIND("15",A1289,FIND("01",A1289)+16)+2,2)),VALUE(MID(A1289,FIND("15",A1289,FIND("01",A1289)+16)+4,2)),VALUE(MID(A1289,FIND("15",A1289,FIND("01",A1289)+16)+6,2))),"")</f>
        <v/>
      </c>
      <c r="F1289" s="5">
        <f>IFERROR(MID(A1289,FIND("10",A1289,FIND("15",A1289,FIND("01",A1289)+16)+8)+2,50),"")</f>
        <v/>
      </c>
      <c r="G1289" s="5" t="n"/>
    </row>
    <row r="1290">
      <c r="A1290" s="7" t="n"/>
      <c r="B1290" s="8">
        <f>IFERROR(MID(A1290,FIND("01",A1290)+2,14),"")</f>
        <v/>
      </c>
      <c r="C1290" s="7">
        <f>IF(A1290="","",IFERROR(VLOOKUP(B1290,TblArticles,2,FALSE),"GTIN inconnu"))</f>
        <v/>
      </c>
      <c r="D1290" s="8">
        <f>IF(A1290="","",IFERROR(VLOOKUP(B1290,TblArticles,3,FALSE),""))</f>
        <v/>
      </c>
      <c r="E1290" s="9">
        <f>IFERROR(DATE(2000+VALUE(MID(A1290,FIND("15",A1290,FIND("01",A1290)+16)+2,2)),VALUE(MID(A1290,FIND("15",A1290,FIND("01",A1290)+16)+4,2)),VALUE(MID(A1290,FIND("15",A1290,FIND("01",A1290)+16)+6,2))),"")</f>
        <v/>
      </c>
      <c r="F1290" s="8">
        <f>IFERROR(MID(A1290,FIND("10",A1290,FIND("15",A1290,FIND("01",A1290)+16)+8)+2,50),"")</f>
        <v/>
      </c>
      <c r="G1290" s="8" t="n"/>
    </row>
    <row r="1291">
      <c r="A1291" s="4" t="n"/>
      <c r="B1291" s="5">
        <f>IFERROR(MID(A1291,FIND("01",A1291)+2,14),"")</f>
        <v/>
      </c>
      <c r="C1291" s="4">
        <f>IF(A1291="","",IFERROR(VLOOKUP(B1291,TblArticles,2,FALSE),"GTIN inconnu"))</f>
        <v/>
      </c>
      <c r="D1291" s="5">
        <f>IF(A1291="","",IFERROR(VLOOKUP(B1291,TblArticles,3,FALSE),""))</f>
        <v/>
      </c>
      <c r="E1291" s="6">
        <f>IFERROR(DATE(2000+VALUE(MID(A1291,FIND("15",A1291,FIND("01",A1291)+16)+2,2)),VALUE(MID(A1291,FIND("15",A1291,FIND("01",A1291)+16)+4,2)),VALUE(MID(A1291,FIND("15",A1291,FIND("01",A1291)+16)+6,2))),"")</f>
        <v/>
      </c>
      <c r="F1291" s="5">
        <f>IFERROR(MID(A1291,FIND("10",A1291,FIND("15",A1291,FIND("01",A1291)+16)+8)+2,50),"")</f>
        <v/>
      </c>
      <c r="G1291" s="5" t="n"/>
    </row>
    <row r="1292">
      <c r="A1292" s="7" t="n"/>
      <c r="B1292" s="8">
        <f>IFERROR(MID(A1292,FIND("01",A1292)+2,14),"")</f>
        <v/>
      </c>
      <c r="C1292" s="7">
        <f>IF(A1292="","",IFERROR(VLOOKUP(B1292,TblArticles,2,FALSE),"GTIN inconnu"))</f>
        <v/>
      </c>
      <c r="D1292" s="8">
        <f>IF(A1292="","",IFERROR(VLOOKUP(B1292,TblArticles,3,FALSE),""))</f>
        <v/>
      </c>
      <c r="E1292" s="9">
        <f>IFERROR(DATE(2000+VALUE(MID(A1292,FIND("15",A1292,FIND("01",A1292)+16)+2,2)),VALUE(MID(A1292,FIND("15",A1292,FIND("01",A1292)+16)+4,2)),VALUE(MID(A1292,FIND("15",A1292,FIND("01",A1292)+16)+6,2))),"")</f>
        <v/>
      </c>
      <c r="F1292" s="8">
        <f>IFERROR(MID(A1292,FIND("10",A1292,FIND("15",A1292,FIND("01",A1292)+16)+8)+2,50),"")</f>
        <v/>
      </c>
      <c r="G1292" s="8" t="n"/>
    </row>
    <row r="1293">
      <c r="A1293" s="4" t="n"/>
      <c r="B1293" s="5">
        <f>IFERROR(MID(A1293,FIND("01",A1293)+2,14),"")</f>
        <v/>
      </c>
      <c r="C1293" s="4">
        <f>IF(A1293="","",IFERROR(VLOOKUP(B1293,TblArticles,2,FALSE),"GTIN inconnu"))</f>
        <v/>
      </c>
      <c r="D1293" s="5">
        <f>IF(A1293="","",IFERROR(VLOOKUP(B1293,TblArticles,3,FALSE),""))</f>
        <v/>
      </c>
      <c r="E1293" s="6">
        <f>IFERROR(DATE(2000+VALUE(MID(A1293,FIND("15",A1293,FIND("01",A1293)+16)+2,2)),VALUE(MID(A1293,FIND("15",A1293,FIND("01",A1293)+16)+4,2)),VALUE(MID(A1293,FIND("15",A1293,FIND("01",A1293)+16)+6,2))),"")</f>
        <v/>
      </c>
      <c r="F1293" s="5">
        <f>IFERROR(MID(A1293,FIND("10",A1293,FIND("15",A1293,FIND("01",A1293)+16)+8)+2,50),"")</f>
        <v/>
      </c>
      <c r="G1293" s="5" t="n"/>
    </row>
    <row r="1294">
      <c r="A1294" s="7" t="n"/>
      <c r="B1294" s="8">
        <f>IFERROR(MID(A1294,FIND("01",A1294)+2,14),"")</f>
        <v/>
      </c>
      <c r="C1294" s="7">
        <f>IF(A1294="","",IFERROR(VLOOKUP(B1294,TblArticles,2,FALSE),"GTIN inconnu"))</f>
        <v/>
      </c>
      <c r="D1294" s="8">
        <f>IF(A1294="","",IFERROR(VLOOKUP(B1294,TblArticles,3,FALSE),""))</f>
        <v/>
      </c>
      <c r="E1294" s="9">
        <f>IFERROR(DATE(2000+VALUE(MID(A1294,FIND("15",A1294,FIND("01",A1294)+16)+2,2)),VALUE(MID(A1294,FIND("15",A1294,FIND("01",A1294)+16)+4,2)),VALUE(MID(A1294,FIND("15",A1294,FIND("01",A1294)+16)+6,2))),"")</f>
        <v/>
      </c>
      <c r="F1294" s="8">
        <f>IFERROR(MID(A1294,FIND("10",A1294,FIND("15",A1294,FIND("01",A1294)+16)+8)+2,50),"")</f>
        <v/>
      </c>
      <c r="G1294" s="8" t="n"/>
    </row>
    <row r="1295">
      <c r="A1295" s="4" t="n"/>
      <c r="B1295" s="5">
        <f>IFERROR(MID(A1295,FIND("01",A1295)+2,14),"")</f>
        <v/>
      </c>
      <c r="C1295" s="4">
        <f>IF(A1295="","",IFERROR(VLOOKUP(B1295,TblArticles,2,FALSE),"GTIN inconnu"))</f>
        <v/>
      </c>
      <c r="D1295" s="5">
        <f>IF(A1295="","",IFERROR(VLOOKUP(B1295,TblArticles,3,FALSE),""))</f>
        <v/>
      </c>
      <c r="E1295" s="6">
        <f>IFERROR(DATE(2000+VALUE(MID(A1295,FIND("15",A1295,FIND("01",A1295)+16)+2,2)),VALUE(MID(A1295,FIND("15",A1295,FIND("01",A1295)+16)+4,2)),VALUE(MID(A1295,FIND("15",A1295,FIND("01",A1295)+16)+6,2))),"")</f>
        <v/>
      </c>
      <c r="F1295" s="5">
        <f>IFERROR(MID(A1295,FIND("10",A1295,FIND("15",A1295,FIND("01",A1295)+16)+8)+2,50),"")</f>
        <v/>
      </c>
      <c r="G1295" s="5" t="n"/>
    </row>
    <row r="1296">
      <c r="A1296" s="7" t="n"/>
      <c r="B1296" s="8">
        <f>IFERROR(MID(A1296,FIND("01",A1296)+2,14),"")</f>
        <v/>
      </c>
      <c r="C1296" s="7">
        <f>IF(A1296="","",IFERROR(VLOOKUP(B1296,TblArticles,2,FALSE),"GTIN inconnu"))</f>
        <v/>
      </c>
      <c r="D1296" s="8">
        <f>IF(A1296="","",IFERROR(VLOOKUP(B1296,TblArticles,3,FALSE),""))</f>
        <v/>
      </c>
      <c r="E1296" s="9">
        <f>IFERROR(DATE(2000+VALUE(MID(A1296,FIND("15",A1296,FIND("01",A1296)+16)+2,2)),VALUE(MID(A1296,FIND("15",A1296,FIND("01",A1296)+16)+4,2)),VALUE(MID(A1296,FIND("15",A1296,FIND("01",A1296)+16)+6,2))),"")</f>
        <v/>
      </c>
      <c r="F1296" s="8">
        <f>IFERROR(MID(A1296,FIND("10",A1296,FIND("15",A1296,FIND("01",A1296)+16)+8)+2,50),"")</f>
        <v/>
      </c>
      <c r="G1296" s="8" t="n"/>
    </row>
    <row r="1297">
      <c r="A1297" s="4" t="n"/>
      <c r="B1297" s="5">
        <f>IFERROR(MID(A1297,FIND("01",A1297)+2,14),"")</f>
        <v/>
      </c>
      <c r="C1297" s="4">
        <f>IF(A1297="","",IFERROR(VLOOKUP(B1297,TblArticles,2,FALSE),"GTIN inconnu"))</f>
        <v/>
      </c>
      <c r="D1297" s="5">
        <f>IF(A1297="","",IFERROR(VLOOKUP(B1297,TblArticles,3,FALSE),""))</f>
        <v/>
      </c>
      <c r="E1297" s="6">
        <f>IFERROR(DATE(2000+VALUE(MID(A1297,FIND("15",A1297,FIND("01",A1297)+16)+2,2)),VALUE(MID(A1297,FIND("15",A1297,FIND("01",A1297)+16)+4,2)),VALUE(MID(A1297,FIND("15",A1297,FIND("01",A1297)+16)+6,2))),"")</f>
        <v/>
      </c>
      <c r="F1297" s="5">
        <f>IFERROR(MID(A1297,FIND("10",A1297,FIND("15",A1297,FIND("01",A1297)+16)+8)+2,50),"")</f>
        <v/>
      </c>
      <c r="G1297" s="5" t="n"/>
    </row>
    <row r="1298">
      <c r="A1298" s="7" t="n"/>
      <c r="B1298" s="8">
        <f>IFERROR(MID(A1298,FIND("01",A1298)+2,14),"")</f>
        <v/>
      </c>
      <c r="C1298" s="7">
        <f>IF(A1298="","",IFERROR(VLOOKUP(B1298,TblArticles,2,FALSE),"GTIN inconnu"))</f>
        <v/>
      </c>
      <c r="D1298" s="8">
        <f>IF(A1298="","",IFERROR(VLOOKUP(B1298,TblArticles,3,FALSE),""))</f>
        <v/>
      </c>
      <c r="E1298" s="9">
        <f>IFERROR(DATE(2000+VALUE(MID(A1298,FIND("15",A1298,FIND("01",A1298)+16)+2,2)),VALUE(MID(A1298,FIND("15",A1298,FIND("01",A1298)+16)+4,2)),VALUE(MID(A1298,FIND("15",A1298,FIND("01",A1298)+16)+6,2))),"")</f>
        <v/>
      </c>
      <c r="F1298" s="8">
        <f>IFERROR(MID(A1298,FIND("10",A1298,FIND("15",A1298,FIND("01",A1298)+16)+8)+2,50),"")</f>
        <v/>
      </c>
      <c r="G1298" s="8" t="n"/>
    </row>
    <row r="1299">
      <c r="A1299" s="4" t="n"/>
      <c r="B1299" s="5">
        <f>IFERROR(MID(A1299,FIND("01",A1299)+2,14),"")</f>
        <v/>
      </c>
      <c r="C1299" s="4">
        <f>IF(A1299="","",IFERROR(VLOOKUP(B1299,TblArticles,2,FALSE),"GTIN inconnu"))</f>
        <v/>
      </c>
      <c r="D1299" s="5">
        <f>IF(A1299="","",IFERROR(VLOOKUP(B1299,TblArticles,3,FALSE),""))</f>
        <v/>
      </c>
      <c r="E1299" s="6">
        <f>IFERROR(DATE(2000+VALUE(MID(A1299,FIND("15",A1299,FIND("01",A1299)+16)+2,2)),VALUE(MID(A1299,FIND("15",A1299,FIND("01",A1299)+16)+4,2)),VALUE(MID(A1299,FIND("15",A1299,FIND("01",A1299)+16)+6,2))),"")</f>
        <v/>
      </c>
      <c r="F1299" s="5">
        <f>IFERROR(MID(A1299,FIND("10",A1299,FIND("15",A1299,FIND("01",A1299)+16)+8)+2,50),"")</f>
        <v/>
      </c>
      <c r="G1299" s="5" t="n"/>
    </row>
    <row r="1300">
      <c r="A1300" s="7" t="n"/>
      <c r="B1300" s="8">
        <f>IFERROR(MID(A1300,FIND("01",A1300)+2,14),"")</f>
        <v/>
      </c>
      <c r="C1300" s="7">
        <f>IF(A1300="","",IFERROR(VLOOKUP(B1300,TblArticles,2,FALSE),"GTIN inconnu"))</f>
        <v/>
      </c>
      <c r="D1300" s="8">
        <f>IF(A1300="","",IFERROR(VLOOKUP(B1300,TblArticles,3,FALSE),""))</f>
        <v/>
      </c>
      <c r="E1300" s="9">
        <f>IFERROR(DATE(2000+VALUE(MID(A1300,FIND("15",A1300,FIND("01",A1300)+16)+2,2)),VALUE(MID(A1300,FIND("15",A1300,FIND("01",A1300)+16)+4,2)),VALUE(MID(A1300,FIND("15",A1300,FIND("01",A1300)+16)+6,2))),"")</f>
        <v/>
      </c>
      <c r="F1300" s="8">
        <f>IFERROR(MID(A1300,FIND("10",A1300,FIND("15",A1300,FIND("01",A1300)+16)+8)+2,50),"")</f>
        <v/>
      </c>
      <c r="G1300" s="8" t="n"/>
    </row>
    <row r="1301">
      <c r="A1301" s="4" t="n"/>
      <c r="B1301" s="5">
        <f>IFERROR(MID(A1301,FIND("01",A1301)+2,14),"")</f>
        <v/>
      </c>
      <c r="C1301" s="4">
        <f>IF(A1301="","",IFERROR(VLOOKUP(B1301,TblArticles,2,FALSE),"GTIN inconnu"))</f>
        <v/>
      </c>
      <c r="D1301" s="5">
        <f>IF(A1301="","",IFERROR(VLOOKUP(B1301,TblArticles,3,FALSE),""))</f>
        <v/>
      </c>
      <c r="E1301" s="6">
        <f>IFERROR(DATE(2000+VALUE(MID(A1301,FIND("15",A1301,FIND("01",A1301)+16)+2,2)),VALUE(MID(A1301,FIND("15",A1301,FIND("01",A1301)+16)+4,2)),VALUE(MID(A1301,FIND("15",A1301,FIND("01",A1301)+16)+6,2))),"")</f>
        <v/>
      </c>
      <c r="F1301" s="5">
        <f>IFERROR(MID(A1301,FIND("10",A1301,FIND("15",A1301,FIND("01",A1301)+16)+8)+2,50),"")</f>
        <v/>
      </c>
      <c r="G1301" s="5" t="n"/>
    </row>
    <row r="1302">
      <c r="A1302" s="7" t="n"/>
      <c r="B1302" s="8">
        <f>IFERROR(MID(A1302,FIND("01",A1302)+2,14),"")</f>
        <v/>
      </c>
      <c r="C1302" s="7">
        <f>IF(A1302="","",IFERROR(VLOOKUP(B1302,TblArticles,2,FALSE),"GTIN inconnu"))</f>
        <v/>
      </c>
      <c r="D1302" s="8">
        <f>IF(A1302="","",IFERROR(VLOOKUP(B1302,TblArticles,3,FALSE),""))</f>
        <v/>
      </c>
      <c r="E1302" s="9">
        <f>IFERROR(DATE(2000+VALUE(MID(A1302,FIND("15",A1302,FIND("01",A1302)+16)+2,2)),VALUE(MID(A1302,FIND("15",A1302,FIND("01",A1302)+16)+4,2)),VALUE(MID(A1302,FIND("15",A1302,FIND("01",A1302)+16)+6,2))),"")</f>
        <v/>
      </c>
      <c r="F1302" s="8">
        <f>IFERROR(MID(A1302,FIND("10",A1302,FIND("15",A1302,FIND("01",A1302)+16)+8)+2,50),"")</f>
        <v/>
      </c>
      <c r="G1302" s="8" t="n"/>
    </row>
    <row r="1303">
      <c r="A1303" s="4" t="n"/>
      <c r="B1303" s="5">
        <f>IFERROR(MID(A1303,FIND("01",A1303)+2,14),"")</f>
        <v/>
      </c>
      <c r="C1303" s="4">
        <f>IF(A1303="","",IFERROR(VLOOKUP(B1303,TblArticles,2,FALSE),"GTIN inconnu"))</f>
        <v/>
      </c>
      <c r="D1303" s="5">
        <f>IF(A1303="","",IFERROR(VLOOKUP(B1303,TblArticles,3,FALSE),""))</f>
        <v/>
      </c>
      <c r="E1303" s="6">
        <f>IFERROR(DATE(2000+VALUE(MID(A1303,FIND("15",A1303,FIND("01",A1303)+16)+2,2)),VALUE(MID(A1303,FIND("15",A1303,FIND("01",A1303)+16)+4,2)),VALUE(MID(A1303,FIND("15",A1303,FIND("01",A1303)+16)+6,2))),"")</f>
        <v/>
      </c>
      <c r="F1303" s="5">
        <f>IFERROR(MID(A1303,FIND("10",A1303,FIND("15",A1303,FIND("01",A1303)+16)+8)+2,50),"")</f>
        <v/>
      </c>
      <c r="G1303" s="5" t="n"/>
    </row>
    <row r="1304">
      <c r="A1304" s="7" t="n"/>
      <c r="B1304" s="8">
        <f>IFERROR(MID(A1304,FIND("01",A1304)+2,14),"")</f>
        <v/>
      </c>
      <c r="C1304" s="7">
        <f>IF(A1304="","",IFERROR(VLOOKUP(B1304,TblArticles,2,FALSE),"GTIN inconnu"))</f>
        <v/>
      </c>
      <c r="D1304" s="8">
        <f>IF(A1304="","",IFERROR(VLOOKUP(B1304,TblArticles,3,FALSE),""))</f>
        <v/>
      </c>
      <c r="E1304" s="9">
        <f>IFERROR(DATE(2000+VALUE(MID(A1304,FIND("15",A1304,FIND("01",A1304)+16)+2,2)),VALUE(MID(A1304,FIND("15",A1304,FIND("01",A1304)+16)+4,2)),VALUE(MID(A1304,FIND("15",A1304,FIND("01",A1304)+16)+6,2))),"")</f>
        <v/>
      </c>
      <c r="F1304" s="8">
        <f>IFERROR(MID(A1304,FIND("10",A1304,FIND("15",A1304,FIND("01",A1304)+16)+8)+2,50),"")</f>
        <v/>
      </c>
      <c r="G1304" s="8" t="n"/>
    </row>
    <row r="1305">
      <c r="A1305" s="4" t="n"/>
      <c r="B1305" s="5">
        <f>IFERROR(MID(A1305,FIND("01",A1305)+2,14),"")</f>
        <v/>
      </c>
      <c r="C1305" s="4">
        <f>IF(A1305="","",IFERROR(VLOOKUP(B1305,TblArticles,2,FALSE),"GTIN inconnu"))</f>
        <v/>
      </c>
      <c r="D1305" s="5">
        <f>IF(A1305="","",IFERROR(VLOOKUP(B1305,TblArticles,3,FALSE),""))</f>
        <v/>
      </c>
      <c r="E1305" s="6">
        <f>IFERROR(DATE(2000+VALUE(MID(A1305,FIND("15",A1305,FIND("01",A1305)+16)+2,2)),VALUE(MID(A1305,FIND("15",A1305,FIND("01",A1305)+16)+4,2)),VALUE(MID(A1305,FIND("15",A1305,FIND("01",A1305)+16)+6,2))),"")</f>
        <v/>
      </c>
      <c r="F1305" s="5">
        <f>IFERROR(MID(A1305,FIND("10",A1305,FIND("15",A1305,FIND("01",A1305)+16)+8)+2,50),"")</f>
        <v/>
      </c>
      <c r="G1305" s="5" t="n"/>
    </row>
    <row r="1306">
      <c r="A1306" s="7" t="n"/>
      <c r="B1306" s="8">
        <f>IFERROR(MID(A1306,FIND("01",A1306)+2,14),"")</f>
        <v/>
      </c>
      <c r="C1306" s="7">
        <f>IF(A1306="","",IFERROR(VLOOKUP(B1306,TblArticles,2,FALSE),"GTIN inconnu"))</f>
        <v/>
      </c>
      <c r="D1306" s="8">
        <f>IF(A1306="","",IFERROR(VLOOKUP(B1306,TblArticles,3,FALSE),""))</f>
        <v/>
      </c>
      <c r="E1306" s="9">
        <f>IFERROR(DATE(2000+VALUE(MID(A1306,FIND("15",A1306,FIND("01",A1306)+16)+2,2)),VALUE(MID(A1306,FIND("15",A1306,FIND("01",A1306)+16)+4,2)),VALUE(MID(A1306,FIND("15",A1306,FIND("01",A1306)+16)+6,2))),"")</f>
        <v/>
      </c>
      <c r="F1306" s="8">
        <f>IFERROR(MID(A1306,FIND("10",A1306,FIND("15",A1306,FIND("01",A1306)+16)+8)+2,50),"")</f>
        <v/>
      </c>
      <c r="G1306" s="8" t="n"/>
    </row>
    <row r="1307">
      <c r="A1307" s="4" t="n"/>
      <c r="B1307" s="5">
        <f>IFERROR(MID(A1307,FIND("01",A1307)+2,14),"")</f>
        <v/>
      </c>
      <c r="C1307" s="4">
        <f>IF(A1307="","",IFERROR(VLOOKUP(B1307,TblArticles,2,FALSE),"GTIN inconnu"))</f>
        <v/>
      </c>
      <c r="D1307" s="5">
        <f>IF(A1307="","",IFERROR(VLOOKUP(B1307,TblArticles,3,FALSE),""))</f>
        <v/>
      </c>
      <c r="E1307" s="6">
        <f>IFERROR(DATE(2000+VALUE(MID(A1307,FIND("15",A1307,FIND("01",A1307)+16)+2,2)),VALUE(MID(A1307,FIND("15",A1307,FIND("01",A1307)+16)+4,2)),VALUE(MID(A1307,FIND("15",A1307,FIND("01",A1307)+16)+6,2))),"")</f>
        <v/>
      </c>
      <c r="F1307" s="5">
        <f>IFERROR(MID(A1307,FIND("10",A1307,FIND("15",A1307,FIND("01",A1307)+16)+8)+2,50),"")</f>
        <v/>
      </c>
      <c r="G1307" s="5" t="n"/>
    </row>
    <row r="1308">
      <c r="A1308" s="7" t="n"/>
      <c r="B1308" s="8">
        <f>IFERROR(MID(A1308,FIND("01",A1308)+2,14),"")</f>
        <v/>
      </c>
      <c r="C1308" s="7">
        <f>IF(A1308="","",IFERROR(VLOOKUP(B1308,TblArticles,2,FALSE),"GTIN inconnu"))</f>
        <v/>
      </c>
      <c r="D1308" s="8">
        <f>IF(A1308="","",IFERROR(VLOOKUP(B1308,TblArticles,3,FALSE),""))</f>
        <v/>
      </c>
      <c r="E1308" s="9">
        <f>IFERROR(DATE(2000+VALUE(MID(A1308,FIND("15",A1308,FIND("01",A1308)+16)+2,2)),VALUE(MID(A1308,FIND("15",A1308,FIND("01",A1308)+16)+4,2)),VALUE(MID(A1308,FIND("15",A1308,FIND("01",A1308)+16)+6,2))),"")</f>
        <v/>
      </c>
      <c r="F1308" s="8">
        <f>IFERROR(MID(A1308,FIND("10",A1308,FIND("15",A1308,FIND("01",A1308)+16)+8)+2,50),"")</f>
        <v/>
      </c>
      <c r="G1308" s="8" t="n"/>
    </row>
    <row r="1309">
      <c r="A1309" s="4" t="n"/>
      <c r="B1309" s="5">
        <f>IFERROR(MID(A1309,FIND("01",A1309)+2,14),"")</f>
        <v/>
      </c>
      <c r="C1309" s="4">
        <f>IF(A1309="","",IFERROR(VLOOKUP(B1309,TblArticles,2,FALSE),"GTIN inconnu"))</f>
        <v/>
      </c>
      <c r="D1309" s="5">
        <f>IF(A1309="","",IFERROR(VLOOKUP(B1309,TblArticles,3,FALSE),""))</f>
        <v/>
      </c>
      <c r="E1309" s="6">
        <f>IFERROR(DATE(2000+VALUE(MID(A1309,FIND("15",A1309,FIND("01",A1309)+16)+2,2)),VALUE(MID(A1309,FIND("15",A1309,FIND("01",A1309)+16)+4,2)),VALUE(MID(A1309,FIND("15",A1309,FIND("01",A1309)+16)+6,2))),"")</f>
        <v/>
      </c>
      <c r="F1309" s="5">
        <f>IFERROR(MID(A1309,FIND("10",A1309,FIND("15",A1309,FIND("01",A1309)+16)+8)+2,50),"")</f>
        <v/>
      </c>
      <c r="G1309" s="5" t="n"/>
    </row>
    <row r="1310">
      <c r="A1310" s="7" t="n"/>
      <c r="B1310" s="8">
        <f>IFERROR(MID(A1310,FIND("01",A1310)+2,14),"")</f>
        <v/>
      </c>
      <c r="C1310" s="7">
        <f>IF(A1310="","",IFERROR(VLOOKUP(B1310,TblArticles,2,FALSE),"GTIN inconnu"))</f>
        <v/>
      </c>
      <c r="D1310" s="8">
        <f>IF(A1310="","",IFERROR(VLOOKUP(B1310,TblArticles,3,FALSE),""))</f>
        <v/>
      </c>
      <c r="E1310" s="9">
        <f>IFERROR(DATE(2000+VALUE(MID(A1310,FIND("15",A1310,FIND("01",A1310)+16)+2,2)),VALUE(MID(A1310,FIND("15",A1310,FIND("01",A1310)+16)+4,2)),VALUE(MID(A1310,FIND("15",A1310,FIND("01",A1310)+16)+6,2))),"")</f>
        <v/>
      </c>
      <c r="F1310" s="8">
        <f>IFERROR(MID(A1310,FIND("10",A1310,FIND("15",A1310,FIND("01",A1310)+16)+8)+2,50),"")</f>
        <v/>
      </c>
      <c r="G1310" s="8" t="n"/>
    </row>
    <row r="1311">
      <c r="A1311" s="4" t="n"/>
      <c r="B1311" s="5">
        <f>IFERROR(MID(A1311,FIND("01",A1311)+2,14),"")</f>
        <v/>
      </c>
      <c r="C1311" s="4">
        <f>IF(A1311="","",IFERROR(VLOOKUP(B1311,TblArticles,2,FALSE),"GTIN inconnu"))</f>
        <v/>
      </c>
      <c r="D1311" s="5">
        <f>IF(A1311="","",IFERROR(VLOOKUP(B1311,TblArticles,3,FALSE),""))</f>
        <v/>
      </c>
      <c r="E1311" s="6">
        <f>IFERROR(DATE(2000+VALUE(MID(A1311,FIND("15",A1311,FIND("01",A1311)+16)+2,2)),VALUE(MID(A1311,FIND("15",A1311,FIND("01",A1311)+16)+4,2)),VALUE(MID(A1311,FIND("15",A1311,FIND("01",A1311)+16)+6,2))),"")</f>
        <v/>
      </c>
      <c r="F1311" s="5">
        <f>IFERROR(MID(A1311,FIND("10",A1311,FIND("15",A1311,FIND("01",A1311)+16)+8)+2,50),"")</f>
        <v/>
      </c>
      <c r="G1311" s="5" t="n"/>
    </row>
    <row r="1312">
      <c r="A1312" s="7" t="n"/>
      <c r="B1312" s="8">
        <f>IFERROR(MID(A1312,FIND("01",A1312)+2,14),"")</f>
        <v/>
      </c>
      <c r="C1312" s="7">
        <f>IF(A1312="","",IFERROR(VLOOKUP(B1312,TblArticles,2,FALSE),"GTIN inconnu"))</f>
        <v/>
      </c>
      <c r="D1312" s="8">
        <f>IF(A1312="","",IFERROR(VLOOKUP(B1312,TblArticles,3,FALSE),""))</f>
        <v/>
      </c>
      <c r="E1312" s="9">
        <f>IFERROR(DATE(2000+VALUE(MID(A1312,FIND("15",A1312,FIND("01",A1312)+16)+2,2)),VALUE(MID(A1312,FIND("15",A1312,FIND("01",A1312)+16)+4,2)),VALUE(MID(A1312,FIND("15",A1312,FIND("01",A1312)+16)+6,2))),"")</f>
        <v/>
      </c>
      <c r="F1312" s="8">
        <f>IFERROR(MID(A1312,FIND("10",A1312,FIND("15",A1312,FIND("01",A1312)+16)+8)+2,50),"")</f>
        <v/>
      </c>
      <c r="G1312" s="8" t="n"/>
    </row>
    <row r="1313">
      <c r="A1313" s="4" t="n"/>
      <c r="B1313" s="5">
        <f>IFERROR(MID(A1313,FIND("01",A1313)+2,14),"")</f>
        <v/>
      </c>
      <c r="C1313" s="4">
        <f>IF(A1313="","",IFERROR(VLOOKUP(B1313,TblArticles,2,FALSE),"GTIN inconnu"))</f>
        <v/>
      </c>
      <c r="D1313" s="5">
        <f>IF(A1313="","",IFERROR(VLOOKUP(B1313,TblArticles,3,FALSE),""))</f>
        <v/>
      </c>
      <c r="E1313" s="6">
        <f>IFERROR(DATE(2000+VALUE(MID(A1313,FIND("15",A1313,FIND("01",A1313)+16)+2,2)),VALUE(MID(A1313,FIND("15",A1313,FIND("01",A1313)+16)+4,2)),VALUE(MID(A1313,FIND("15",A1313,FIND("01",A1313)+16)+6,2))),"")</f>
        <v/>
      </c>
      <c r="F1313" s="5">
        <f>IFERROR(MID(A1313,FIND("10",A1313,FIND("15",A1313,FIND("01",A1313)+16)+8)+2,50),"")</f>
        <v/>
      </c>
      <c r="G1313" s="5" t="n"/>
    </row>
    <row r="1314">
      <c r="A1314" s="7" t="n"/>
      <c r="B1314" s="8">
        <f>IFERROR(MID(A1314,FIND("01",A1314)+2,14),"")</f>
        <v/>
      </c>
      <c r="C1314" s="7">
        <f>IF(A1314="","",IFERROR(VLOOKUP(B1314,TblArticles,2,FALSE),"GTIN inconnu"))</f>
        <v/>
      </c>
      <c r="D1314" s="8">
        <f>IF(A1314="","",IFERROR(VLOOKUP(B1314,TblArticles,3,FALSE),""))</f>
        <v/>
      </c>
      <c r="E1314" s="9">
        <f>IFERROR(DATE(2000+VALUE(MID(A1314,FIND("15",A1314,FIND("01",A1314)+16)+2,2)),VALUE(MID(A1314,FIND("15",A1314,FIND("01",A1314)+16)+4,2)),VALUE(MID(A1314,FIND("15",A1314,FIND("01",A1314)+16)+6,2))),"")</f>
        <v/>
      </c>
      <c r="F1314" s="8">
        <f>IFERROR(MID(A1314,FIND("10",A1314,FIND("15",A1314,FIND("01",A1314)+16)+8)+2,50),"")</f>
        <v/>
      </c>
      <c r="G1314" s="8" t="n"/>
    </row>
    <row r="1315">
      <c r="A1315" s="4" t="n"/>
      <c r="B1315" s="5">
        <f>IFERROR(MID(A1315,FIND("01",A1315)+2,14),"")</f>
        <v/>
      </c>
      <c r="C1315" s="4">
        <f>IF(A1315="","",IFERROR(VLOOKUP(B1315,TblArticles,2,FALSE),"GTIN inconnu"))</f>
        <v/>
      </c>
      <c r="D1315" s="5">
        <f>IF(A1315="","",IFERROR(VLOOKUP(B1315,TblArticles,3,FALSE),""))</f>
        <v/>
      </c>
      <c r="E1315" s="6">
        <f>IFERROR(DATE(2000+VALUE(MID(A1315,FIND("15",A1315,FIND("01",A1315)+16)+2,2)),VALUE(MID(A1315,FIND("15",A1315,FIND("01",A1315)+16)+4,2)),VALUE(MID(A1315,FIND("15",A1315,FIND("01",A1315)+16)+6,2))),"")</f>
        <v/>
      </c>
      <c r="F1315" s="5">
        <f>IFERROR(MID(A1315,FIND("10",A1315,FIND("15",A1315,FIND("01",A1315)+16)+8)+2,50),"")</f>
        <v/>
      </c>
      <c r="G1315" s="5" t="n"/>
    </row>
    <row r="1316">
      <c r="A1316" s="7" t="n"/>
      <c r="B1316" s="8">
        <f>IFERROR(MID(A1316,FIND("01",A1316)+2,14),"")</f>
        <v/>
      </c>
      <c r="C1316" s="7">
        <f>IF(A1316="","",IFERROR(VLOOKUP(B1316,TblArticles,2,FALSE),"GTIN inconnu"))</f>
        <v/>
      </c>
      <c r="D1316" s="8">
        <f>IF(A1316="","",IFERROR(VLOOKUP(B1316,TblArticles,3,FALSE),""))</f>
        <v/>
      </c>
      <c r="E1316" s="9">
        <f>IFERROR(DATE(2000+VALUE(MID(A1316,FIND("15",A1316,FIND("01",A1316)+16)+2,2)),VALUE(MID(A1316,FIND("15",A1316,FIND("01",A1316)+16)+4,2)),VALUE(MID(A1316,FIND("15",A1316,FIND("01",A1316)+16)+6,2))),"")</f>
        <v/>
      </c>
      <c r="F1316" s="8">
        <f>IFERROR(MID(A1316,FIND("10",A1316,FIND("15",A1316,FIND("01",A1316)+16)+8)+2,50),"")</f>
        <v/>
      </c>
      <c r="G1316" s="8" t="n"/>
    </row>
    <row r="1317">
      <c r="A1317" s="4" t="n"/>
      <c r="B1317" s="5">
        <f>IFERROR(MID(A1317,FIND("01",A1317)+2,14),"")</f>
        <v/>
      </c>
      <c r="C1317" s="4">
        <f>IF(A1317="","",IFERROR(VLOOKUP(B1317,TblArticles,2,FALSE),"GTIN inconnu"))</f>
        <v/>
      </c>
      <c r="D1317" s="5">
        <f>IF(A1317="","",IFERROR(VLOOKUP(B1317,TblArticles,3,FALSE),""))</f>
        <v/>
      </c>
      <c r="E1317" s="6">
        <f>IFERROR(DATE(2000+VALUE(MID(A1317,FIND("15",A1317,FIND("01",A1317)+16)+2,2)),VALUE(MID(A1317,FIND("15",A1317,FIND("01",A1317)+16)+4,2)),VALUE(MID(A1317,FIND("15",A1317,FIND("01",A1317)+16)+6,2))),"")</f>
        <v/>
      </c>
      <c r="F1317" s="5">
        <f>IFERROR(MID(A1317,FIND("10",A1317,FIND("15",A1317,FIND("01",A1317)+16)+8)+2,50),"")</f>
        <v/>
      </c>
      <c r="G1317" s="5" t="n"/>
    </row>
    <row r="1318">
      <c r="A1318" s="7" t="n"/>
      <c r="B1318" s="8">
        <f>IFERROR(MID(A1318,FIND("01",A1318)+2,14),"")</f>
        <v/>
      </c>
      <c r="C1318" s="7">
        <f>IF(A1318="","",IFERROR(VLOOKUP(B1318,TblArticles,2,FALSE),"GTIN inconnu"))</f>
        <v/>
      </c>
      <c r="D1318" s="8">
        <f>IF(A1318="","",IFERROR(VLOOKUP(B1318,TblArticles,3,FALSE),""))</f>
        <v/>
      </c>
      <c r="E1318" s="9">
        <f>IFERROR(DATE(2000+VALUE(MID(A1318,FIND("15",A1318,FIND("01",A1318)+16)+2,2)),VALUE(MID(A1318,FIND("15",A1318,FIND("01",A1318)+16)+4,2)),VALUE(MID(A1318,FIND("15",A1318,FIND("01",A1318)+16)+6,2))),"")</f>
        <v/>
      </c>
      <c r="F1318" s="8">
        <f>IFERROR(MID(A1318,FIND("10",A1318,FIND("15",A1318,FIND("01",A1318)+16)+8)+2,50),"")</f>
        <v/>
      </c>
      <c r="G1318" s="8" t="n"/>
    </row>
    <row r="1319">
      <c r="A1319" s="4" t="n"/>
      <c r="B1319" s="5">
        <f>IFERROR(MID(A1319,FIND("01",A1319)+2,14),"")</f>
        <v/>
      </c>
      <c r="C1319" s="4">
        <f>IF(A1319="","",IFERROR(VLOOKUP(B1319,TblArticles,2,FALSE),"GTIN inconnu"))</f>
        <v/>
      </c>
      <c r="D1319" s="5">
        <f>IF(A1319="","",IFERROR(VLOOKUP(B1319,TblArticles,3,FALSE),""))</f>
        <v/>
      </c>
      <c r="E1319" s="6">
        <f>IFERROR(DATE(2000+VALUE(MID(A1319,FIND("15",A1319,FIND("01",A1319)+16)+2,2)),VALUE(MID(A1319,FIND("15",A1319,FIND("01",A1319)+16)+4,2)),VALUE(MID(A1319,FIND("15",A1319,FIND("01",A1319)+16)+6,2))),"")</f>
        <v/>
      </c>
      <c r="F1319" s="5">
        <f>IFERROR(MID(A1319,FIND("10",A1319,FIND("15",A1319,FIND("01",A1319)+16)+8)+2,50),"")</f>
        <v/>
      </c>
      <c r="G1319" s="5" t="n"/>
    </row>
    <row r="1320">
      <c r="A1320" s="7" t="n"/>
      <c r="B1320" s="8">
        <f>IFERROR(MID(A1320,FIND("01",A1320)+2,14),"")</f>
        <v/>
      </c>
      <c r="C1320" s="7">
        <f>IF(A1320="","",IFERROR(VLOOKUP(B1320,TblArticles,2,FALSE),"GTIN inconnu"))</f>
        <v/>
      </c>
      <c r="D1320" s="8">
        <f>IF(A1320="","",IFERROR(VLOOKUP(B1320,TblArticles,3,FALSE),""))</f>
        <v/>
      </c>
      <c r="E1320" s="9">
        <f>IFERROR(DATE(2000+VALUE(MID(A1320,FIND("15",A1320,FIND("01",A1320)+16)+2,2)),VALUE(MID(A1320,FIND("15",A1320,FIND("01",A1320)+16)+4,2)),VALUE(MID(A1320,FIND("15",A1320,FIND("01",A1320)+16)+6,2))),"")</f>
        <v/>
      </c>
      <c r="F1320" s="8">
        <f>IFERROR(MID(A1320,FIND("10",A1320,FIND("15",A1320,FIND("01",A1320)+16)+8)+2,50),"")</f>
        <v/>
      </c>
      <c r="G1320" s="8" t="n"/>
    </row>
    <row r="1321">
      <c r="A1321" s="4" t="n"/>
      <c r="B1321" s="5">
        <f>IFERROR(MID(A1321,FIND("01",A1321)+2,14),"")</f>
        <v/>
      </c>
      <c r="C1321" s="4">
        <f>IF(A1321="","",IFERROR(VLOOKUP(B1321,TblArticles,2,FALSE),"GTIN inconnu"))</f>
        <v/>
      </c>
      <c r="D1321" s="5">
        <f>IF(A1321="","",IFERROR(VLOOKUP(B1321,TblArticles,3,FALSE),""))</f>
        <v/>
      </c>
      <c r="E1321" s="6">
        <f>IFERROR(DATE(2000+VALUE(MID(A1321,FIND("15",A1321,FIND("01",A1321)+16)+2,2)),VALUE(MID(A1321,FIND("15",A1321,FIND("01",A1321)+16)+4,2)),VALUE(MID(A1321,FIND("15",A1321,FIND("01",A1321)+16)+6,2))),"")</f>
        <v/>
      </c>
      <c r="F1321" s="5">
        <f>IFERROR(MID(A1321,FIND("10",A1321,FIND("15",A1321,FIND("01",A1321)+16)+8)+2,50),"")</f>
        <v/>
      </c>
      <c r="G1321" s="5" t="n"/>
    </row>
    <row r="1322">
      <c r="A1322" s="7" t="n"/>
      <c r="B1322" s="8">
        <f>IFERROR(MID(A1322,FIND("01",A1322)+2,14),"")</f>
        <v/>
      </c>
      <c r="C1322" s="7">
        <f>IF(A1322="","",IFERROR(VLOOKUP(B1322,TblArticles,2,FALSE),"GTIN inconnu"))</f>
        <v/>
      </c>
      <c r="D1322" s="8">
        <f>IF(A1322="","",IFERROR(VLOOKUP(B1322,TblArticles,3,FALSE),""))</f>
        <v/>
      </c>
      <c r="E1322" s="9">
        <f>IFERROR(DATE(2000+VALUE(MID(A1322,FIND("15",A1322,FIND("01",A1322)+16)+2,2)),VALUE(MID(A1322,FIND("15",A1322,FIND("01",A1322)+16)+4,2)),VALUE(MID(A1322,FIND("15",A1322,FIND("01",A1322)+16)+6,2))),"")</f>
        <v/>
      </c>
      <c r="F1322" s="8">
        <f>IFERROR(MID(A1322,FIND("10",A1322,FIND("15",A1322,FIND("01",A1322)+16)+8)+2,50),"")</f>
        <v/>
      </c>
      <c r="G1322" s="8" t="n"/>
    </row>
    <row r="1323">
      <c r="A1323" s="4" t="n"/>
      <c r="B1323" s="5">
        <f>IFERROR(MID(A1323,FIND("01",A1323)+2,14),"")</f>
        <v/>
      </c>
      <c r="C1323" s="4">
        <f>IF(A1323="","",IFERROR(VLOOKUP(B1323,TblArticles,2,FALSE),"GTIN inconnu"))</f>
        <v/>
      </c>
      <c r="D1323" s="5">
        <f>IF(A1323="","",IFERROR(VLOOKUP(B1323,TblArticles,3,FALSE),""))</f>
        <v/>
      </c>
      <c r="E1323" s="6">
        <f>IFERROR(DATE(2000+VALUE(MID(A1323,FIND("15",A1323,FIND("01",A1323)+16)+2,2)),VALUE(MID(A1323,FIND("15",A1323,FIND("01",A1323)+16)+4,2)),VALUE(MID(A1323,FIND("15",A1323,FIND("01",A1323)+16)+6,2))),"")</f>
        <v/>
      </c>
      <c r="F1323" s="5">
        <f>IFERROR(MID(A1323,FIND("10",A1323,FIND("15",A1323,FIND("01",A1323)+16)+8)+2,50),"")</f>
        <v/>
      </c>
      <c r="G1323" s="5" t="n"/>
    </row>
    <row r="1324">
      <c r="A1324" s="7" t="n"/>
      <c r="B1324" s="8">
        <f>IFERROR(MID(A1324,FIND("01",A1324)+2,14),"")</f>
        <v/>
      </c>
      <c r="C1324" s="7">
        <f>IF(A1324="","",IFERROR(VLOOKUP(B1324,TblArticles,2,FALSE),"GTIN inconnu"))</f>
        <v/>
      </c>
      <c r="D1324" s="8">
        <f>IF(A1324="","",IFERROR(VLOOKUP(B1324,TblArticles,3,FALSE),""))</f>
        <v/>
      </c>
      <c r="E1324" s="9">
        <f>IFERROR(DATE(2000+VALUE(MID(A1324,FIND("15",A1324,FIND("01",A1324)+16)+2,2)),VALUE(MID(A1324,FIND("15",A1324,FIND("01",A1324)+16)+4,2)),VALUE(MID(A1324,FIND("15",A1324,FIND("01",A1324)+16)+6,2))),"")</f>
        <v/>
      </c>
      <c r="F1324" s="8">
        <f>IFERROR(MID(A1324,FIND("10",A1324,FIND("15",A1324,FIND("01",A1324)+16)+8)+2,50),"")</f>
        <v/>
      </c>
      <c r="G1324" s="8" t="n"/>
    </row>
    <row r="1325">
      <c r="A1325" s="4" t="n"/>
      <c r="B1325" s="5">
        <f>IFERROR(MID(A1325,FIND("01",A1325)+2,14),"")</f>
        <v/>
      </c>
      <c r="C1325" s="4">
        <f>IF(A1325="","",IFERROR(VLOOKUP(B1325,TblArticles,2,FALSE),"GTIN inconnu"))</f>
        <v/>
      </c>
      <c r="D1325" s="5">
        <f>IF(A1325="","",IFERROR(VLOOKUP(B1325,TblArticles,3,FALSE),""))</f>
        <v/>
      </c>
      <c r="E1325" s="6">
        <f>IFERROR(DATE(2000+VALUE(MID(A1325,FIND("15",A1325,FIND("01",A1325)+16)+2,2)),VALUE(MID(A1325,FIND("15",A1325,FIND("01",A1325)+16)+4,2)),VALUE(MID(A1325,FIND("15",A1325,FIND("01",A1325)+16)+6,2))),"")</f>
        <v/>
      </c>
      <c r="F1325" s="5">
        <f>IFERROR(MID(A1325,FIND("10",A1325,FIND("15",A1325,FIND("01",A1325)+16)+8)+2,50),"")</f>
        <v/>
      </c>
      <c r="G1325" s="5" t="n"/>
    </row>
    <row r="1326">
      <c r="A1326" s="7" t="n"/>
      <c r="B1326" s="8">
        <f>IFERROR(MID(A1326,FIND("01",A1326)+2,14),"")</f>
        <v/>
      </c>
      <c r="C1326" s="7">
        <f>IF(A1326="","",IFERROR(VLOOKUP(B1326,TblArticles,2,FALSE),"GTIN inconnu"))</f>
        <v/>
      </c>
      <c r="D1326" s="8">
        <f>IF(A1326="","",IFERROR(VLOOKUP(B1326,TblArticles,3,FALSE),""))</f>
        <v/>
      </c>
      <c r="E1326" s="9">
        <f>IFERROR(DATE(2000+VALUE(MID(A1326,FIND("15",A1326,FIND("01",A1326)+16)+2,2)),VALUE(MID(A1326,FIND("15",A1326,FIND("01",A1326)+16)+4,2)),VALUE(MID(A1326,FIND("15",A1326,FIND("01",A1326)+16)+6,2))),"")</f>
        <v/>
      </c>
      <c r="F1326" s="8">
        <f>IFERROR(MID(A1326,FIND("10",A1326,FIND("15",A1326,FIND("01",A1326)+16)+8)+2,50),"")</f>
        <v/>
      </c>
      <c r="G1326" s="8" t="n"/>
    </row>
    <row r="1327">
      <c r="A1327" s="4" t="n"/>
      <c r="B1327" s="5">
        <f>IFERROR(MID(A1327,FIND("01",A1327)+2,14),"")</f>
        <v/>
      </c>
      <c r="C1327" s="4">
        <f>IF(A1327="","",IFERROR(VLOOKUP(B1327,TblArticles,2,FALSE),"GTIN inconnu"))</f>
        <v/>
      </c>
      <c r="D1327" s="5">
        <f>IF(A1327="","",IFERROR(VLOOKUP(B1327,TblArticles,3,FALSE),""))</f>
        <v/>
      </c>
      <c r="E1327" s="6">
        <f>IFERROR(DATE(2000+VALUE(MID(A1327,FIND("15",A1327,FIND("01",A1327)+16)+2,2)),VALUE(MID(A1327,FIND("15",A1327,FIND("01",A1327)+16)+4,2)),VALUE(MID(A1327,FIND("15",A1327,FIND("01",A1327)+16)+6,2))),"")</f>
        <v/>
      </c>
      <c r="F1327" s="5">
        <f>IFERROR(MID(A1327,FIND("10",A1327,FIND("15",A1327,FIND("01",A1327)+16)+8)+2,50),"")</f>
        <v/>
      </c>
      <c r="G1327" s="5" t="n"/>
    </row>
    <row r="1328">
      <c r="A1328" s="7" t="n"/>
      <c r="B1328" s="8">
        <f>IFERROR(MID(A1328,FIND("01",A1328)+2,14),"")</f>
        <v/>
      </c>
      <c r="C1328" s="7">
        <f>IF(A1328="","",IFERROR(VLOOKUP(B1328,TblArticles,2,FALSE),"GTIN inconnu"))</f>
        <v/>
      </c>
      <c r="D1328" s="8">
        <f>IF(A1328="","",IFERROR(VLOOKUP(B1328,TblArticles,3,FALSE),""))</f>
        <v/>
      </c>
      <c r="E1328" s="9">
        <f>IFERROR(DATE(2000+VALUE(MID(A1328,FIND("15",A1328,FIND("01",A1328)+16)+2,2)),VALUE(MID(A1328,FIND("15",A1328,FIND("01",A1328)+16)+4,2)),VALUE(MID(A1328,FIND("15",A1328,FIND("01",A1328)+16)+6,2))),"")</f>
        <v/>
      </c>
      <c r="F1328" s="8">
        <f>IFERROR(MID(A1328,FIND("10",A1328,FIND("15",A1328,FIND("01",A1328)+16)+8)+2,50),"")</f>
        <v/>
      </c>
      <c r="G1328" s="8" t="n"/>
    </row>
    <row r="1329">
      <c r="A1329" s="4" t="n"/>
      <c r="B1329" s="5">
        <f>IFERROR(MID(A1329,FIND("01",A1329)+2,14),"")</f>
        <v/>
      </c>
      <c r="C1329" s="4">
        <f>IF(A1329="","",IFERROR(VLOOKUP(B1329,TblArticles,2,FALSE),"GTIN inconnu"))</f>
        <v/>
      </c>
      <c r="D1329" s="5">
        <f>IF(A1329="","",IFERROR(VLOOKUP(B1329,TblArticles,3,FALSE),""))</f>
        <v/>
      </c>
      <c r="E1329" s="6">
        <f>IFERROR(DATE(2000+VALUE(MID(A1329,FIND("15",A1329,FIND("01",A1329)+16)+2,2)),VALUE(MID(A1329,FIND("15",A1329,FIND("01",A1329)+16)+4,2)),VALUE(MID(A1329,FIND("15",A1329,FIND("01",A1329)+16)+6,2))),"")</f>
        <v/>
      </c>
      <c r="F1329" s="5">
        <f>IFERROR(MID(A1329,FIND("10",A1329,FIND("15",A1329,FIND("01",A1329)+16)+8)+2,50),"")</f>
        <v/>
      </c>
      <c r="G1329" s="5" t="n"/>
    </row>
    <row r="1330">
      <c r="A1330" s="7" t="n"/>
      <c r="B1330" s="8">
        <f>IFERROR(MID(A1330,FIND("01",A1330)+2,14),"")</f>
        <v/>
      </c>
      <c r="C1330" s="7">
        <f>IF(A1330="","",IFERROR(VLOOKUP(B1330,TblArticles,2,FALSE),"GTIN inconnu"))</f>
        <v/>
      </c>
      <c r="D1330" s="8">
        <f>IF(A1330="","",IFERROR(VLOOKUP(B1330,TblArticles,3,FALSE),""))</f>
        <v/>
      </c>
      <c r="E1330" s="9">
        <f>IFERROR(DATE(2000+VALUE(MID(A1330,FIND("15",A1330,FIND("01",A1330)+16)+2,2)),VALUE(MID(A1330,FIND("15",A1330,FIND("01",A1330)+16)+4,2)),VALUE(MID(A1330,FIND("15",A1330,FIND("01",A1330)+16)+6,2))),"")</f>
        <v/>
      </c>
      <c r="F1330" s="8">
        <f>IFERROR(MID(A1330,FIND("10",A1330,FIND("15",A1330,FIND("01",A1330)+16)+8)+2,50),"")</f>
        <v/>
      </c>
      <c r="G1330" s="8" t="n"/>
    </row>
    <row r="1331">
      <c r="A1331" s="4" t="n"/>
      <c r="B1331" s="5">
        <f>IFERROR(MID(A1331,FIND("01",A1331)+2,14),"")</f>
        <v/>
      </c>
      <c r="C1331" s="4">
        <f>IF(A1331="","",IFERROR(VLOOKUP(B1331,TblArticles,2,FALSE),"GTIN inconnu"))</f>
        <v/>
      </c>
      <c r="D1331" s="5">
        <f>IF(A1331="","",IFERROR(VLOOKUP(B1331,TblArticles,3,FALSE),""))</f>
        <v/>
      </c>
      <c r="E1331" s="6">
        <f>IFERROR(DATE(2000+VALUE(MID(A1331,FIND("15",A1331,FIND("01",A1331)+16)+2,2)),VALUE(MID(A1331,FIND("15",A1331,FIND("01",A1331)+16)+4,2)),VALUE(MID(A1331,FIND("15",A1331,FIND("01",A1331)+16)+6,2))),"")</f>
        <v/>
      </c>
      <c r="F1331" s="5">
        <f>IFERROR(MID(A1331,FIND("10",A1331,FIND("15",A1331,FIND("01",A1331)+16)+8)+2,50),"")</f>
        <v/>
      </c>
      <c r="G1331" s="5" t="n"/>
    </row>
    <row r="1332">
      <c r="A1332" s="7" t="n"/>
      <c r="B1332" s="8">
        <f>IFERROR(MID(A1332,FIND("01",A1332)+2,14),"")</f>
        <v/>
      </c>
      <c r="C1332" s="7">
        <f>IF(A1332="","",IFERROR(VLOOKUP(B1332,TblArticles,2,FALSE),"GTIN inconnu"))</f>
        <v/>
      </c>
      <c r="D1332" s="8">
        <f>IF(A1332="","",IFERROR(VLOOKUP(B1332,TblArticles,3,FALSE),""))</f>
        <v/>
      </c>
      <c r="E1332" s="9">
        <f>IFERROR(DATE(2000+VALUE(MID(A1332,FIND("15",A1332,FIND("01",A1332)+16)+2,2)),VALUE(MID(A1332,FIND("15",A1332,FIND("01",A1332)+16)+4,2)),VALUE(MID(A1332,FIND("15",A1332,FIND("01",A1332)+16)+6,2))),"")</f>
        <v/>
      </c>
      <c r="F1332" s="8">
        <f>IFERROR(MID(A1332,FIND("10",A1332,FIND("15",A1332,FIND("01",A1332)+16)+8)+2,50),"")</f>
        <v/>
      </c>
      <c r="G1332" s="8" t="n"/>
    </row>
    <row r="1333">
      <c r="A1333" s="4" t="n"/>
      <c r="B1333" s="5">
        <f>IFERROR(MID(A1333,FIND("01",A1333)+2,14),"")</f>
        <v/>
      </c>
      <c r="C1333" s="4">
        <f>IF(A1333="","",IFERROR(VLOOKUP(B1333,TblArticles,2,FALSE),"GTIN inconnu"))</f>
        <v/>
      </c>
      <c r="D1333" s="5">
        <f>IF(A1333="","",IFERROR(VLOOKUP(B1333,TblArticles,3,FALSE),""))</f>
        <v/>
      </c>
      <c r="E1333" s="6">
        <f>IFERROR(DATE(2000+VALUE(MID(A1333,FIND("15",A1333,FIND("01",A1333)+16)+2,2)),VALUE(MID(A1333,FIND("15",A1333,FIND("01",A1333)+16)+4,2)),VALUE(MID(A1333,FIND("15",A1333,FIND("01",A1333)+16)+6,2))),"")</f>
        <v/>
      </c>
      <c r="F1333" s="5">
        <f>IFERROR(MID(A1333,FIND("10",A1333,FIND("15",A1333,FIND("01",A1333)+16)+8)+2,50),"")</f>
        <v/>
      </c>
      <c r="G1333" s="5" t="n"/>
    </row>
    <row r="1334">
      <c r="A1334" s="7" t="n"/>
      <c r="B1334" s="8">
        <f>IFERROR(MID(A1334,FIND("01",A1334)+2,14),"")</f>
        <v/>
      </c>
      <c r="C1334" s="7">
        <f>IF(A1334="","",IFERROR(VLOOKUP(B1334,TblArticles,2,FALSE),"GTIN inconnu"))</f>
        <v/>
      </c>
      <c r="D1334" s="8">
        <f>IF(A1334="","",IFERROR(VLOOKUP(B1334,TblArticles,3,FALSE),""))</f>
        <v/>
      </c>
      <c r="E1334" s="9">
        <f>IFERROR(DATE(2000+VALUE(MID(A1334,FIND("15",A1334,FIND("01",A1334)+16)+2,2)),VALUE(MID(A1334,FIND("15",A1334,FIND("01",A1334)+16)+4,2)),VALUE(MID(A1334,FIND("15",A1334,FIND("01",A1334)+16)+6,2))),"")</f>
        <v/>
      </c>
      <c r="F1334" s="8">
        <f>IFERROR(MID(A1334,FIND("10",A1334,FIND("15",A1334,FIND("01",A1334)+16)+8)+2,50),"")</f>
        <v/>
      </c>
      <c r="G1334" s="8" t="n"/>
    </row>
    <row r="1335">
      <c r="A1335" s="4" t="n"/>
      <c r="B1335" s="5">
        <f>IFERROR(MID(A1335,FIND("01",A1335)+2,14),"")</f>
        <v/>
      </c>
      <c r="C1335" s="4">
        <f>IF(A1335="","",IFERROR(VLOOKUP(B1335,TblArticles,2,FALSE),"GTIN inconnu"))</f>
        <v/>
      </c>
      <c r="D1335" s="5">
        <f>IF(A1335="","",IFERROR(VLOOKUP(B1335,TblArticles,3,FALSE),""))</f>
        <v/>
      </c>
      <c r="E1335" s="6">
        <f>IFERROR(DATE(2000+VALUE(MID(A1335,FIND("15",A1335,FIND("01",A1335)+16)+2,2)),VALUE(MID(A1335,FIND("15",A1335,FIND("01",A1335)+16)+4,2)),VALUE(MID(A1335,FIND("15",A1335,FIND("01",A1335)+16)+6,2))),"")</f>
        <v/>
      </c>
      <c r="F1335" s="5">
        <f>IFERROR(MID(A1335,FIND("10",A1335,FIND("15",A1335,FIND("01",A1335)+16)+8)+2,50),"")</f>
        <v/>
      </c>
      <c r="G1335" s="5" t="n"/>
    </row>
    <row r="1336">
      <c r="A1336" s="7" t="n"/>
      <c r="B1336" s="8">
        <f>IFERROR(MID(A1336,FIND("01",A1336)+2,14),"")</f>
        <v/>
      </c>
      <c r="C1336" s="7">
        <f>IF(A1336="","",IFERROR(VLOOKUP(B1336,TblArticles,2,FALSE),"GTIN inconnu"))</f>
        <v/>
      </c>
      <c r="D1336" s="8">
        <f>IF(A1336="","",IFERROR(VLOOKUP(B1336,TblArticles,3,FALSE),""))</f>
        <v/>
      </c>
      <c r="E1336" s="9">
        <f>IFERROR(DATE(2000+VALUE(MID(A1336,FIND("15",A1336,FIND("01",A1336)+16)+2,2)),VALUE(MID(A1336,FIND("15",A1336,FIND("01",A1336)+16)+4,2)),VALUE(MID(A1336,FIND("15",A1336,FIND("01",A1336)+16)+6,2))),"")</f>
        <v/>
      </c>
      <c r="F1336" s="8">
        <f>IFERROR(MID(A1336,FIND("10",A1336,FIND("15",A1336,FIND("01",A1336)+16)+8)+2,50),"")</f>
        <v/>
      </c>
      <c r="G1336" s="8" t="n"/>
    </row>
    <row r="1337">
      <c r="A1337" s="4" t="n"/>
      <c r="B1337" s="5">
        <f>IFERROR(MID(A1337,FIND("01",A1337)+2,14),"")</f>
        <v/>
      </c>
      <c r="C1337" s="4">
        <f>IF(A1337="","",IFERROR(VLOOKUP(B1337,TblArticles,2,FALSE),"GTIN inconnu"))</f>
        <v/>
      </c>
      <c r="D1337" s="5">
        <f>IF(A1337="","",IFERROR(VLOOKUP(B1337,TblArticles,3,FALSE),""))</f>
        <v/>
      </c>
      <c r="E1337" s="6">
        <f>IFERROR(DATE(2000+VALUE(MID(A1337,FIND("15",A1337,FIND("01",A1337)+16)+2,2)),VALUE(MID(A1337,FIND("15",A1337,FIND("01",A1337)+16)+4,2)),VALUE(MID(A1337,FIND("15",A1337,FIND("01",A1337)+16)+6,2))),"")</f>
        <v/>
      </c>
      <c r="F1337" s="5">
        <f>IFERROR(MID(A1337,FIND("10",A1337,FIND("15",A1337,FIND("01",A1337)+16)+8)+2,50),"")</f>
        <v/>
      </c>
      <c r="G1337" s="5" t="n"/>
    </row>
    <row r="1338">
      <c r="A1338" s="7" t="n"/>
      <c r="B1338" s="8">
        <f>IFERROR(MID(A1338,FIND("01",A1338)+2,14),"")</f>
        <v/>
      </c>
      <c r="C1338" s="7">
        <f>IF(A1338="","",IFERROR(VLOOKUP(B1338,TblArticles,2,FALSE),"GTIN inconnu"))</f>
        <v/>
      </c>
      <c r="D1338" s="8">
        <f>IF(A1338="","",IFERROR(VLOOKUP(B1338,TblArticles,3,FALSE),""))</f>
        <v/>
      </c>
      <c r="E1338" s="9">
        <f>IFERROR(DATE(2000+VALUE(MID(A1338,FIND("15",A1338,FIND("01",A1338)+16)+2,2)),VALUE(MID(A1338,FIND("15",A1338,FIND("01",A1338)+16)+4,2)),VALUE(MID(A1338,FIND("15",A1338,FIND("01",A1338)+16)+6,2))),"")</f>
        <v/>
      </c>
      <c r="F1338" s="8">
        <f>IFERROR(MID(A1338,FIND("10",A1338,FIND("15",A1338,FIND("01",A1338)+16)+8)+2,50),"")</f>
        <v/>
      </c>
      <c r="G1338" s="8" t="n"/>
    </row>
    <row r="1339">
      <c r="A1339" s="4" t="n"/>
      <c r="B1339" s="5">
        <f>IFERROR(MID(A1339,FIND("01",A1339)+2,14),"")</f>
        <v/>
      </c>
      <c r="C1339" s="4">
        <f>IF(A1339="","",IFERROR(VLOOKUP(B1339,TblArticles,2,FALSE),"GTIN inconnu"))</f>
        <v/>
      </c>
      <c r="D1339" s="5">
        <f>IF(A1339="","",IFERROR(VLOOKUP(B1339,TblArticles,3,FALSE),""))</f>
        <v/>
      </c>
      <c r="E1339" s="6">
        <f>IFERROR(DATE(2000+VALUE(MID(A1339,FIND("15",A1339,FIND("01",A1339)+16)+2,2)),VALUE(MID(A1339,FIND("15",A1339,FIND("01",A1339)+16)+4,2)),VALUE(MID(A1339,FIND("15",A1339,FIND("01",A1339)+16)+6,2))),"")</f>
        <v/>
      </c>
      <c r="F1339" s="5">
        <f>IFERROR(MID(A1339,FIND("10",A1339,FIND("15",A1339,FIND("01",A1339)+16)+8)+2,50),"")</f>
        <v/>
      </c>
      <c r="G1339" s="5" t="n"/>
    </row>
    <row r="1340">
      <c r="A1340" s="7" t="n"/>
      <c r="B1340" s="8">
        <f>IFERROR(MID(A1340,FIND("01",A1340)+2,14),"")</f>
        <v/>
      </c>
      <c r="C1340" s="7">
        <f>IF(A1340="","",IFERROR(VLOOKUP(B1340,TblArticles,2,FALSE),"GTIN inconnu"))</f>
        <v/>
      </c>
      <c r="D1340" s="8">
        <f>IF(A1340="","",IFERROR(VLOOKUP(B1340,TblArticles,3,FALSE),""))</f>
        <v/>
      </c>
      <c r="E1340" s="9">
        <f>IFERROR(DATE(2000+VALUE(MID(A1340,FIND("15",A1340,FIND("01",A1340)+16)+2,2)),VALUE(MID(A1340,FIND("15",A1340,FIND("01",A1340)+16)+4,2)),VALUE(MID(A1340,FIND("15",A1340,FIND("01",A1340)+16)+6,2))),"")</f>
        <v/>
      </c>
      <c r="F1340" s="8">
        <f>IFERROR(MID(A1340,FIND("10",A1340,FIND("15",A1340,FIND("01",A1340)+16)+8)+2,50),"")</f>
        <v/>
      </c>
      <c r="G1340" s="8" t="n"/>
    </row>
    <row r="1341">
      <c r="A1341" s="4" t="n"/>
      <c r="B1341" s="5">
        <f>IFERROR(MID(A1341,FIND("01",A1341)+2,14),"")</f>
        <v/>
      </c>
      <c r="C1341" s="4">
        <f>IF(A1341="","",IFERROR(VLOOKUP(B1341,TblArticles,2,FALSE),"GTIN inconnu"))</f>
        <v/>
      </c>
      <c r="D1341" s="5">
        <f>IF(A1341="","",IFERROR(VLOOKUP(B1341,TblArticles,3,FALSE),""))</f>
        <v/>
      </c>
      <c r="E1341" s="6">
        <f>IFERROR(DATE(2000+VALUE(MID(A1341,FIND("15",A1341,FIND("01",A1341)+16)+2,2)),VALUE(MID(A1341,FIND("15",A1341,FIND("01",A1341)+16)+4,2)),VALUE(MID(A1341,FIND("15",A1341,FIND("01",A1341)+16)+6,2))),"")</f>
        <v/>
      </c>
      <c r="F1341" s="5">
        <f>IFERROR(MID(A1341,FIND("10",A1341,FIND("15",A1341,FIND("01",A1341)+16)+8)+2,50),"")</f>
        <v/>
      </c>
      <c r="G1341" s="5" t="n"/>
    </row>
    <row r="1342">
      <c r="A1342" s="7" t="n"/>
      <c r="B1342" s="8">
        <f>IFERROR(MID(A1342,FIND("01",A1342)+2,14),"")</f>
        <v/>
      </c>
      <c r="C1342" s="7">
        <f>IF(A1342="","",IFERROR(VLOOKUP(B1342,TblArticles,2,FALSE),"GTIN inconnu"))</f>
        <v/>
      </c>
      <c r="D1342" s="8">
        <f>IF(A1342="","",IFERROR(VLOOKUP(B1342,TblArticles,3,FALSE),""))</f>
        <v/>
      </c>
      <c r="E1342" s="9">
        <f>IFERROR(DATE(2000+VALUE(MID(A1342,FIND("15",A1342,FIND("01",A1342)+16)+2,2)),VALUE(MID(A1342,FIND("15",A1342,FIND("01",A1342)+16)+4,2)),VALUE(MID(A1342,FIND("15",A1342,FIND("01",A1342)+16)+6,2))),"")</f>
        <v/>
      </c>
      <c r="F1342" s="8">
        <f>IFERROR(MID(A1342,FIND("10",A1342,FIND("15",A1342,FIND("01",A1342)+16)+8)+2,50),"")</f>
        <v/>
      </c>
      <c r="G1342" s="8" t="n"/>
    </row>
    <row r="1343">
      <c r="A1343" s="4" t="n"/>
      <c r="B1343" s="5">
        <f>IFERROR(MID(A1343,FIND("01",A1343)+2,14),"")</f>
        <v/>
      </c>
      <c r="C1343" s="4">
        <f>IF(A1343="","",IFERROR(VLOOKUP(B1343,TblArticles,2,FALSE),"GTIN inconnu"))</f>
        <v/>
      </c>
      <c r="D1343" s="5">
        <f>IF(A1343="","",IFERROR(VLOOKUP(B1343,TblArticles,3,FALSE),""))</f>
        <v/>
      </c>
      <c r="E1343" s="6">
        <f>IFERROR(DATE(2000+VALUE(MID(A1343,FIND("15",A1343,FIND("01",A1343)+16)+2,2)),VALUE(MID(A1343,FIND("15",A1343,FIND("01",A1343)+16)+4,2)),VALUE(MID(A1343,FIND("15",A1343,FIND("01",A1343)+16)+6,2))),"")</f>
        <v/>
      </c>
      <c r="F1343" s="5">
        <f>IFERROR(MID(A1343,FIND("10",A1343,FIND("15",A1343,FIND("01",A1343)+16)+8)+2,50),"")</f>
        <v/>
      </c>
      <c r="G1343" s="5" t="n"/>
    </row>
    <row r="1344">
      <c r="A1344" s="7" t="n"/>
      <c r="B1344" s="8">
        <f>IFERROR(MID(A1344,FIND("01",A1344)+2,14),"")</f>
        <v/>
      </c>
      <c r="C1344" s="7">
        <f>IF(A1344="","",IFERROR(VLOOKUP(B1344,TblArticles,2,FALSE),"GTIN inconnu"))</f>
        <v/>
      </c>
      <c r="D1344" s="8">
        <f>IF(A1344="","",IFERROR(VLOOKUP(B1344,TblArticles,3,FALSE),""))</f>
        <v/>
      </c>
      <c r="E1344" s="9">
        <f>IFERROR(DATE(2000+VALUE(MID(A1344,FIND("15",A1344,FIND("01",A1344)+16)+2,2)),VALUE(MID(A1344,FIND("15",A1344,FIND("01",A1344)+16)+4,2)),VALUE(MID(A1344,FIND("15",A1344,FIND("01",A1344)+16)+6,2))),"")</f>
        <v/>
      </c>
      <c r="F1344" s="8">
        <f>IFERROR(MID(A1344,FIND("10",A1344,FIND("15",A1344,FIND("01",A1344)+16)+8)+2,50),"")</f>
        <v/>
      </c>
      <c r="G1344" s="8" t="n"/>
    </row>
    <row r="1345">
      <c r="A1345" s="4" t="n"/>
      <c r="B1345" s="5">
        <f>IFERROR(MID(A1345,FIND("01",A1345)+2,14),"")</f>
        <v/>
      </c>
      <c r="C1345" s="4">
        <f>IF(A1345="","",IFERROR(VLOOKUP(B1345,TblArticles,2,FALSE),"GTIN inconnu"))</f>
        <v/>
      </c>
      <c r="D1345" s="5">
        <f>IF(A1345="","",IFERROR(VLOOKUP(B1345,TblArticles,3,FALSE),""))</f>
        <v/>
      </c>
      <c r="E1345" s="6">
        <f>IFERROR(DATE(2000+VALUE(MID(A1345,FIND("15",A1345,FIND("01",A1345)+16)+2,2)),VALUE(MID(A1345,FIND("15",A1345,FIND("01",A1345)+16)+4,2)),VALUE(MID(A1345,FIND("15",A1345,FIND("01",A1345)+16)+6,2))),"")</f>
        <v/>
      </c>
      <c r="F1345" s="5">
        <f>IFERROR(MID(A1345,FIND("10",A1345,FIND("15",A1345,FIND("01",A1345)+16)+8)+2,50),"")</f>
        <v/>
      </c>
      <c r="G1345" s="5" t="n"/>
    </row>
    <row r="1346">
      <c r="A1346" s="7" t="n"/>
      <c r="B1346" s="8">
        <f>IFERROR(MID(A1346,FIND("01",A1346)+2,14),"")</f>
        <v/>
      </c>
      <c r="C1346" s="7">
        <f>IF(A1346="","",IFERROR(VLOOKUP(B1346,TblArticles,2,FALSE),"GTIN inconnu"))</f>
        <v/>
      </c>
      <c r="D1346" s="8">
        <f>IF(A1346="","",IFERROR(VLOOKUP(B1346,TblArticles,3,FALSE),""))</f>
        <v/>
      </c>
      <c r="E1346" s="9">
        <f>IFERROR(DATE(2000+VALUE(MID(A1346,FIND("15",A1346,FIND("01",A1346)+16)+2,2)),VALUE(MID(A1346,FIND("15",A1346,FIND("01",A1346)+16)+4,2)),VALUE(MID(A1346,FIND("15",A1346,FIND("01",A1346)+16)+6,2))),"")</f>
        <v/>
      </c>
      <c r="F1346" s="8">
        <f>IFERROR(MID(A1346,FIND("10",A1346,FIND("15",A1346,FIND("01",A1346)+16)+8)+2,50),"")</f>
        <v/>
      </c>
      <c r="G1346" s="8" t="n"/>
    </row>
    <row r="1347">
      <c r="A1347" s="4" t="n"/>
      <c r="B1347" s="5">
        <f>IFERROR(MID(A1347,FIND("01",A1347)+2,14),"")</f>
        <v/>
      </c>
      <c r="C1347" s="4">
        <f>IF(A1347="","",IFERROR(VLOOKUP(B1347,TblArticles,2,FALSE),"GTIN inconnu"))</f>
        <v/>
      </c>
      <c r="D1347" s="5">
        <f>IF(A1347="","",IFERROR(VLOOKUP(B1347,TblArticles,3,FALSE),""))</f>
        <v/>
      </c>
      <c r="E1347" s="6">
        <f>IFERROR(DATE(2000+VALUE(MID(A1347,FIND("15",A1347,FIND("01",A1347)+16)+2,2)),VALUE(MID(A1347,FIND("15",A1347,FIND("01",A1347)+16)+4,2)),VALUE(MID(A1347,FIND("15",A1347,FIND("01",A1347)+16)+6,2))),"")</f>
        <v/>
      </c>
      <c r="F1347" s="5">
        <f>IFERROR(MID(A1347,FIND("10",A1347,FIND("15",A1347,FIND("01",A1347)+16)+8)+2,50),"")</f>
        <v/>
      </c>
      <c r="G1347" s="5" t="n"/>
    </row>
    <row r="1348">
      <c r="A1348" s="7" t="n"/>
      <c r="B1348" s="8">
        <f>IFERROR(MID(A1348,FIND("01",A1348)+2,14),"")</f>
        <v/>
      </c>
      <c r="C1348" s="7">
        <f>IF(A1348="","",IFERROR(VLOOKUP(B1348,TblArticles,2,FALSE),"GTIN inconnu"))</f>
        <v/>
      </c>
      <c r="D1348" s="8">
        <f>IF(A1348="","",IFERROR(VLOOKUP(B1348,TblArticles,3,FALSE),""))</f>
        <v/>
      </c>
      <c r="E1348" s="9">
        <f>IFERROR(DATE(2000+VALUE(MID(A1348,FIND("15",A1348,FIND("01",A1348)+16)+2,2)),VALUE(MID(A1348,FIND("15",A1348,FIND("01",A1348)+16)+4,2)),VALUE(MID(A1348,FIND("15",A1348,FIND("01",A1348)+16)+6,2))),"")</f>
        <v/>
      </c>
      <c r="F1348" s="8">
        <f>IFERROR(MID(A1348,FIND("10",A1348,FIND("15",A1348,FIND("01",A1348)+16)+8)+2,50),"")</f>
        <v/>
      </c>
      <c r="G1348" s="8" t="n"/>
    </row>
    <row r="1349">
      <c r="A1349" s="4" t="n"/>
      <c r="B1349" s="5">
        <f>IFERROR(MID(A1349,FIND("01",A1349)+2,14),"")</f>
        <v/>
      </c>
      <c r="C1349" s="4">
        <f>IF(A1349="","",IFERROR(VLOOKUP(B1349,TblArticles,2,FALSE),"GTIN inconnu"))</f>
        <v/>
      </c>
      <c r="D1349" s="5">
        <f>IF(A1349="","",IFERROR(VLOOKUP(B1349,TblArticles,3,FALSE),""))</f>
        <v/>
      </c>
      <c r="E1349" s="6">
        <f>IFERROR(DATE(2000+VALUE(MID(A1349,FIND("15",A1349,FIND("01",A1349)+16)+2,2)),VALUE(MID(A1349,FIND("15",A1349,FIND("01",A1349)+16)+4,2)),VALUE(MID(A1349,FIND("15",A1349,FIND("01",A1349)+16)+6,2))),"")</f>
        <v/>
      </c>
      <c r="F1349" s="5">
        <f>IFERROR(MID(A1349,FIND("10",A1349,FIND("15",A1349,FIND("01",A1349)+16)+8)+2,50),"")</f>
        <v/>
      </c>
      <c r="G1349" s="5" t="n"/>
    </row>
    <row r="1350">
      <c r="A1350" s="7" t="n"/>
      <c r="B1350" s="8">
        <f>IFERROR(MID(A1350,FIND("01",A1350)+2,14),"")</f>
        <v/>
      </c>
      <c r="C1350" s="7">
        <f>IF(A1350="","",IFERROR(VLOOKUP(B1350,TblArticles,2,FALSE),"GTIN inconnu"))</f>
        <v/>
      </c>
      <c r="D1350" s="8">
        <f>IF(A1350="","",IFERROR(VLOOKUP(B1350,TblArticles,3,FALSE),""))</f>
        <v/>
      </c>
      <c r="E1350" s="9">
        <f>IFERROR(DATE(2000+VALUE(MID(A1350,FIND("15",A1350,FIND("01",A1350)+16)+2,2)),VALUE(MID(A1350,FIND("15",A1350,FIND("01",A1350)+16)+4,2)),VALUE(MID(A1350,FIND("15",A1350,FIND("01",A1350)+16)+6,2))),"")</f>
        <v/>
      </c>
      <c r="F1350" s="8">
        <f>IFERROR(MID(A1350,FIND("10",A1350,FIND("15",A1350,FIND("01",A1350)+16)+8)+2,50),"")</f>
        <v/>
      </c>
      <c r="G1350" s="8" t="n"/>
    </row>
    <row r="1351">
      <c r="A1351" s="4" t="n"/>
      <c r="B1351" s="5">
        <f>IFERROR(MID(A1351,FIND("01",A1351)+2,14),"")</f>
        <v/>
      </c>
      <c r="C1351" s="4">
        <f>IF(A1351="","",IFERROR(VLOOKUP(B1351,TblArticles,2,FALSE),"GTIN inconnu"))</f>
        <v/>
      </c>
      <c r="D1351" s="5">
        <f>IF(A1351="","",IFERROR(VLOOKUP(B1351,TblArticles,3,FALSE),""))</f>
        <v/>
      </c>
      <c r="E1351" s="6">
        <f>IFERROR(DATE(2000+VALUE(MID(A1351,FIND("15",A1351,FIND("01",A1351)+16)+2,2)),VALUE(MID(A1351,FIND("15",A1351,FIND("01",A1351)+16)+4,2)),VALUE(MID(A1351,FIND("15",A1351,FIND("01",A1351)+16)+6,2))),"")</f>
        <v/>
      </c>
      <c r="F1351" s="5">
        <f>IFERROR(MID(A1351,FIND("10",A1351,FIND("15",A1351,FIND("01",A1351)+16)+8)+2,50),"")</f>
        <v/>
      </c>
      <c r="G1351" s="5" t="n"/>
    </row>
    <row r="1352">
      <c r="A1352" s="7" t="n"/>
      <c r="B1352" s="8">
        <f>IFERROR(MID(A1352,FIND("01",A1352)+2,14),"")</f>
        <v/>
      </c>
      <c r="C1352" s="7">
        <f>IF(A1352="","",IFERROR(VLOOKUP(B1352,TblArticles,2,FALSE),"GTIN inconnu"))</f>
        <v/>
      </c>
      <c r="D1352" s="8">
        <f>IF(A1352="","",IFERROR(VLOOKUP(B1352,TblArticles,3,FALSE),""))</f>
        <v/>
      </c>
      <c r="E1352" s="9">
        <f>IFERROR(DATE(2000+VALUE(MID(A1352,FIND("15",A1352,FIND("01",A1352)+16)+2,2)),VALUE(MID(A1352,FIND("15",A1352,FIND("01",A1352)+16)+4,2)),VALUE(MID(A1352,FIND("15",A1352,FIND("01",A1352)+16)+6,2))),"")</f>
        <v/>
      </c>
      <c r="F1352" s="8">
        <f>IFERROR(MID(A1352,FIND("10",A1352,FIND("15",A1352,FIND("01",A1352)+16)+8)+2,50),"")</f>
        <v/>
      </c>
      <c r="G1352" s="8" t="n"/>
    </row>
    <row r="1353">
      <c r="A1353" s="4" t="n"/>
      <c r="B1353" s="5">
        <f>IFERROR(MID(A1353,FIND("01",A1353)+2,14),"")</f>
        <v/>
      </c>
      <c r="C1353" s="4">
        <f>IF(A1353="","",IFERROR(VLOOKUP(B1353,TblArticles,2,FALSE),"GTIN inconnu"))</f>
        <v/>
      </c>
      <c r="D1353" s="5">
        <f>IF(A1353="","",IFERROR(VLOOKUP(B1353,TblArticles,3,FALSE),""))</f>
        <v/>
      </c>
      <c r="E1353" s="6">
        <f>IFERROR(DATE(2000+VALUE(MID(A1353,FIND("15",A1353,FIND("01",A1353)+16)+2,2)),VALUE(MID(A1353,FIND("15",A1353,FIND("01",A1353)+16)+4,2)),VALUE(MID(A1353,FIND("15",A1353,FIND("01",A1353)+16)+6,2))),"")</f>
        <v/>
      </c>
      <c r="F1353" s="5">
        <f>IFERROR(MID(A1353,FIND("10",A1353,FIND("15",A1353,FIND("01",A1353)+16)+8)+2,50),"")</f>
        <v/>
      </c>
      <c r="G1353" s="5" t="n"/>
    </row>
    <row r="1354">
      <c r="A1354" s="7" t="n"/>
      <c r="B1354" s="8">
        <f>IFERROR(MID(A1354,FIND("01",A1354)+2,14),"")</f>
        <v/>
      </c>
      <c r="C1354" s="7">
        <f>IF(A1354="","",IFERROR(VLOOKUP(B1354,TblArticles,2,FALSE),"GTIN inconnu"))</f>
        <v/>
      </c>
      <c r="D1354" s="8">
        <f>IF(A1354="","",IFERROR(VLOOKUP(B1354,TblArticles,3,FALSE),""))</f>
        <v/>
      </c>
      <c r="E1354" s="9">
        <f>IFERROR(DATE(2000+VALUE(MID(A1354,FIND("15",A1354,FIND("01",A1354)+16)+2,2)),VALUE(MID(A1354,FIND("15",A1354,FIND("01",A1354)+16)+4,2)),VALUE(MID(A1354,FIND("15",A1354,FIND("01",A1354)+16)+6,2))),"")</f>
        <v/>
      </c>
      <c r="F1354" s="8">
        <f>IFERROR(MID(A1354,FIND("10",A1354,FIND("15",A1354,FIND("01",A1354)+16)+8)+2,50),"")</f>
        <v/>
      </c>
      <c r="G1354" s="8" t="n"/>
    </row>
    <row r="1355">
      <c r="A1355" s="4" t="n"/>
      <c r="B1355" s="5">
        <f>IFERROR(MID(A1355,FIND("01",A1355)+2,14),"")</f>
        <v/>
      </c>
      <c r="C1355" s="4">
        <f>IF(A1355="","",IFERROR(VLOOKUP(B1355,TblArticles,2,FALSE),"GTIN inconnu"))</f>
        <v/>
      </c>
      <c r="D1355" s="5">
        <f>IF(A1355="","",IFERROR(VLOOKUP(B1355,TblArticles,3,FALSE),""))</f>
        <v/>
      </c>
      <c r="E1355" s="6">
        <f>IFERROR(DATE(2000+VALUE(MID(A1355,FIND("15",A1355,FIND("01",A1355)+16)+2,2)),VALUE(MID(A1355,FIND("15",A1355,FIND("01",A1355)+16)+4,2)),VALUE(MID(A1355,FIND("15",A1355,FIND("01",A1355)+16)+6,2))),"")</f>
        <v/>
      </c>
      <c r="F1355" s="5">
        <f>IFERROR(MID(A1355,FIND("10",A1355,FIND("15",A1355,FIND("01",A1355)+16)+8)+2,50),"")</f>
        <v/>
      </c>
      <c r="G1355" s="5" t="n"/>
    </row>
    <row r="1356">
      <c r="A1356" s="7" t="n"/>
      <c r="B1356" s="8">
        <f>IFERROR(MID(A1356,FIND("01",A1356)+2,14),"")</f>
        <v/>
      </c>
      <c r="C1356" s="7">
        <f>IF(A1356="","",IFERROR(VLOOKUP(B1356,TblArticles,2,FALSE),"GTIN inconnu"))</f>
        <v/>
      </c>
      <c r="D1356" s="8">
        <f>IF(A1356="","",IFERROR(VLOOKUP(B1356,TblArticles,3,FALSE),""))</f>
        <v/>
      </c>
      <c r="E1356" s="9">
        <f>IFERROR(DATE(2000+VALUE(MID(A1356,FIND("15",A1356,FIND("01",A1356)+16)+2,2)),VALUE(MID(A1356,FIND("15",A1356,FIND("01",A1356)+16)+4,2)),VALUE(MID(A1356,FIND("15",A1356,FIND("01",A1356)+16)+6,2))),"")</f>
        <v/>
      </c>
      <c r="F1356" s="8">
        <f>IFERROR(MID(A1356,FIND("10",A1356,FIND("15",A1356,FIND("01",A1356)+16)+8)+2,50),"")</f>
        <v/>
      </c>
      <c r="G1356" s="8" t="n"/>
    </row>
    <row r="1357">
      <c r="A1357" s="4" t="n"/>
      <c r="B1357" s="5">
        <f>IFERROR(MID(A1357,FIND("01",A1357)+2,14),"")</f>
        <v/>
      </c>
      <c r="C1357" s="4">
        <f>IF(A1357="","",IFERROR(VLOOKUP(B1357,TblArticles,2,FALSE),"GTIN inconnu"))</f>
        <v/>
      </c>
      <c r="D1357" s="5">
        <f>IF(A1357="","",IFERROR(VLOOKUP(B1357,TblArticles,3,FALSE),""))</f>
        <v/>
      </c>
      <c r="E1357" s="6">
        <f>IFERROR(DATE(2000+VALUE(MID(A1357,FIND("15",A1357,FIND("01",A1357)+16)+2,2)),VALUE(MID(A1357,FIND("15",A1357,FIND("01",A1357)+16)+4,2)),VALUE(MID(A1357,FIND("15",A1357,FIND("01",A1357)+16)+6,2))),"")</f>
        <v/>
      </c>
      <c r="F1357" s="5">
        <f>IFERROR(MID(A1357,FIND("10",A1357,FIND("15",A1357,FIND("01",A1357)+16)+8)+2,50),"")</f>
        <v/>
      </c>
      <c r="G1357" s="5" t="n"/>
    </row>
    <row r="1358">
      <c r="A1358" s="7" t="n"/>
      <c r="B1358" s="8">
        <f>IFERROR(MID(A1358,FIND("01",A1358)+2,14),"")</f>
        <v/>
      </c>
      <c r="C1358" s="7">
        <f>IF(A1358="","",IFERROR(VLOOKUP(B1358,TblArticles,2,FALSE),"GTIN inconnu"))</f>
        <v/>
      </c>
      <c r="D1358" s="8">
        <f>IF(A1358="","",IFERROR(VLOOKUP(B1358,TblArticles,3,FALSE),""))</f>
        <v/>
      </c>
      <c r="E1358" s="9">
        <f>IFERROR(DATE(2000+VALUE(MID(A1358,FIND("15",A1358,FIND("01",A1358)+16)+2,2)),VALUE(MID(A1358,FIND("15",A1358,FIND("01",A1358)+16)+4,2)),VALUE(MID(A1358,FIND("15",A1358,FIND("01",A1358)+16)+6,2))),"")</f>
        <v/>
      </c>
      <c r="F1358" s="8">
        <f>IFERROR(MID(A1358,FIND("10",A1358,FIND("15",A1358,FIND("01",A1358)+16)+8)+2,50),"")</f>
        <v/>
      </c>
      <c r="G1358" s="8" t="n"/>
    </row>
    <row r="1359">
      <c r="A1359" s="4" t="n"/>
      <c r="B1359" s="5">
        <f>IFERROR(MID(A1359,FIND("01",A1359)+2,14),"")</f>
        <v/>
      </c>
      <c r="C1359" s="4">
        <f>IF(A1359="","",IFERROR(VLOOKUP(B1359,TblArticles,2,FALSE),"GTIN inconnu"))</f>
        <v/>
      </c>
      <c r="D1359" s="5">
        <f>IF(A1359="","",IFERROR(VLOOKUP(B1359,TblArticles,3,FALSE),""))</f>
        <v/>
      </c>
      <c r="E1359" s="6">
        <f>IFERROR(DATE(2000+VALUE(MID(A1359,FIND("15",A1359,FIND("01",A1359)+16)+2,2)),VALUE(MID(A1359,FIND("15",A1359,FIND("01",A1359)+16)+4,2)),VALUE(MID(A1359,FIND("15",A1359,FIND("01",A1359)+16)+6,2))),"")</f>
        <v/>
      </c>
      <c r="F1359" s="5">
        <f>IFERROR(MID(A1359,FIND("10",A1359,FIND("15",A1359,FIND("01",A1359)+16)+8)+2,50),"")</f>
        <v/>
      </c>
      <c r="G1359" s="5" t="n"/>
    </row>
    <row r="1360">
      <c r="A1360" s="7" t="n"/>
      <c r="B1360" s="8">
        <f>IFERROR(MID(A1360,FIND("01",A1360)+2,14),"")</f>
        <v/>
      </c>
      <c r="C1360" s="7">
        <f>IF(A1360="","",IFERROR(VLOOKUP(B1360,TblArticles,2,FALSE),"GTIN inconnu"))</f>
        <v/>
      </c>
      <c r="D1360" s="8">
        <f>IF(A1360="","",IFERROR(VLOOKUP(B1360,TblArticles,3,FALSE),""))</f>
        <v/>
      </c>
      <c r="E1360" s="9">
        <f>IFERROR(DATE(2000+VALUE(MID(A1360,FIND("15",A1360,FIND("01",A1360)+16)+2,2)),VALUE(MID(A1360,FIND("15",A1360,FIND("01",A1360)+16)+4,2)),VALUE(MID(A1360,FIND("15",A1360,FIND("01",A1360)+16)+6,2))),"")</f>
        <v/>
      </c>
      <c r="F1360" s="8">
        <f>IFERROR(MID(A1360,FIND("10",A1360,FIND("15",A1360,FIND("01",A1360)+16)+8)+2,50),"")</f>
        <v/>
      </c>
      <c r="G1360" s="8" t="n"/>
    </row>
    <row r="1361">
      <c r="A1361" s="4" t="n"/>
      <c r="B1361" s="5">
        <f>IFERROR(MID(A1361,FIND("01",A1361)+2,14),"")</f>
        <v/>
      </c>
      <c r="C1361" s="4">
        <f>IF(A1361="","",IFERROR(VLOOKUP(B1361,TblArticles,2,FALSE),"GTIN inconnu"))</f>
        <v/>
      </c>
      <c r="D1361" s="5">
        <f>IF(A1361="","",IFERROR(VLOOKUP(B1361,TblArticles,3,FALSE),""))</f>
        <v/>
      </c>
      <c r="E1361" s="6">
        <f>IFERROR(DATE(2000+VALUE(MID(A1361,FIND("15",A1361,FIND("01",A1361)+16)+2,2)),VALUE(MID(A1361,FIND("15",A1361,FIND("01",A1361)+16)+4,2)),VALUE(MID(A1361,FIND("15",A1361,FIND("01",A1361)+16)+6,2))),"")</f>
        <v/>
      </c>
      <c r="F1361" s="5">
        <f>IFERROR(MID(A1361,FIND("10",A1361,FIND("15",A1361,FIND("01",A1361)+16)+8)+2,50),"")</f>
        <v/>
      </c>
      <c r="G1361" s="5" t="n"/>
    </row>
    <row r="1362">
      <c r="A1362" s="7" t="n"/>
      <c r="B1362" s="8">
        <f>IFERROR(MID(A1362,FIND("01",A1362)+2,14),"")</f>
        <v/>
      </c>
      <c r="C1362" s="7">
        <f>IF(A1362="","",IFERROR(VLOOKUP(B1362,TblArticles,2,FALSE),"GTIN inconnu"))</f>
        <v/>
      </c>
      <c r="D1362" s="8">
        <f>IF(A1362="","",IFERROR(VLOOKUP(B1362,TblArticles,3,FALSE),""))</f>
        <v/>
      </c>
      <c r="E1362" s="9">
        <f>IFERROR(DATE(2000+VALUE(MID(A1362,FIND("15",A1362,FIND("01",A1362)+16)+2,2)),VALUE(MID(A1362,FIND("15",A1362,FIND("01",A1362)+16)+4,2)),VALUE(MID(A1362,FIND("15",A1362,FIND("01",A1362)+16)+6,2))),"")</f>
        <v/>
      </c>
      <c r="F1362" s="8">
        <f>IFERROR(MID(A1362,FIND("10",A1362,FIND("15",A1362,FIND("01",A1362)+16)+8)+2,50),"")</f>
        <v/>
      </c>
      <c r="G1362" s="8" t="n"/>
    </row>
    <row r="1363">
      <c r="A1363" s="4" t="n"/>
      <c r="B1363" s="5">
        <f>IFERROR(MID(A1363,FIND("01",A1363)+2,14),"")</f>
        <v/>
      </c>
      <c r="C1363" s="4">
        <f>IF(A1363="","",IFERROR(VLOOKUP(B1363,TblArticles,2,FALSE),"GTIN inconnu"))</f>
        <v/>
      </c>
      <c r="D1363" s="5">
        <f>IF(A1363="","",IFERROR(VLOOKUP(B1363,TblArticles,3,FALSE),""))</f>
        <v/>
      </c>
      <c r="E1363" s="6">
        <f>IFERROR(DATE(2000+VALUE(MID(A1363,FIND("15",A1363,FIND("01",A1363)+16)+2,2)),VALUE(MID(A1363,FIND("15",A1363,FIND("01",A1363)+16)+4,2)),VALUE(MID(A1363,FIND("15",A1363,FIND("01",A1363)+16)+6,2))),"")</f>
        <v/>
      </c>
      <c r="F1363" s="5">
        <f>IFERROR(MID(A1363,FIND("10",A1363,FIND("15",A1363,FIND("01",A1363)+16)+8)+2,50),"")</f>
        <v/>
      </c>
      <c r="G1363" s="5" t="n"/>
    </row>
    <row r="1364">
      <c r="A1364" s="7" t="n"/>
      <c r="B1364" s="8">
        <f>IFERROR(MID(A1364,FIND("01",A1364)+2,14),"")</f>
        <v/>
      </c>
      <c r="C1364" s="7">
        <f>IF(A1364="","",IFERROR(VLOOKUP(B1364,TblArticles,2,FALSE),"GTIN inconnu"))</f>
        <v/>
      </c>
      <c r="D1364" s="8">
        <f>IF(A1364="","",IFERROR(VLOOKUP(B1364,TblArticles,3,FALSE),""))</f>
        <v/>
      </c>
      <c r="E1364" s="9">
        <f>IFERROR(DATE(2000+VALUE(MID(A1364,FIND("15",A1364,FIND("01",A1364)+16)+2,2)),VALUE(MID(A1364,FIND("15",A1364,FIND("01",A1364)+16)+4,2)),VALUE(MID(A1364,FIND("15",A1364,FIND("01",A1364)+16)+6,2))),"")</f>
        <v/>
      </c>
      <c r="F1364" s="8">
        <f>IFERROR(MID(A1364,FIND("10",A1364,FIND("15",A1364,FIND("01",A1364)+16)+8)+2,50),"")</f>
        <v/>
      </c>
      <c r="G1364" s="8" t="n"/>
    </row>
    <row r="1365">
      <c r="A1365" s="4" t="n"/>
      <c r="B1365" s="5">
        <f>IFERROR(MID(A1365,FIND("01",A1365)+2,14),"")</f>
        <v/>
      </c>
      <c r="C1365" s="4">
        <f>IF(A1365="","",IFERROR(VLOOKUP(B1365,TblArticles,2,FALSE),"GTIN inconnu"))</f>
        <v/>
      </c>
      <c r="D1365" s="5">
        <f>IF(A1365="","",IFERROR(VLOOKUP(B1365,TblArticles,3,FALSE),""))</f>
        <v/>
      </c>
      <c r="E1365" s="6">
        <f>IFERROR(DATE(2000+VALUE(MID(A1365,FIND("15",A1365,FIND("01",A1365)+16)+2,2)),VALUE(MID(A1365,FIND("15",A1365,FIND("01",A1365)+16)+4,2)),VALUE(MID(A1365,FIND("15",A1365,FIND("01",A1365)+16)+6,2))),"")</f>
        <v/>
      </c>
      <c r="F1365" s="5">
        <f>IFERROR(MID(A1365,FIND("10",A1365,FIND("15",A1365,FIND("01",A1365)+16)+8)+2,50),"")</f>
        <v/>
      </c>
      <c r="G1365" s="5" t="n"/>
    </row>
    <row r="1366">
      <c r="A1366" s="7" t="n"/>
      <c r="B1366" s="8">
        <f>IFERROR(MID(A1366,FIND("01",A1366)+2,14),"")</f>
        <v/>
      </c>
      <c r="C1366" s="7">
        <f>IF(A1366="","",IFERROR(VLOOKUP(B1366,TblArticles,2,FALSE),"GTIN inconnu"))</f>
        <v/>
      </c>
      <c r="D1366" s="8">
        <f>IF(A1366="","",IFERROR(VLOOKUP(B1366,TblArticles,3,FALSE),""))</f>
        <v/>
      </c>
      <c r="E1366" s="9">
        <f>IFERROR(DATE(2000+VALUE(MID(A1366,FIND("15",A1366,FIND("01",A1366)+16)+2,2)),VALUE(MID(A1366,FIND("15",A1366,FIND("01",A1366)+16)+4,2)),VALUE(MID(A1366,FIND("15",A1366,FIND("01",A1366)+16)+6,2))),"")</f>
        <v/>
      </c>
      <c r="F1366" s="8">
        <f>IFERROR(MID(A1366,FIND("10",A1366,FIND("15",A1366,FIND("01",A1366)+16)+8)+2,50),"")</f>
        <v/>
      </c>
      <c r="G1366" s="8" t="n"/>
    </row>
    <row r="1367">
      <c r="A1367" s="4" t="n"/>
      <c r="B1367" s="5">
        <f>IFERROR(MID(A1367,FIND("01",A1367)+2,14),"")</f>
        <v/>
      </c>
      <c r="C1367" s="4">
        <f>IF(A1367="","",IFERROR(VLOOKUP(B1367,TblArticles,2,FALSE),"GTIN inconnu"))</f>
        <v/>
      </c>
      <c r="D1367" s="5">
        <f>IF(A1367="","",IFERROR(VLOOKUP(B1367,TblArticles,3,FALSE),""))</f>
        <v/>
      </c>
      <c r="E1367" s="6">
        <f>IFERROR(DATE(2000+VALUE(MID(A1367,FIND("15",A1367,FIND("01",A1367)+16)+2,2)),VALUE(MID(A1367,FIND("15",A1367,FIND("01",A1367)+16)+4,2)),VALUE(MID(A1367,FIND("15",A1367,FIND("01",A1367)+16)+6,2))),"")</f>
        <v/>
      </c>
      <c r="F1367" s="5">
        <f>IFERROR(MID(A1367,FIND("10",A1367,FIND("15",A1367,FIND("01",A1367)+16)+8)+2,50),"")</f>
        <v/>
      </c>
      <c r="G1367" s="5" t="n"/>
    </row>
    <row r="1368">
      <c r="A1368" s="7" t="n"/>
      <c r="B1368" s="8">
        <f>IFERROR(MID(A1368,FIND("01",A1368)+2,14),"")</f>
        <v/>
      </c>
      <c r="C1368" s="7">
        <f>IF(A1368="","",IFERROR(VLOOKUP(B1368,TblArticles,2,FALSE),"GTIN inconnu"))</f>
        <v/>
      </c>
      <c r="D1368" s="8">
        <f>IF(A1368="","",IFERROR(VLOOKUP(B1368,TblArticles,3,FALSE),""))</f>
        <v/>
      </c>
      <c r="E1368" s="9">
        <f>IFERROR(DATE(2000+VALUE(MID(A1368,FIND("15",A1368,FIND("01",A1368)+16)+2,2)),VALUE(MID(A1368,FIND("15",A1368,FIND("01",A1368)+16)+4,2)),VALUE(MID(A1368,FIND("15",A1368,FIND("01",A1368)+16)+6,2))),"")</f>
        <v/>
      </c>
      <c r="F1368" s="8">
        <f>IFERROR(MID(A1368,FIND("10",A1368,FIND("15",A1368,FIND("01",A1368)+16)+8)+2,50),"")</f>
        <v/>
      </c>
      <c r="G1368" s="8" t="n"/>
    </row>
    <row r="1369">
      <c r="A1369" s="4" t="n"/>
      <c r="B1369" s="5">
        <f>IFERROR(MID(A1369,FIND("01",A1369)+2,14),"")</f>
        <v/>
      </c>
      <c r="C1369" s="4">
        <f>IF(A1369="","",IFERROR(VLOOKUP(B1369,TblArticles,2,FALSE),"GTIN inconnu"))</f>
        <v/>
      </c>
      <c r="D1369" s="5">
        <f>IF(A1369="","",IFERROR(VLOOKUP(B1369,TblArticles,3,FALSE),""))</f>
        <v/>
      </c>
      <c r="E1369" s="6">
        <f>IFERROR(DATE(2000+VALUE(MID(A1369,FIND("15",A1369,FIND("01",A1369)+16)+2,2)),VALUE(MID(A1369,FIND("15",A1369,FIND("01",A1369)+16)+4,2)),VALUE(MID(A1369,FIND("15",A1369,FIND("01",A1369)+16)+6,2))),"")</f>
        <v/>
      </c>
      <c r="F1369" s="5">
        <f>IFERROR(MID(A1369,FIND("10",A1369,FIND("15",A1369,FIND("01",A1369)+16)+8)+2,50),"")</f>
        <v/>
      </c>
      <c r="G1369" s="5" t="n"/>
    </row>
    <row r="1370">
      <c r="A1370" s="7" t="n"/>
      <c r="B1370" s="8">
        <f>IFERROR(MID(A1370,FIND("01",A1370)+2,14),"")</f>
        <v/>
      </c>
      <c r="C1370" s="7">
        <f>IF(A1370="","",IFERROR(VLOOKUP(B1370,TblArticles,2,FALSE),"GTIN inconnu"))</f>
        <v/>
      </c>
      <c r="D1370" s="8">
        <f>IF(A1370="","",IFERROR(VLOOKUP(B1370,TblArticles,3,FALSE),""))</f>
        <v/>
      </c>
      <c r="E1370" s="9">
        <f>IFERROR(DATE(2000+VALUE(MID(A1370,FIND("15",A1370,FIND("01",A1370)+16)+2,2)),VALUE(MID(A1370,FIND("15",A1370,FIND("01",A1370)+16)+4,2)),VALUE(MID(A1370,FIND("15",A1370,FIND("01",A1370)+16)+6,2))),"")</f>
        <v/>
      </c>
      <c r="F1370" s="8">
        <f>IFERROR(MID(A1370,FIND("10",A1370,FIND("15",A1370,FIND("01",A1370)+16)+8)+2,50),"")</f>
        <v/>
      </c>
      <c r="G1370" s="8" t="n"/>
    </row>
    <row r="1371">
      <c r="A1371" s="4" t="n"/>
      <c r="B1371" s="5">
        <f>IFERROR(MID(A1371,FIND("01",A1371)+2,14),"")</f>
        <v/>
      </c>
      <c r="C1371" s="4">
        <f>IF(A1371="","",IFERROR(VLOOKUP(B1371,TblArticles,2,FALSE),"GTIN inconnu"))</f>
        <v/>
      </c>
      <c r="D1371" s="5">
        <f>IF(A1371="","",IFERROR(VLOOKUP(B1371,TblArticles,3,FALSE),""))</f>
        <v/>
      </c>
      <c r="E1371" s="6">
        <f>IFERROR(DATE(2000+VALUE(MID(A1371,FIND("15",A1371,FIND("01",A1371)+16)+2,2)),VALUE(MID(A1371,FIND("15",A1371,FIND("01",A1371)+16)+4,2)),VALUE(MID(A1371,FIND("15",A1371,FIND("01",A1371)+16)+6,2))),"")</f>
        <v/>
      </c>
      <c r="F1371" s="5">
        <f>IFERROR(MID(A1371,FIND("10",A1371,FIND("15",A1371,FIND("01",A1371)+16)+8)+2,50),"")</f>
        <v/>
      </c>
      <c r="G1371" s="5" t="n"/>
    </row>
    <row r="1372">
      <c r="A1372" s="7" t="n"/>
      <c r="B1372" s="8">
        <f>IFERROR(MID(A1372,FIND("01",A1372)+2,14),"")</f>
        <v/>
      </c>
      <c r="C1372" s="7">
        <f>IF(A1372="","",IFERROR(VLOOKUP(B1372,TblArticles,2,FALSE),"GTIN inconnu"))</f>
        <v/>
      </c>
      <c r="D1372" s="8">
        <f>IF(A1372="","",IFERROR(VLOOKUP(B1372,TblArticles,3,FALSE),""))</f>
        <v/>
      </c>
      <c r="E1372" s="9">
        <f>IFERROR(DATE(2000+VALUE(MID(A1372,FIND("15",A1372,FIND("01",A1372)+16)+2,2)),VALUE(MID(A1372,FIND("15",A1372,FIND("01",A1372)+16)+4,2)),VALUE(MID(A1372,FIND("15",A1372,FIND("01",A1372)+16)+6,2))),"")</f>
        <v/>
      </c>
      <c r="F1372" s="8">
        <f>IFERROR(MID(A1372,FIND("10",A1372,FIND("15",A1372,FIND("01",A1372)+16)+8)+2,50),"")</f>
        <v/>
      </c>
      <c r="G1372" s="8" t="n"/>
    </row>
    <row r="1373">
      <c r="A1373" s="4" t="n"/>
      <c r="B1373" s="5">
        <f>IFERROR(MID(A1373,FIND("01",A1373)+2,14),"")</f>
        <v/>
      </c>
      <c r="C1373" s="4">
        <f>IF(A1373="","",IFERROR(VLOOKUP(B1373,TblArticles,2,FALSE),"GTIN inconnu"))</f>
        <v/>
      </c>
      <c r="D1373" s="5">
        <f>IF(A1373="","",IFERROR(VLOOKUP(B1373,TblArticles,3,FALSE),""))</f>
        <v/>
      </c>
      <c r="E1373" s="6">
        <f>IFERROR(DATE(2000+VALUE(MID(A1373,FIND("15",A1373,FIND("01",A1373)+16)+2,2)),VALUE(MID(A1373,FIND("15",A1373,FIND("01",A1373)+16)+4,2)),VALUE(MID(A1373,FIND("15",A1373,FIND("01",A1373)+16)+6,2))),"")</f>
        <v/>
      </c>
      <c r="F1373" s="5">
        <f>IFERROR(MID(A1373,FIND("10",A1373,FIND("15",A1373,FIND("01",A1373)+16)+8)+2,50),"")</f>
        <v/>
      </c>
      <c r="G1373" s="5" t="n"/>
    </row>
    <row r="1374">
      <c r="A1374" s="7" t="n"/>
      <c r="B1374" s="8">
        <f>IFERROR(MID(A1374,FIND("01",A1374)+2,14),"")</f>
        <v/>
      </c>
      <c r="C1374" s="7">
        <f>IF(A1374="","",IFERROR(VLOOKUP(B1374,TblArticles,2,FALSE),"GTIN inconnu"))</f>
        <v/>
      </c>
      <c r="D1374" s="8">
        <f>IF(A1374="","",IFERROR(VLOOKUP(B1374,TblArticles,3,FALSE),""))</f>
        <v/>
      </c>
      <c r="E1374" s="9">
        <f>IFERROR(DATE(2000+VALUE(MID(A1374,FIND("15",A1374,FIND("01",A1374)+16)+2,2)),VALUE(MID(A1374,FIND("15",A1374,FIND("01",A1374)+16)+4,2)),VALUE(MID(A1374,FIND("15",A1374,FIND("01",A1374)+16)+6,2))),"")</f>
        <v/>
      </c>
      <c r="F1374" s="8">
        <f>IFERROR(MID(A1374,FIND("10",A1374,FIND("15",A1374,FIND("01",A1374)+16)+8)+2,50),"")</f>
        <v/>
      </c>
      <c r="G1374" s="8" t="n"/>
    </row>
    <row r="1375">
      <c r="A1375" s="4" t="n"/>
      <c r="B1375" s="5">
        <f>IFERROR(MID(A1375,FIND("01",A1375)+2,14),"")</f>
        <v/>
      </c>
      <c r="C1375" s="4">
        <f>IF(A1375="","",IFERROR(VLOOKUP(B1375,TblArticles,2,FALSE),"GTIN inconnu"))</f>
        <v/>
      </c>
      <c r="D1375" s="5">
        <f>IF(A1375="","",IFERROR(VLOOKUP(B1375,TblArticles,3,FALSE),""))</f>
        <v/>
      </c>
      <c r="E1375" s="6">
        <f>IFERROR(DATE(2000+VALUE(MID(A1375,FIND("15",A1375,FIND("01",A1375)+16)+2,2)),VALUE(MID(A1375,FIND("15",A1375,FIND("01",A1375)+16)+4,2)),VALUE(MID(A1375,FIND("15",A1375,FIND("01",A1375)+16)+6,2))),"")</f>
        <v/>
      </c>
      <c r="F1375" s="5">
        <f>IFERROR(MID(A1375,FIND("10",A1375,FIND("15",A1375,FIND("01",A1375)+16)+8)+2,50),"")</f>
        <v/>
      </c>
      <c r="G1375" s="5" t="n"/>
    </row>
    <row r="1376">
      <c r="A1376" s="7" t="n"/>
      <c r="B1376" s="8">
        <f>IFERROR(MID(A1376,FIND("01",A1376)+2,14),"")</f>
        <v/>
      </c>
      <c r="C1376" s="7">
        <f>IF(A1376="","",IFERROR(VLOOKUP(B1376,TblArticles,2,FALSE),"GTIN inconnu"))</f>
        <v/>
      </c>
      <c r="D1376" s="8">
        <f>IF(A1376="","",IFERROR(VLOOKUP(B1376,TblArticles,3,FALSE),""))</f>
        <v/>
      </c>
      <c r="E1376" s="9">
        <f>IFERROR(DATE(2000+VALUE(MID(A1376,FIND("15",A1376,FIND("01",A1376)+16)+2,2)),VALUE(MID(A1376,FIND("15",A1376,FIND("01",A1376)+16)+4,2)),VALUE(MID(A1376,FIND("15",A1376,FIND("01",A1376)+16)+6,2))),"")</f>
        <v/>
      </c>
      <c r="F1376" s="8">
        <f>IFERROR(MID(A1376,FIND("10",A1376,FIND("15",A1376,FIND("01",A1376)+16)+8)+2,50),"")</f>
        <v/>
      </c>
      <c r="G1376" s="8" t="n"/>
    </row>
    <row r="1377">
      <c r="A1377" s="4" t="n"/>
      <c r="B1377" s="5">
        <f>IFERROR(MID(A1377,FIND("01",A1377)+2,14),"")</f>
        <v/>
      </c>
      <c r="C1377" s="4">
        <f>IF(A1377="","",IFERROR(VLOOKUP(B1377,TblArticles,2,FALSE),"GTIN inconnu"))</f>
        <v/>
      </c>
      <c r="D1377" s="5">
        <f>IF(A1377="","",IFERROR(VLOOKUP(B1377,TblArticles,3,FALSE),""))</f>
        <v/>
      </c>
      <c r="E1377" s="6">
        <f>IFERROR(DATE(2000+VALUE(MID(A1377,FIND("15",A1377,FIND("01",A1377)+16)+2,2)),VALUE(MID(A1377,FIND("15",A1377,FIND("01",A1377)+16)+4,2)),VALUE(MID(A1377,FIND("15",A1377,FIND("01",A1377)+16)+6,2))),"")</f>
        <v/>
      </c>
      <c r="F1377" s="5">
        <f>IFERROR(MID(A1377,FIND("10",A1377,FIND("15",A1377,FIND("01",A1377)+16)+8)+2,50),"")</f>
        <v/>
      </c>
      <c r="G1377" s="5" t="n"/>
    </row>
    <row r="1378">
      <c r="A1378" s="7" t="n"/>
      <c r="B1378" s="8">
        <f>IFERROR(MID(A1378,FIND("01",A1378)+2,14),"")</f>
        <v/>
      </c>
      <c r="C1378" s="7">
        <f>IF(A1378="","",IFERROR(VLOOKUP(B1378,TblArticles,2,FALSE),"GTIN inconnu"))</f>
        <v/>
      </c>
      <c r="D1378" s="8">
        <f>IF(A1378="","",IFERROR(VLOOKUP(B1378,TblArticles,3,FALSE),""))</f>
        <v/>
      </c>
      <c r="E1378" s="9">
        <f>IFERROR(DATE(2000+VALUE(MID(A1378,FIND("15",A1378,FIND("01",A1378)+16)+2,2)),VALUE(MID(A1378,FIND("15",A1378,FIND("01",A1378)+16)+4,2)),VALUE(MID(A1378,FIND("15",A1378,FIND("01",A1378)+16)+6,2))),"")</f>
        <v/>
      </c>
      <c r="F1378" s="8">
        <f>IFERROR(MID(A1378,FIND("10",A1378,FIND("15",A1378,FIND("01",A1378)+16)+8)+2,50),"")</f>
        <v/>
      </c>
      <c r="G1378" s="8" t="n"/>
    </row>
    <row r="1379">
      <c r="A1379" s="4" t="n"/>
      <c r="B1379" s="5">
        <f>IFERROR(MID(A1379,FIND("01",A1379)+2,14),"")</f>
        <v/>
      </c>
      <c r="C1379" s="4">
        <f>IF(A1379="","",IFERROR(VLOOKUP(B1379,TblArticles,2,FALSE),"GTIN inconnu"))</f>
        <v/>
      </c>
      <c r="D1379" s="5">
        <f>IF(A1379="","",IFERROR(VLOOKUP(B1379,TblArticles,3,FALSE),""))</f>
        <v/>
      </c>
      <c r="E1379" s="6">
        <f>IFERROR(DATE(2000+VALUE(MID(A1379,FIND("15",A1379,FIND("01",A1379)+16)+2,2)),VALUE(MID(A1379,FIND("15",A1379,FIND("01",A1379)+16)+4,2)),VALUE(MID(A1379,FIND("15",A1379,FIND("01",A1379)+16)+6,2))),"")</f>
        <v/>
      </c>
      <c r="F1379" s="5">
        <f>IFERROR(MID(A1379,FIND("10",A1379,FIND("15",A1379,FIND("01",A1379)+16)+8)+2,50),"")</f>
        <v/>
      </c>
      <c r="G1379" s="5" t="n"/>
    </row>
    <row r="1380">
      <c r="A1380" s="7" t="n"/>
      <c r="B1380" s="8">
        <f>IFERROR(MID(A1380,FIND("01",A1380)+2,14),"")</f>
        <v/>
      </c>
      <c r="C1380" s="7">
        <f>IF(A1380="","",IFERROR(VLOOKUP(B1380,TblArticles,2,FALSE),"GTIN inconnu"))</f>
        <v/>
      </c>
      <c r="D1380" s="8">
        <f>IF(A1380="","",IFERROR(VLOOKUP(B1380,TblArticles,3,FALSE),""))</f>
        <v/>
      </c>
      <c r="E1380" s="9">
        <f>IFERROR(DATE(2000+VALUE(MID(A1380,FIND("15",A1380,FIND("01",A1380)+16)+2,2)),VALUE(MID(A1380,FIND("15",A1380,FIND("01",A1380)+16)+4,2)),VALUE(MID(A1380,FIND("15",A1380,FIND("01",A1380)+16)+6,2))),"")</f>
        <v/>
      </c>
      <c r="F1380" s="8">
        <f>IFERROR(MID(A1380,FIND("10",A1380,FIND("15",A1380,FIND("01",A1380)+16)+8)+2,50),"")</f>
        <v/>
      </c>
      <c r="G1380" s="8" t="n"/>
    </row>
    <row r="1381">
      <c r="A1381" s="4" t="n"/>
      <c r="B1381" s="5">
        <f>IFERROR(MID(A1381,FIND("01",A1381)+2,14),"")</f>
        <v/>
      </c>
      <c r="C1381" s="4">
        <f>IF(A1381="","",IFERROR(VLOOKUP(B1381,TblArticles,2,FALSE),"GTIN inconnu"))</f>
        <v/>
      </c>
      <c r="D1381" s="5">
        <f>IF(A1381="","",IFERROR(VLOOKUP(B1381,TblArticles,3,FALSE),""))</f>
        <v/>
      </c>
      <c r="E1381" s="6">
        <f>IFERROR(DATE(2000+VALUE(MID(A1381,FIND("15",A1381,FIND("01",A1381)+16)+2,2)),VALUE(MID(A1381,FIND("15",A1381,FIND("01",A1381)+16)+4,2)),VALUE(MID(A1381,FIND("15",A1381,FIND("01",A1381)+16)+6,2))),"")</f>
        <v/>
      </c>
      <c r="F1381" s="5">
        <f>IFERROR(MID(A1381,FIND("10",A1381,FIND("15",A1381,FIND("01",A1381)+16)+8)+2,50),"")</f>
        <v/>
      </c>
      <c r="G1381" s="5" t="n"/>
    </row>
    <row r="1382">
      <c r="A1382" s="7" t="n"/>
      <c r="B1382" s="8">
        <f>IFERROR(MID(A1382,FIND("01",A1382)+2,14),"")</f>
        <v/>
      </c>
      <c r="C1382" s="7">
        <f>IF(A1382="","",IFERROR(VLOOKUP(B1382,TblArticles,2,FALSE),"GTIN inconnu"))</f>
        <v/>
      </c>
      <c r="D1382" s="8">
        <f>IF(A1382="","",IFERROR(VLOOKUP(B1382,TblArticles,3,FALSE),""))</f>
        <v/>
      </c>
      <c r="E1382" s="9">
        <f>IFERROR(DATE(2000+VALUE(MID(A1382,FIND("15",A1382,FIND("01",A1382)+16)+2,2)),VALUE(MID(A1382,FIND("15",A1382,FIND("01",A1382)+16)+4,2)),VALUE(MID(A1382,FIND("15",A1382,FIND("01",A1382)+16)+6,2))),"")</f>
        <v/>
      </c>
      <c r="F1382" s="8">
        <f>IFERROR(MID(A1382,FIND("10",A1382,FIND("15",A1382,FIND("01",A1382)+16)+8)+2,50),"")</f>
        <v/>
      </c>
      <c r="G1382" s="8" t="n"/>
    </row>
    <row r="1383">
      <c r="A1383" s="4" t="n"/>
      <c r="B1383" s="5">
        <f>IFERROR(MID(A1383,FIND("01",A1383)+2,14),"")</f>
        <v/>
      </c>
      <c r="C1383" s="4">
        <f>IF(A1383="","",IFERROR(VLOOKUP(B1383,TblArticles,2,FALSE),"GTIN inconnu"))</f>
        <v/>
      </c>
      <c r="D1383" s="5">
        <f>IF(A1383="","",IFERROR(VLOOKUP(B1383,TblArticles,3,FALSE),""))</f>
        <v/>
      </c>
      <c r="E1383" s="6">
        <f>IFERROR(DATE(2000+VALUE(MID(A1383,FIND("15",A1383,FIND("01",A1383)+16)+2,2)),VALUE(MID(A1383,FIND("15",A1383,FIND("01",A1383)+16)+4,2)),VALUE(MID(A1383,FIND("15",A1383,FIND("01",A1383)+16)+6,2))),"")</f>
        <v/>
      </c>
      <c r="F1383" s="5">
        <f>IFERROR(MID(A1383,FIND("10",A1383,FIND("15",A1383,FIND("01",A1383)+16)+8)+2,50),"")</f>
        <v/>
      </c>
      <c r="G1383" s="5" t="n"/>
    </row>
    <row r="1384">
      <c r="A1384" s="7" t="n"/>
      <c r="B1384" s="8">
        <f>IFERROR(MID(A1384,FIND("01",A1384)+2,14),"")</f>
        <v/>
      </c>
      <c r="C1384" s="7">
        <f>IF(A1384="","",IFERROR(VLOOKUP(B1384,TblArticles,2,FALSE),"GTIN inconnu"))</f>
        <v/>
      </c>
      <c r="D1384" s="8">
        <f>IF(A1384="","",IFERROR(VLOOKUP(B1384,TblArticles,3,FALSE),""))</f>
        <v/>
      </c>
      <c r="E1384" s="9">
        <f>IFERROR(DATE(2000+VALUE(MID(A1384,FIND("15",A1384,FIND("01",A1384)+16)+2,2)),VALUE(MID(A1384,FIND("15",A1384,FIND("01",A1384)+16)+4,2)),VALUE(MID(A1384,FIND("15",A1384,FIND("01",A1384)+16)+6,2))),"")</f>
        <v/>
      </c>
      <c r="F1384" s="8">
        <f>IFERROR(MID(A1384,FIND("10",A1384,FIND("15",A1384,FIND("01",A1384)+16)+8)+2,50),"")</f>
        <v/>
      </c>
      <c r="G1384" s="8" t="n"/>
    </row>
    <row r="1385">
      <c r="A1385" s="4" t="n"/>
      <c r="B1385" s="5">
        <f>IFERROR(MID(A1385,FIND("01",A1385)+2,14),"")</f>
        <v/>
      </c>
      <c r="C1385" s="4">
        <f>IF(A1385="","",IFERROR(VLOOKUP(B1385,TblArticles,2,FALSE),"GTIN inconnu"))</f>
        <v/>
      </c>
      <c r="D1385" s="5">
        <f>IF(A1385="","",IFERROR(VLOOKUP(B1385,TblArticles,3,FALSE),""))</f>
        <v/>
      </c>
      <c r="E1385" s="6">
        <f>IFERROR(DATE(2000+VALUE(MID(A1385,FIND("15",A1385,FIND("01",A1385)+16)+2,2)),VALUE(MID(A1385,FIND("15",A1385,FIND("01",A1385)+16)+4,2)),VALUE(MID(A1385,FIND("15",A1385,FIND("01",A1385)+16)+6,2))),"")</f>
        <v/>
      </c>
      <c r="F1385" s="5">
        <f>IFERROR(MID(A1385,FIND("10",A1385,FIND("15",A1385,FIND("01",A1385)+16)+8)+2,50),"")</f>
        <v/>
      </c>
      <c r="G1385" s="5" t="n"/>
    </row>
    <row r="1386">
      <c r="A1386" s="7" t="n"/>
      <c r="B1386" s="8">
        <f>IFERROR(MID(A1386,FIND("01",A1386)+2,14),"")</f>
        <v/>
      </c>
      <c r="C1386" s="7">
        <f>IF(A1386="","",IFERROR(VLOOKUP(B1386,TblArticles,2,FALSE),"GTIN inconnu"))</f>
        <v/>
      </c>
      <c r="D1386" s="8">
        <f>IF(A1386="","",IFERROR(VLOOKUP(B1386,TblArticles,3,FALSE),""))</f>
        <v/>
      </c>
      <c r="E1386" s="9">
        <f>IFERROR(DATE(2000+VALUE(MID(A1386,FIND("15",A1386,FIND("01",A1386)+16)+2,2)),VALUE(MID(A1386,FIND("15",A1386,FIND("01",A1386)+16)+4,2)),VALUE(MID(A1386,FIND("15",A1386,FIND("01",A1386)+16)+6,2))),"")</f>
        <v/>
      </c>
      <c r="F1386" s="8">
        <f>IFERROR(MID(A1386,FIND("10",A1386,FIND("15",A1386,FIND("01",A1386)+16)+8)+2,50),"")</f>
        <v/>
      </c>
      <c r="G1386" s="8" t="n"/>
    </row>
    <row r="1387">
      <c r="A1387" s="4" t="n"/>
      <c r="B1387" s="5">
        <f>IFERROR(MID(A1387,FIND("01",A1387)+2,14),"")</f>
        <v/>
      </c>
      <c r="C1387" s="4">
        <f>IF(A1387="","",IFERROR(VLOOKUP(B1387,TblArticles,2,FALSE),"GTIN inconnu"))</f>
        <v/>
      </c>
      <c r="D1387" s="5">
        <f>IF(A1387="","",IFERROR(VLOOKUP(B1387,TblArticles,3,FALSE),""))</f>
        <v/>
      </c>
      <c r="E1387" s="6">
        <f>IFERROR(DATE(2000+VALUE(MID(A1387,FIND("15",A1387,FIND("01",A1387)+16)+2,2)),VALUE(MID(A1387,FIND("15",A1387,FIND("01",A1387)+16)+4,2)),VALUE(MID(A1387,FIND("15",A1387,FIND("01",A1387)+16)+6,2))),"")</f>
        <v/>
      </c>
      <c r="F1387" s="5">
        <f>IFERROR(MID(A1387,FIND("10",A1387,FIND("15",A1387,FIND("01",A1387)+16)+8)+2,50),"")</f>
        <v/>
      </c>
      <c r="G1387" s="5" t="n"/>
    </row>
    <row r="1388">
      <c r="A1388" s="7" t="n"/>
      <c r="B1388" s="8">
        <f>IFERROR(MID(A1388,FIND("01",A1388)+2,14),"")</f>
        <v/>
      </c>
      <c r="C1388" s="7">
        <f>IF(A1388="","",IFERROR(VLOOKUP(B1388,TblArticles,2,FALSE),"GTIN inconnu"))</f>
        <v/>
      </c>
      <c r="D1388" s="8">
        <f>IF(A1388="","",IFERROR(VLOOKUP(B1388,TblArticles,3,FALSE),""))</f>
        <v/>
      </c>
      <c r="E1388" s="9">
        <f>IFERROR(DATE(2000+VALUE(MID(A1388,FIND("15",A1388,FIND("01",A1388)+16)+2,2)),VALUE(MID(A1388,FIND("15",A1388,FIND("01",A1388)+16)+4,2)),VALUE(MID(A1388,FIND("15",A1388,FIND("01",A1388)+16)+6,2))),"")</f>
        <v/>
      </c>
      <c r="F1388" s="8">
        <f>IFERROR(MID(A1388,FIND("10",A1388,FIND("15",A1388,FIND("01",A1388)+16)+8)+2,50),"")</f>
        <v/>
      </c>
      <c r="G1388" s="8" t="n"/>
    </row>
    <row r="1389">
      <c r="A1389" s="4" t="n"/>
      <c r="B1389" s="5">
        <f>IFERROR(MID(A1389,FIND("01",A1389)+2,14),"")</f>
        <v/>
      </c>
      <c r="C1389" s="4">
        <f>IF(A1389="","",IFERROR(VLOOKUP(B1389,TblArticles,2,FALSE),"GTIN inconnu"))</f>
        <v/>
      </c>
      <c r="D1389" s="5">
        <f>IF(A1389="","",IFERROR(VLOOKUP(B1389,TblArticles,3,FALSE),""))</f>
        <v/>
      </c>
      <c r="E1389" s="6">
        <f>IFERROR(DATE(2000+VALUE(MID(A1389,FIND("15",A1389,FIND("01",A1389)+16)+2,2)),VALUE(MID(A1389,FIND("15",A1389,FIND("01",A1389)+16)+4,2)),VALUE(MID(A1389,FIND("15",A1389,FIND("01",A1389)+16)+6,2))),"")</f>
        <v/>
      </c>
      <c r="F1389" s="5">
        <f>IFERROR(MID(A1389,FIND("10",A1389,FIND("15",A1389,FIND("01",A1389)+16)+8)+2,50),"")</f>
        <v/>
      </c>
      <c r="G1389" s="5" t="n"/>
    </row>
    <row r="1390">
      <c r="A1390" s="7" t="n"/>
      <c r="B1390" s="8">
        <f>IFERROR(MID(A1390,FIND("01",A1390)+2,14),"")</f>
        <v/>
      </c>
      <c r="C1390" s="7">
        <f>IF(A1390="","",IFERROR(VLOOKUP(B1390,TblArticles,2,FALSE),"GTIN inconnu"))</f>
        <v/>
      </c>
      <c r="D1390" s="8">
        <f>IF(A1390="","",IFERROR(VLOOKUP(B1390,TblArticles,3,FALSE),""))</f>
        <v/>
      </c>
      <c r="E1390" s="9">
        <f>IFERROR(DATE(2000+VALUE(MID(A1390,FIND("15",A1390,FIND("01",A1390)+16)+2,2)),VALUE(MID(A1390,FIND("15",A1390,FIND("01",A1390)+16)+4,2)),VALUE(MID(A1390,FIND("15",A1390,FIND("01",A1390)+16)+6,2))),"")</f>
        <v/>
      </c>
      <c r="F1390" s="8">
        <f>IFERROR(MID(A1390,FIND("10",A1390,FIND("15",A1390,FIND("01",A1390)+16)+8)+2,50),"")</f>
        <v/>
      </c>
      <c r="G1390" s="8" t="n"/>
    </row>
    <row r="1391">
      <c r="A1391" s="4" t="n"/>
      <c r="B1391" s="5">
        <f>IFERROR(MID(A1391,FIND("01",A1391)+2,14),"")</f>
        <v/>
      </c>
      <c r="C1391" s="4">
        <f>IF(A1391="","",IFERROR(VLOOKUP(B1391,TblArticles,2,FALSE),"GTIN inconnu"))</f>
        <v/>
      </c>
      <c r="D1391" s="5">
        <f>IF(A1391="","",IFERROR(VLOOKUP(B1391,TblArticles,3,FALSE),""))</f>
        <v/>
      </c>
      <c r="E1391" s="6">
        <f>IFERROR(DATE(2000+VALUE(MID(A1391,FIND("15",A1391,FIND("01",A1391)+16)+2,2)),VALUE(MID(A1391,FIND("15",A1391,FIND("01",A1391)+16)+4,2)),VALUE(MID(A1391,FIND("15",A1391,FIND("01",A1391)+16)+6,2))),"")</f>
        <v/>
      </c>
      <c r="F1391" s="5">
        <f>IFERROR(MID(A1391,FIND("10",A1391,FIND("15",A1391,FIND("01",A1391)+16)+8)+2,50),"")</f>
        <v/>
      </c>
      <c r="G1391" s="5" t="n"/>
    </row>
    <row r="1392">
      <c r="A1392" s="7" t="n"/>
      <c r="B1392" s="8">
        <f>IFERROR(MID(A1392,FIND("01",A1392)+2,14),"")</f>
        <v/>
      </c>
      <c r="C1392" s="7">
        <f>IF(A1392="","",IFERROR(VLOOKUP(B1392,TblArticles,2,FALSE),"GTIN inconnu"))</f>
        <v/>
      </c>
      <c r="D1392" s="8">
        <f>IF(A1392="","",IFERROR(VLOOKUP(B1392,TblArticles,3,FALSE),""))</f>
        <v/>
      </c>
      <c r="E1392" s="9">
        <f>IFERROR(DATE(2000+VALUE(MID(A1392,FIND("15",A1392,FIND("01",A1392)+16)+2,2)),VALUE(MID(A1392,FIND("15",A1392,FIND("01",A1392)+16)+4,2)),VALUE(MID(A1392,FIND("15",A1392,FIND("01",A1392)+16)+6,2))),"")</f>
        <v/>
      </c>
      <c r="F1392" s="8">
        <f>IFERROR(MID(A1392,FIND("10",A1392,FIND("15",A1392,FIND("01",A1392)+16)+8)+2,50),"")</f>
        <v/>
      </c>
      <c r="G1392" s="8" t="n"/>
    </row>
    <row r="1393">
      <c r="A1393" s="4" t="n"/>
      <c r="B1393" s="5">
        <f>IFERROR(MID(A1393,FIND("01",A1393)+2,14),"")</f>
        <v/>
      </c>
      <c r="C1393" s="4">
        <f>IF(A1393="","",IFERROR(VLOOKUP(B1393,TblArticles,2,FALSE),"GTIN inconnu"))</f>
        <v/>
      </c>
      <c r="D1393" s="5">
        <f>IF(A1393="","",IFERROR(VLOOKUP(B1393,TblArticles,3,FALSE),""))</f>
        <v/>
      </c>
      <c r="E1393" s="6">
        <f>IFERROR(DATE(2000+VALUE(MID(A1393,FIND("15",A1393,FIND("01",A1393)+16)+2,2)),VALUE(MID(A1393,FIND("15",A1393,FIND("01",A1393)+16)+4,2)),VALUE(MID(A1393,FIND("15",A1393,FIND("01",A1393)+16)+6,2))),"")</f>
        <v/>
      </c>
      <c r="F1393" s="5">
        <f>IFERROR(MID(A1393,FIND("10",A1393,FIND("15",A1393,FIND("01",A1393)+16)+8)+2,50),"")</f>
        <v/>
      </c>
      <c r="G1393" s="5" t="n"/>
    </row>
    <row r="1394">
      <c r="A1394" s="7" t="n"/>
      <c r="B1394" s="8">
        <f>IFERROR(MID(A1394,FIND("01",A1394)+2,14),"")</f>
        <v/>
      </c>
      <c r="C1394" s="7">
        <f>IF(A1394="","",IFERROR(VLOOKUP(B1394,TblArticles,2,FALSE),"GTIN inconnu"))</f>
        <v/>
      </c>
      <c r="D1394" s="8">
        <f>IF(A1394="","",IFERROR(VLOOKUP(B1394,TblArticles,3,FALSE),""))</f>
        <v/>
      </c>
      <c r="E1394" s="9">
        <f>IFERROR(DATE(2000+VALUE(MID(A1394,FIND("15",A1394,FIND("01",A1394)+16)+2,2)),VALUE(MID(A1394,FIND("15",A1394,FIND("01",A1394)+16)+4,2)),VALUE(MID(A1394,FIND("15",A1394,FIND("01",A1394)+16)+6,2))),"")</f>
        <v/>
      </c>
      <c r="F1394" s="8">
        <f>IFERROR(MID(A1394,FIND("10",A1394,FIND("15",A1394,FIND("01",A1394)+16)+8)+2,50),"")</f>
        <v/>
      </c>
      <c r="G1394" s="8" t="n"/>
    </row>
    <row r="1395">
      <c r="A1395" s="4" t="n"/>
      <c r="B1395" s="5">
        <f>IFERROR(MID(A1395,FIND("01",A1395)+2,14),"")</f>
        <v/>
      </c>
      <c r="C1395" s="4">
        <f>IF(A1395="","",IFERROR(VLOOKUP(B1395,TblArticles,2,FALSE),"GTIN inconnu"))</f>
        <v/>
      </c>
      <c r="D1395" s="5">
        <f>IF(A1395="","",IFERROR(VLOOKUP(B1395,TblArticles,3,FALSE),""))</f>
        <v/>
      </c>
      <c r="E1395" s="6">
        <f>IFERROR(DATE(2000+VALUE(MID(A1395,FIND("15",A1395,FIND("01",A1395)+16)+2,2)),VALUE(MID(A1395,FIND("15",A1395,FIND("01",A1395)+16)+4,2)),VALUE(MID(A1395,FIND("15",A1395,FIND("01",A1395)+16)+6,2))),"")</f>
        <v/>
      </c>
      <c r="F1395" s="5">
        <f>IFERROR(MID(A1395,FIND("10",A1395,FIND("15",A1395,FIND("01",A1395)+16)+8)+2,50),"")</f>
        <v/>
      </c>
      <c r="G1395" s="5" t="n"/>
    </row>
    <row r="1396">
      <c r="A1396" s="7" t="n"/>
      <c r="B1396" s="8">
        <f>IFERROR(MID(A1396,FIND("01",A1396)+2,14),"")</f>
        <v/>
      </c>
      <c r="C1396" s="7">
        <f>IF(A1396="","",IFERROR(VLOOKUP(B1396,TblArticles,2,FALSE),"GTIN inconnu"))</f>
        <v/>
      </c>
      <c r="D1396" s="8">
        <f>IF(A1396="","",IFERROR(VLOOKUP(B1396,TblArticles,3,FALSE),""))</f>
        <v/>
      </c>
      <c r="E1396" s="9">
        <f>IFERROR(DATE(2000+VALUE(MID(A1396,FIND("15",A1396,FIND("01",A1396)+16)+2,2)),VALUE(MID(A1396,FIND("15",A1396,FIND("01",A1396)+16)+4,2)),VALUE(MID(A1396,FIND("15",A1396,FIND("01",A1396)+16)+6,2))),"")</f>
        <v/>
      </c>
      <c r="F1396" s="8">
        <f>IFERROR(MID(A1396,FIND("10",A1396,FIND("15",A1396,FIND("01",A1396)+16)+8)+2,50),"")</f>
        <v/>
      </c>
      <c r="G1396" s="8" t="n"/>
    </row>
    <row r="1397">
      <c r="A1397" s="4" t="n"/>
      <c r="B1397" s="5">
        <f>IFERROR(MID(A1397,FIND("01",A1397)+2,14),"")</f>
        <v/>
      </c>
      <c r="C1397" s="4">
        <f>IF(A1397="","",IFERROR(VLOOKUP(B1397,TblArticles,2,FALSE),"GTIN inconnu"))</f>
        <v/>
      </c>
      <c r="D1397" s="5">
        <f>IF(A1397="","",IFERROR(VLOOKUP(B1397,TblArticles,3,FALSE),""))</f>
        <v/>
      </c>
      <c r="E1397" s="6">
        <f>IFERROR(DATE(2000+VALUE(MID(A1397,FIND("15",A1397,FIND("01",A1397)+16)+2,2)),VALUE(MID(A1397,FIND("15",A1397,FIND("01",A1397)+16)+4,2)),VALUE(MID(A1397,FIND("15",A1397,FIND("01",A1397)+16)+6,2))),"")</f>
        <v/>
      </c>
      <c r="F1397" s="5">
        <f>IFERROR(MID(A1397,FIND("10",A1397,FIND("15",A1397,FIND("01",A1397)+16)+8)+2,50),"")</f>
        <v/>
      </c>
      <c r="G1397" s="5" t="n"/>
    </row>
    <row r="1398">
      <c r="A1398" s="7" t="n"/>
      <c r="B1398" s="8">
        <f>IFERROR(MID(A1398,FIND("01",A1398)+2,14),"")</f>
        <v/>
      </c>
      <c r="C1398" s="7">
        <f>IF(A1398="","",IFERROR(VLOOKUP(B1398,TblArticles,2,FALSE),"GTIN inconnu"))</f>
        <v/>
      </c>
      <c r="D1398" s="8">
        <f>IF(A1398="","",IFERROR(VLOOKUP(B1398,TblArticles,3,FALSE),""))</f>
        <v/>
      </c>
      <c r="E1398" s="9">
        <f>IFERROR(DATE(2000+VALUE(MID(A1398,FIND("15",A1398,FIND("01",A1398)+16)+2,2)),VALUE(MID(A1398,FIND("15",A1398,FIND("01",A1398)+16)+4,2)),VALUE(MID(A1398,FIND("15",A1398,FIND("01",A1398)+16)+6,2))),"")</f>
        <v/>
      </c>
      <c r="F1398" s="8">
        <f>IFERROR(MID(A1398,FIND("10",A1398,FIND("15",A1398,FIND("01",A1398)+16)+8)+2,50),"")</f>
        <v/>
      </c>
      <c r="G1398" s="8" t="n"/>
    </row>
    <row r="1399">
      <c r="A1399" s="4" t="n"/>
      <c r="B1399" s="5">
        <f>IFERROR(MID(A1399,FIND("01",A1399)+2,14),"")</f>
        <v/>
      </c>
      <c r="C1399" s="4">
        <f>IF(A1399="","",IFERROR(VLOOKUP(B1399,TblArticles,2,FALSE),"GTIN inconnu"))</f>
        <v/>
      </c>
      <c r="D1399" s="5">
        <f>IF(A1399="","",IFERROR(VLOOKUP(B1399,TblArticles,3,FALSE),""))</f>
        <v/>
      </c>
      <c r="E1399" s="6">
        <f>IFERROR(DATE(2000+VALUE(MID(A1399,FIND("15",A1399,FIND("01",A1399)+16)+2,2)),VALUE(MID(A1399,FIND("15",A1399,FIND("01",A1399)+16)+4,2)),VALUE(MID(A1399,FIND("15",A1399,FIND("01",A1399)+16)+6,2))),"")</f>
        <v/>
      </c>
      <c r="F1399" s="5">
        <f>IFERROR(MID(A1399,FIND("10",A1399,FIND("15",A1399,FIND("01",A1399)+16)+8)+2,50),"")</f>
        <v/>
      </c>
      <c r="G1399" s="5" t="n"/>
    </row>
    <row r="1400">
      <c r="A1400" s="7" t="n"/>
      <c r="B1400" s="8">
        <f>IFERROR(MID(A1400,FIND("01",A1400)+2,14),"")</f>
        <v/>
      </c>
      <c r="C1400" s="7">
        <f>IF(A1400="","",IFERROR(VLOOKUP(B1400,TblArticles,2,FALSE),"GTIN inconnu"))</f>
        <v/>
      </c>
      <c r="D1400" s="8">
        <f>IF(A1400="","",IFERROR(VLOOKUP(B1400,TblArticles,3,FALSE),""))</f>
        <v/>
      </c>
      <c r="E1400" s="9">
        <f>IFERROR(DATE(2000+VALUE(MID(A1400,FIND("15",A1400,FIND("01",A1400)+16)+2,2)),VALUE(MID(A1400,FIND("15",A1400,FIND("01",A1400)+16)+4,2)),VALUE(MID(A1400,FIND("15",A1400,FIND("01",A1400)+16)+6,2))),"")</f>
        <v/>
      </c>
      <c r="F1400" s="8">
        <f>IFERROR(MID(A1400,FIND("10",A1400,FIND("15",A1400,FIND("01",A1400)+16)+8)+2,50),"")</f>
        <v/>
      </c>
      <c r="G1400" s="8" t="n"/>
    </row>
    <row r="1401">
      <c r="A1401" s="4" t="n"/>
      <c r="B1401" s="5">
        <f>IFERROR(MID(A1401,FIND("01",A1401)+2,14),"")</f>
        <v/>
      </c>
      <c r="C1401" s="4">
        <f>IF(A1401="","",IFERROR(VLOOKUP(B1401,TblArticles,2,FALSE),"GTIN inconnu"))</f>
        <v/>
      </c>
      <c r="D1401" s="5">
        <f>IF(A1401="","",IFERROR(VLOOKUP(B1401,TblArticles,3,FALSE),""))</f>
        <v/>
      </c>
      <c r="E1401" s="6">
        <f>IFERROR(DATE(2000+VALUE(MID(A1401,FIND("15",A1401,FIND("01",A1401)+16)+2,2)),VALUE(MID(A1401,FIND("15",A1401,FIND("01",A1401)+16)+4,2)),VALUE(MID(A1401,FIND("15",A1401,FIND("01",A1401)+16)+6,2))),"")</f>
        <v/>
      </c>
      <c r="F1401" s="5">
        <f>IFERROR(MID(A1401,FIND("10",A1401,FIND("15",A1401,FIND("01",A1401)+16)+8)+2,50),"")</f>
        <v/>
      </c>
      <c r="G1401" s="5" t="n"/>
    </row>
    <row r="1402">
      <c r="A1402" s="7" t="n"/>
      <c r="B1402" s="8">
        <f>IFERROR(MID(A1402,FIND("01",A1402)+2,14),"")</f>
        <v/>
      </c>
      <c r="C1402" s="7">
        <f>IF(A1402="","",IFERROR(VLOOKUP(B1402,TblArticles,2,FALSE),"GTIN inconnu"))</f>
        <v/>
      </c>
      <c r="D1402" s="8">
        <f>IF(A1402="","",IFERROR(VLOOKUP(B1402,TblArticles,3,FALSE),""))</f>
        <v/>
      </c>
      <c r="E1402" s="9">
        <f>IFERROR(DATE(2000+VALUE(MID(A1402,FIND("15",A1402,FIND("01",A1402)+16)+2,2)),VALUE(MID(A1402,FIND("15",A1402,FIND("01",A1402)+16)+4,2)),VALUE(MID(A1402,FIND("15",A1402,FIND("01",A1402)+16)+6,2))),"")</f>
        <v/>
      </c>
      <c r="F1402" s="8">
        <f>IFERROR(MID(A1402,FIND("10",A1402,FIND("15",A1402,FIND("01",A1402)+16)+8)+2,50),"")</f>
        <v/>
      </c>
      <c r="G1402" s="8" t="n"/>
    </row>
    <row r="1403">
      <c r="A1403" s="4" t="n"/>
      <c r="B1403" s="5">
        <f>IFERROR(MID(A1403,FIND("01",A1403)+2,14),"")</f>
        <v/>
      </c>
      <c r="C1403" s="4">
        <f>IF(A1403="","",IFERROR(VLOOKUP(B1403,TblArticles,2,FALSE),"GTIN inconnu"))</f>
        <v/>
      </c>
      <c r="D1403" s="5">
        <f>IF(A1403="","",IFERROR(VLOOKUP(B1403,TblArticles,3,FALSE),""))</f>
        <v/>
      </c>
      <c r="E1403" s="6">
        <f>IFERROR(DATE(2000+VALUE(MID(A1403,FIND("15",A1403,FIND("01",A1403)+16)+2,2)),VALUE(MID(A1403,FIND("15",A1403,FIND("01",A1403)+16)+4,2)),VALUE(MID(A1403,FIND("15",A1403,FIND("01",A1403)+16)+6,2))),"")</f>
        <v/>
      </c>
      <c r="F1403" s="5">
        <f>IFERROR(MID(A1403,FIND("10",A1403,FIND("15",A1403,FIND("01",A1403)+16)+8)+2,50),"")</f>
        <v/>
      </c>
      <c r="G1403" s="5" t="n"/>
    </row>
    <row r="1404">
      <c r="A1404" s="7" t="n"/>
      <c r="B1404" s="8">
        <f>IFERROR(MID(A1404,FIND("01",A1404)+2,14),"")</f>
        <v/>
      </c>
      <c r="C1404" s="7">
        <f>IF(A1404="","",IFERROR(VLOOKUP(B1404,TblArticles,2,FALSE),"GTIN inconnu"))</f>
        <v/>
      </c>
      <c r="D1404" s="8">
        <f>IF(A1404="","",IFERROR(VLOOKUP(B1404,TblArticles,3,FALSE),""))</f>
        <v/>
      </c>
      <c r="E1404" s="9">
        <f>IFERROR(DATE(2000+VALUE(MID(A1404,FIND("15",A1404,FIND("01",A1404)+16)+2,2)),VALUE(MID(A1404,FIND("15",A1404,FIND("01",A1404)+16)+4,2)),VALUE(MID(A1404,FIND("15",A1404,FIND("01",A1404)+16)+6,2))),"")</f>
        <v/>
      </c>
      <c r="F1404" s="8">
        <f>IFERROR(MID(A1404,FIND("10",A1404,FIND("15",A1404,FIND("01",A1404)+16)+8)+2,50),"")</f>
        <v/>
      </c>
      <c r="G1404" s="8" t="n"/>
    </row>
    <row r="1405">
      <c r="A1405" s="4" t="n"/>
      <c r="B1405" s="5">
        <f>IFERROR(MID(A1405,FIND("01",A1405)+2,14),"")</f>
        <v/>
      </c>
      <c r="C1405" s="4">
        <f>IF(A1405="","",IFERROR(VLOOKUP(B1405,TblArticles,2,FALSE),"GTIN inconnu"))</f>
        <v/>
      </c>
      <c r="D1405" s="5">
        <f>IF(A1405="","",IFERROR(VLOOKUP(B1405,TblArticles,3,FALSE),""))</f>
        <v/>
      </c>
      <c r="E1405" s="6">
        <f>IFERROR(DATE(2000+VALUE(MID(A1405,FIND("15",A1405,FIND("01",A1405)+16)+2,2)),VALUE(MID(A1405,FIND("15",A1405,FIND("01",A1405)+16)+4,2)),VALUE(MID(A1405,FIND("15",A1405,FIND("01",A1405)+16)+6,2))),"")</f>
        <v/>
      </c>
      <c r="F1405" s="5">
        <f>IFERROR(MID(A1405,FIND("10",A1405,FIND("15",A1405,FIND("01",A1405)+16)+8)+2,50),"")</f>
        <v/>
      </c>
      <c r="G1405" s="5" t="n"/>
    </row>
    <row r="1406">
      <c r="A1406" s="7" t="n"/>
      <c r="B1406" s="8">
        <f>IFERROR(MID(A1406,FIND("01",A1406)+2,14),"")</f>
        <v/>
      </c>
      <c r="C1406" s="7">
        <f>IF(A1406="","",IFERROR(VLOOKUP(B1406,TblArticles,2,FALSE),"GTIN inconnu"))</f>
        <v/>
      </c>
      <c r="D1406" s="8">
        <f>IF(A1406="","",IFERROR(VLOOKUP(B1406,TblArticles,3,FALSE),""))</f>
        <v/>
      </c>
      <c r="E1406" s="9">
        <f>IFERROR(DATE(2000+VALUE(MID(A1406,FIND("15",A1406,FIND("01",A1406)+16)+2,2)),VALUE(MID(A1406,FIND("15",A1406,FIND("01",A1406)+16)+4,2)),VALUE(MID(A1406,FIND("15",A1406,FIND("01",A1406)+16)+6,2))),"")</f>
        <v/>
      </c>
      <c r="F1406" s="8">
        <f>IFERROR(MID(A1406,FIND("10",A1406,FIND("15",A1406,FIND("01",A1406)+16)+8)+2,50),"")</f>
        <v/>
      </c>
      <c r="G1406" s="8" t="n"/>
    </row>
    <row r="1407">
      <c r="A1407" s="4" t="n"/>
      <c r="B1407" s="5">
        <f>IFERROR(MID(A1407,FIND("01",A1407)+2,14),"")</f>
        <v/>
      </c>
      <c r="C1407" s="4">
        <f>IF(A1407="","",IFERROR(VLOOKUP(B1407,TblArticles,2,FALSE),"GTIN inconnu"))</f>
        <v/>
      </c>
      <c r="D1407" s="5">
        <f>IF(A1407="","",IFERROR(VLOOKUP(B1407,TblArticles,3,FALSE),""))</f>
        <v/>
      </c>
      <c r="E1407" s="6">
        <f>IFERROR(DATE(2000+VALUE(MID(A1407,FIND("15",A1407,FIND("01",A1407)+16)+2,2)),VALUE(MID(A1407,FIND("15",A1407,FIND("01",A1407)+16)+4,2)),VALUE(MID(A1407,FIND("15",A1407,FIND("01",A1407)+16)+6,2))),"")</f>
        <v/>
      </c>
      <c r="F1407" s="5">
        <f>IFERROR(MID(A1407,FIND("10",A1407,FIND("15",A1407,FIND("01",A1407)+16)+8)+2,50),"")</f>
        <v/>
      </c>
      <c r="G1407" s="5" t="n"/>
    </row>
    <row r="1408">
      <c r="A1408" s="7" t="n"/>
      <c r="B1408" s="8">
        <f>IFERROR(MID(A1408,FIND("01",A1408)+2,14),"")</f>
        <v/>
      </c>
      <c r="C1408" s="7">
        <f>IF(A1408="","",IFERROR(VLOOKUP(B1408,TblArticles,2,FALSE),"GTIN inconnu"))</f>
        <v/>
      </c>
      <c r="D1408" s="8">
        <f>IF(A1408="","",IFERROR(VLOOKUP(B1408,TblArticles,3,FALSE),""))</f>
        <v/>
      </c>
      <c r="E1408" s="9">
        <f>IFERROR(DATE(2000+VALUE(MID(A1408,FIND("15",A1408,FIND("01",A1408)+16)+2,2)),VALUE(MID(A1408,FIND("15",A1408,FIND("01",A1408)+16)+4,2)),VALUE(MID(A1408,FIND("15",A1408,FIND("01",A1408)+16)+6,2))),"")</f>
        <v/>
      </c>
      <c r="F1408" s="8">
        <f>IFERROR(MID(A1408,FIND("10",A1408,FIND("15",A1408,FIND("01",A1408)+16)+8)+2,50),"")</f>
        <v/>
      </c>
      <c r="G1408" s="8" t="n"/>
    </row>
    <row r="1409">
      <c r="A1409" s="4" t="n"/>
      <c r="B1409" s="5">
        <f>IFERROR(MID(A1409,FIND("01",A1409)+2,14),"")</f>
        <v/>
      </c>
      <c r="C1409" s="4">
        <f>IF(A1409="","",IFERROR(VLOOKUP(B1409,TblArticles,2,FALSE),"GTIN inconnu"))</f>
        <v/>
      </c>
      <c r="D1409" s="5">
        <f>IF(A1409="","",IFERROR(VLOOKUP(B1409,TblArticles,3,FALSE),""))</f>
        <v/>
      </c>
      <c r="E1409" s="6">
        <f>IFERROR(DATE(2000+VALUE(MID(A1409,FIND("15",A1409,FIND("01",A1409)+16)+2,2)),VALUE(MID(A1409,FIND("15",A1409,FIND("01",A1409)+16)+4,2)),VALUE(MID(A1409,FIND("15",A1409,FIND("01",A1409)+16)+6,2))),"")</f>
        <v/>
      </c>
      <c r="F1409" s="5">
        <f>IFERROR(MID(A1409,FIND("10",A1409,FIND("15",A1409,FIND("01",A1409)+16)+8)+2,50),"")</f>
        <v/>
      </c>
      <c r="G1409" s="5" t="n"/>
    </row>
    <row r="1410">
      <c r="A1410" s="7" t="n"/>
      <c r="B1410" s="8">
        <f>IFERROR(MID(A1410,FIND("01",A1410)+2,14),"")</f>
        <v/>
      </c>
      <c r="C1410" s="7">
        <f>IF(A1410="","",IFERROR(VLOOKUP(B1410,TblArticles,2,FALSE),"GTIN inconnu"))</f>
        <v/>
      </c>
      <c r="D1410" s="8">
        <f>IF(A1410="","",IFERROR(VLOOKUP(B1410,TblArticles,3,FALSE),""))</f>
        <v/>
      </c>
      <c r="E1410" s="9">
        <f>IFERROR(DATE(2000+VALUE(MID(A1410,FIND("15",A1410,FIND("01",A1410)+16)+2,2)),VALUE(MID(A1410,FIND("15",A1410,FIND("01",A1410)+16)+4,2)),VALUE(MID(A1410,FIND("15",A1410,FIND("01",A1410)+16)+6,2))),"")</f>
        <v/>
      </c>
      <c r="F1410" s="8">
        <f>IFERROR(MID(A1410,FIND("10",A1410,FIND("15",A1410,FIND("01",A1410)+16)+8)+2,50),"")</f>
        <v/>
      </c>
      <c r="G1410" s="8" t="n"/>
    </row>
    <row r="1411">
      <c r="A1411" s="4" t="n"/>
      <c r="B1411" s="5">
        <f>IFERROR(MID(A1411,FIND("01",A1411)+2,14),"")</f>
        <v/>
      </c>
      <c r="C1411" s="4">
        <f>IF(A1411="","",IFERROR(VLOOKUP(B1411,TblArticles,2,FALSE),"GTIN inconnu"))</f>
        <v/>
      </c>
      <c r="D1411" s="5">
        <f>IF(A1411="","",IFERROR(VLOOKUP(B1411,TblArticles,3,FALSE),""))</f>
        <v/>
      </c>
      <c r="E1411" s="6">
        <f>IFERROR(DATE(2000+VALUE(MID(A1411,FIND("15",A1411,FIND("01",A1411)+16)+2,2)),VALUE(MID(A1411,FIND("15",A1411,FIND("01",A1411)+16)+4,2)),VALUE(MID(A1411,FIND("15",A1411,FIND("01",A1411)+16)+6,2))),"")</f>
        <v/>
      </c>
      <c r="F1411" s="5">
        <f>IFERROR(MID(A1411,FIND("10",A1411,FIND("15",A1411,FIND("01",A1411)+16)+8)+2,50),"")</f>
        <v/>
      </c>
      <c r="G1411" s="5" t="n"/>
    </row>
    <row r="1412">
      <c r="A1412" s="7" t="n"/>
      <c r="B1412" s="8">
        <f>IFERROR(MID(A1412,FIND("01",A1412)+2,14),"")</f>
        <v/>
      </c>
      <c r="C1412" s="7">
        <f>IF(A1412="","",IFERROR(VLOOKUP(B1412,TblArticles,2,FALSE),"GTIN inconnu"))</f>
        <v/>
      </c>
      <c r="D1412" s="8">
        <f>IF(A1412="","",IFERROR(VLOOKUP(B1412,TblArticles,3,FALSE),""))</f>
        <v/>
      </c>
      <c r="E1412" s="9">
        <f>IFERROR(DATE(2000+VALUE(MID(A1412,FIND("15",A1412,FIND("01",A1412)+16)+2,2)),VALUE(MID(A1412,FIND("15",A1412,FIND("01",A1412)+16)+4,2)),VALUE(MID(A1412,FIND("15",A1412,FIND("01",A1412)+16)+6,2))),"")</f>
        <v/>
      </c>
      <c r="F1412" s="8">
        <f>IFERROR(MID(A1412,FIND("10",A1412,FIND("15",A1412,FIND("01",A1412)+16)+8)+2,50),"")</f>
        <v/>
      </c>
      <c r="G1412" s="8" t="n"/>
    </row>
    <row r="1413">
      <c r="A1413" s="4" t="n"/>
      <c r="B1413" s="5">
        <f>IFERROR(MID(A1413,FIND("01",A1413)+2,14),"")</f>
        <v/>
      </c>
      <c r="C1413" s="4">
        <f>IF(A1413="","",IFERROR(VLOOKUP(B1413,TblArticles,2,FALSE),"GTIN inconnu"))</f>
        <v/>
      </c>
      <c r="D1413" s="5">
        <f>IF(A1413="","",IFERROR(VLOOKUP(B1413,TblArticles,3,FALSE),""))</f>
        <v/>
      </c>
      <c r="E1413" s="6">
        <f>IFERROR(DATE(2000+VALUE(MID(A1413,FIND("15",A1413,FIND("01",A1413)+16)+2,2)),VALUE(MID(A1413,FIND("15",A1413,FIND("01",A1413)+16)+4,2)),VALUE(MID(A1413,FIND("15",A1413,FIND("01",A1413)+16)+6,2))),"")</f>
        <v/>
      </c>
      <c r="F1413" s="5">
        <f>IFERROR(MID(A1413,FIND("10",A1413,FIND("15",A1413,FIND("01",A1413)+16)+8)+2,50),"")</f>
        <v/>
      </c>
      <c r="G1413" s="5" t="n"/>
    </row>
    <row r="1414">
      <c r="A1414" s="7" t="n"/>
      <c r="B1414" s="8">
        <f>IFERROR(MID(A1414,FIND("01",A1414)+2,14),"")</f>
        <v/>
      </c>
      <c r="C1414" s="7">
        <f>IF(A1414="","",IFERROR(VLOOKUP(B1414,TblArticles,2,FALSE),"GTIN inconnu"))</f>
        <v/>
      </c>
      <c r="D1414" s="8">
        <f>IF(A1414="","",IFERROR(VLOOKUP(B1414,TblArticles,3,FALSE),""))</f>
        <v/>
      </c>
      <c r="E1414" s="9">
        <f>IFERROR(DATE(2000+VALUE(MID(A1414,FIND("15",A1414,FIND("01",A1414)+16)+2,2)),VALUE(MID(A1414,FIND("15",A1414,FIND("01",A1414)+16)+4,2)),VALUE(MID(A1414,FIND("15",A1414,FIND("01",A1414)+16)+6,2))),"")</f>
        <v/>
      </c>
      <c r="F1414" s="8">
        <f>IFERROR(MID(A1414,FIND("10",A1414,FIND("15",A1414,FIND("01",A1414)+16)+8)+2,50),"")</f>
        <v/>
      </c>
      <c r="G1414" s="8" t="n"/>
    </row>
    <row r="1415">
      <c r="A1415" s="4" t="n"/>
      <c r="B1415" s="5">
        <f>IFERROR(MID(A1415,FIND("01",A1415)+2,14),"")</f>
        <v/>
      </c>
      <c r="C1415" s="4">
        <f>IF(A1415="","",IFERROR(VLOOKUP(B1415,TblArticles,2,FALSE),"GTIN inconnu"))</f>
        <v/>
      </c>
      <c r="D1415" s="5">
        <f>IF(A1415="","",IFERROR(VLOOKUP(B1415,TblArticles,3,FALSE),""))</f>
        <v/>
      </c>
      <c r="E1415" s="6">
        <f>IFERROR(DATE(2000+VALUE(MID(A1415,FIND("15",A1415,FIND("01",A1415)+16)+2,2)),VALUE(MID(A1415,FIND("15",A1415,FIND("01",A1415)+16)+4,2)),VALUE(MID(A1415,FIND("15",A1415,FIND("01",A1415)+16)+6,2))),"")</f>
        <v/>
      </c>
      <c r="F1415" s="5">
        <f>IFERROR(MID(A1415,FIND("10",A1415,FIND("15",A1415,FIND("01",A1415)+16)+8)+2,50),"")</f>
        <v/>
      </c>
      <c r="G1415" s="5" t="n"/>
    </row>
    <row r="1416">
      <c r="A1416" s="7" t="n"/>
      <c r="B1416" s="8">
        <f>IFERROR(MID(A1416,FIND("01",A1416)+2,14),"")</f>
        <v/>
      </c>
      <c r="C1416" s="7">
        <f>IF(A1416="","",IFERROR(VLOOKUP(B1416,TblArticles,2,FALSE),"GTIN inconnu"))</f>
        <v/>
      </c>
      <c r="D1416" s="8">
        <f>IF(A1416="","",IFERROR(VLOOKUP(B1416,TblArticles,3,FALSE),""))</f>
        <v/>
      </c>
      <c r="E1416" s="9">
        <f>IFERROR(DATE(2000+VALUE(MID(A1416,FIND("15",A1416,FIND("01",A1416)+16)+2,2)),VALUE(MID(A1416,FIND("15",A1416,FIND("01",A1416)+16)+4,2)),VALUE(MID(A1416,FIND("15",A1416,FIND("01",A1416)+16)+6,2))),"")</f>
        <v/>
      </c>
      <c r="F1416" s="8">
        <f>IFERROR(MID(A1416,FIND("10",A1416,FIND("15",A1416,FIND("01",A1416)+16)+8)+2,50),"")</f>
        <v/>
      </c>
      <c r="G1416" s="8" t="n"/>
    </row>
    <row r="1417">
      <c r="A1417" s="4" t="n"/>
      <c r="B1417" s="5">
        <f>IFERROR(MID(A1417,FIND("01",A1417)+2,14),"")</f>
        <v/>
      </c>
      <c r="C1417" s="4">
        <f>IF(A1417="","",IFERROR(VLOOKUP(B1417,TblArticles,2,FALSE),"GTIN inconnu"))</f>
        <v/>
      </c>
      <c r="D1417" s="5">
        <f>IF(A1417="","",IFERROR(VLOOKUP(B1417,TblArticles,3,FALSE),""))</f>
        <v/>
      </c>
      <c r="E1417" s="6">
        <f>IFERROR(DATE(2000+VALUE(MID(A1417,FIND("15",A1417,FIND("01",A1417)+16)+2,2)),VALUE(MID(A1417,FIND("15",A1417,FIND("01",A1417)+16)+4,2)),VALUE(MID(A1417,FIND("15",A1417,FIND("01",A1417)+16)+6,2))),"")</f>
        <v/>
      </c>
      <c r="F1417" s="5">
        <f>IFERROR(MID(A1417,FIND("10",A1417,FIND("15",A1417,FIND("01",A1417)+16)+8)+2,50),"")</f>
        <v/>
      </c>
      <c r="G1417" s="5" t="n"/>
    </row>
    <row r="1418">
      <c r="A1418" s="7" t="n"/>
      <c r="B1418" s="8">
        <f>IFERROR(MID(A1418,FIND("01",A1418)+2,14),"")</f>
        <v/>
      </c>
      <c r="C1418" s="7">
        <f>IF(A1418="","",IFERROR(VLOOKUP(B1418,TblArticles,2,FALSE),"GTIN inconnu"))</f>
        <v/>
      </c>
      <c r="D1418" s="8">
        <f>IF(A1418="","",IFERROR(VLOOKUP(B1418,TblArticles,3,FALSE),""))</f>
        <v/>
      </c>
      <c r="E1418" s="9">
        <f>IFERROR(DATE(2000+VALUE(MID(A1418,FIND("15",A1418,FIND("01",A1418)+16)+2,2)),VALUE(MID(A1418,FIND("15",A1418,FIND("01",A1418)+16)+4,2)),VALUE(MID(A1418,FIND("15",A1418,FIND("01",A1418)+16)+6,2))),"")</f>
        <v/>
      </c>
      <c r="F1418" s="8">
        <f>IFERROR(MID(A1418,FIND("10",A1418,FIND("15",A1418,FIND("01",A1418)+16)+8)+2,50),"")</f>
        <v/>
      </c>
      <c r="G1418" s="8" t="n"/>
    </row>
    <row r="1419">
      <c r="A1419" s="4" t="n"/>
      <c r="B1419" s="5">
        <f>IFERROR(MID(A1419,FIND("01",A1419)+2,14),"")</f>
        <v/>
      </c>
      <c r="C1419" s="4">
        <f>IF(A1419="","",IFERROR(VLOOKUP(B1419,TblArticles,2,FALSE),"GTIN inconnu"))</f>
        <v/>
      </c>
      <c r="D1419" s="5">
        <f>IF(A1419="","",IFERROR(VLOOKUP(B1419,TblArticles,3,FALSE),""))</f>
        <v/>
      </c>
      <c r="E1419" s="6">
        <f>IFERROR(DATE(2000+VALUE(MID(A1419,FIND("15",A1419,FIND("01",A1419)+16)+2,2)),VALUE(MID(A1419,FIND("15",A1419,FIND("01",A1419)+16)+4,2)),VALUE(MID(A1419,FIND("15",A1419,FIND("01",A1419)+16)+6,2))),"")</f>
        <v/>
      </c>
      <c r="F1419" s="5">
        <f>IFERROR(MID(A1419,FIND("10",A1419,FIND("15",A1419,FIND("01",A1419)+16)+8)+2,50),"")</f>
        <v/>
      </c>
      <c r="G1419" s="5" t="n"/>
    </row>
    <row r="1420">
      <c r="A1420" s="7" t="n"/>
      <c r="B1420" s="8">
        <f>IFERROR(MID(A1420,FIND("01",A1420)+2,14),"")</f>
        <v/>
      </c>
      <c r="C1420" s="7">
        <f>IF(A1420="","",IFERROR(VLOOKUP(B1420,TblArticles,2,FALSE),"GTIN inconnu"))</f>
        <v/>
      </c>
      <c r="D1420" s="8">
        <f>IF(A1420="","",IFERROR(VLOOKUP(B1420,TblArticles,3,FALSE),""))</f>
        <v/>
      </c>
      <c r="E1420" s="9">
        <f>IFERROR(DATE(2000+VALUE(MID(A1420,FIND("15",A1420,FIND("01",A1420)+16)+2,2)),VALUE(MID(A1420,FIND("15",A1420,FIND("01",A1420)+16)+4,2)),VALUE(MID(A1420,FIND("15",A1420,FIND("01",A1420)+16)+6,2))),"")</f>
        <v/>
      </c>
      <c r="F1420" s="8">
        <f>IFERROR(MID(A1420,FIND("10",A1420,FIND("15",A1420,FIND("01",A1420)+16)+8)+2,50),"")</f>
        <v/>
      </c>
      <c r="G1420" s="8" t="n"/>
    </row>
    <row r="1421">
      <c r="A1421" s="4" t="n"/>
      <c r="B1421" s="5">
        <f>IFERROR(MID(A1421,FIND("01",A1421)+2,14),"")</f>
        <v/>
      </c>
      <c r="C1421" s="4">
        <f>IF(A1421="","",IFERROR(VLOOKUP(B1421,TblArticles,2,FALSE),"GTIN inconnu"))</f>
        <v/>
      </c>
      <c r="D1421" s="5">
        <f>IF(A1421="","",IFERROR(VLOOKUP(B1421,TblArticles,3,FALSE),""))</f>
        <v/>
      </c>
      <c r="E1421" s="6">
        <f>IFERROR(DATE(2000+VALUE(MID(A1421,FIND("15",A1421,FIND("01",A1421)+16)+2,2)),VALUE(MID(A1421,FIND("15",A1421,FIND("01",A1421)+16)+4,2)),VALUE(MID(A1421,FIND("15",A1421,FIND("01",A1421)+16)+6,2))),"")</f>
        <v/>
      </c>
      <c r="F1421" s="5">
        <f>IFERROR(MID(A1421,FIND("10",A1421,FIND("15",A1421,FIND("01",A1421)+16)+8)+2,50),"")</f>
        <v/>
      </c>
      <c r="G1421" s="5" t="n"/>
    </row>
    <row r="1422">
      <c r="A1422" s="7" t="n"/>
      <c r="B1422" s="8">
        <f>IFERROR(MID(A1422,FIND("01",A1422)+2,14),"")</f>
        <v/>
      </c>
      <c r="C1422" s="7">
        <f>IF(A1422="","",IFERROR(VLOOKUP(B1422,TblArticles,2,FALSE),"GTIN inconnu"))</f>
        <v/>
      </c>
      <c r="D1422" s="8">
        <f>IF(A1422="","",IFERROR(VLOOKUP(B1422,TblArticles,3,FALSE),""))</f>
        <v/>
      </c>
      <c r="E1422" s="9">
        <f>IFERROR(DATE(2000+VALUE(MID(A1422,FIND("15",A1422,FIND("01",A1422)+16)+2,2)),VALUE(MID(A1422,FIND("15",A1422,FIND("01",A1422)+16)+4,2)),VALUE(MID(A1422,FIND("15",A1422,FIND("01",A1422)+16)+6,2))),"")</f>
        <v/>
      </c>
      <c r="F1422" s="8">
        <f>IFERROR(MID(A1422,FIND("10",A1422,FIND("15",A1422,FIND("01",A1422)+16)+8)+2,50),"")</f>
        <v/>
      </c>
      <c r="G1422" s="8" t="n"/>
    </row>
    <row r="1423">
      <c r="A1423" s="4" t="n"/>
      <c r="B1423" s="5">
        <f>IFERROR(MID(A1423,FIND("01",A1423)+2,14),"")</f>
        <v/>
      </c>
      <c r="C1423" s="4">
        <f>IF(A1423="","",IFERROR(VLOOKUP(B1423,TblArticles,2,FALSE),"GTIN inconnu"))</f>
        <v/>
      </c>
      <c r="D1423" s="5">
        <f>IF(A1423="","",IFERROR(VLOOKUP(B1423,TblArticles,3,FALSE),""))</f>
        <v/>
      </c>
      <c r="E1423" s="6">
        <f>IFERROR(DATE(2000+VALUE(MID(A1423,FIND("15",A1423,FIND("01",A1423)+16)+2,2)),VALUE(MID(A1423,FIND("15",A1423,FIND("01",A1423)+16)+4,2)),VALUE(MID(A1423,FIND("15",A1423,FIND("01",A1423)+16)+6,2))),"")</f>
        <v/>
      </c>
      <c r="F1423" s="5">
        <f>IFERROR(MID(A1423,FIND("10",A1423,FIND("15",A1423,FIND("01",A1423)+16)+8)+2,50),"")</f>
        <v/>
      </c>
      <c r="G1423" s="5" t="n"/>
    </row>
    <row r="1424">
      <c r="A1424" s="7" t="n"/>
      <c r="B1424" s="8">
        <f>IFERROR(MID(A1424,FIND("01",A1424)+2,14),"")</f>
        <v/>
      </c>
      <c r="C1424" s="7">
        <f>IF(A1424="","",IFERROR(VLOOKUP(B1424,TblArticles,2,FALSE),"GTIN inconnu"))</f>
        <v/>
      </c>
      <c r="D1424" s="8">
        <f>IF(A1424="","",IFERROR(VLOOKUP(B1424,TblArticles,3,FALSE),""))</f>
        <v/>
      </c>
      <c r="E1424" s="9">
        <f>IFERROR(DATE(2000+VALUE(MID(A1424,FIND("15",A1424,FIND("01",A1424)+16)+2,2)),VALUE(MID(A1424,FIND("15",A1424,FIND("01",A1424)+16)+4,2)),VALUE(MID(A1424,FIND("15",A1424,FIND("01",A1424)+16)+6,2))),"")</f>
        <v/>
      </c>
      <c r="F1424" s="8">
        <f>IFERROR(MID(A1424,FIND("10",A1424,FIND("15",A1424,FIND("01",A1424)+16)+8)+2,50),"")</f>
        <v/>
      </c>
      <c r="G1424" s="8" t="n"/>
    </row>
    <row r="1425">
      <c r="A1425" s="4" t="n"/>
      <c r="B1425" s="5">
        <f>IFERROR(MID(A1425,FIND("01",A1425)+2,14),"")</f>
        <v/>
      </c>
      <c r="C1425" s="4">
        <f>IF(A1425="","",IFERROR(VLOOKUP(B1425,TblArticles,2,FALSE),"GTIN inconnu"))</f>
        <v/>
      </c>
      <c r="D1425" s="5">
        <f>IF(A1425="","",IFERROR(VLOOKUP(B1425,TblArticles,3,FALSE),""))</f>
        <v/>
      </c>
      <c r="E1425" s="6">
        <f>IFERROR(DATE(2000+VALUE(MID(A1425,FIND("15",A1425,FIND("01",A1425)+16)+2,2)),VALUE(MID(A1425,FIND("15",A1425,FIND("01",A1425)+16)+4,2)),VALUE(MID(A1425,FIND("15",A1425,FIND("01",A1425)+16)+6,2))),"")</f>
        <v/>
      </c>
      <c r="F1425" s="5">
        <f>IFERROR(MID(A1425,FIND("10",A1425,FIND("15",A1425,FIND("01",A1425)+16)+8)+2,50),"")</f>
        <v/>
      </c>
      <c r="G1425" s="5" t="n"/>
    </row>
    <row r="1426">
      <c r="A1426" s="7" t="n"/>
      <c r="B1426" s="8">
        <f>IFERROR(MID(A1426,FIND("01",A1426)+2,14),"")</f>
        <v/>
      </c>
      <c r="C1426" s="7">
        <f>IF(A1426="","",IFERROR(VLOOKUP(B1426,TblArticles,2,FALSE),"GTIN inconnu"))</f>
        <v/>
      </c>
      <c r="D1426" s="8">
        <f>IF(A1426="","",IFERROR(VLOOKUP(B1426,TblArticles,3,FALSE),""))</f>
        <v/>
      </c>
      <c r="E1426" s="9">
        <f>IFERROR(DATE(2000+VALUE(MID(A1426,FIND("15",A1426,FIND("01",A1426)+16)+2,2)),VALUE(MID(A1426,FIND("15",A1426,FIND("01",A1426)+16)+4,2)),VALUE(MID(A1426,FIND("15",A1426,FIND("01",A1426)+16)+6,2))),"")</f>
        <v/>
      </c>
      <c r="F1426" s="8">
        <f>IFERROR(MID(A1426,FIND("10",A1426,FIND("15",A1426,FIND("01",A1426)+16)+8)+2,50),"")</f>
        <v/>
      </c>
      <c r="G1426" s="8" t="n"/>
    </row>
    <row r="1427">
      <c r="A1427" s="4" t="n"/>
      <c r="B1427" s="5">
        <f>IFERROR(MID(A1427,FIND("01",A1427)+2,14),"")</f>
        <v/>
      </c>
      <c r="C1427" s="4">
        <f>IF(A1427="","",IFERROR(VLOOKUP(B1427,TblArticles,2,FALSE),"GTIN inconnu"))</f>
        <v/>
      </c>
      <c r="D1427" s="5">
        <f>IF(A1427="","",IFERROR(VLOOKUP(B1427,TblArticles,3,FALSE),""))</f>
        <v/>
      </c>
      <c r="E1427" s="6">
        <f>IFERROR(DATE(2000+VALUE(MID(A1427,FIND("15",A1427,FIND("01",A1427)+16)+2,2)),VALUE(MID(A1427,FIND("15",A1427,FIND("01",A1427)+16)+4,2)),VALUE(MID(A1427,FIND("15",A1427,FIND("01",A1427)+16)+6,2))),"")</f>
        <v/>
      </c>
      <c r="F1427" s="5">
        <f>IFERROR(MID(A1427,FIND("10",A1427,FIND("15",A1427,FIND("01",A1427)+16)+8)+2,50),"")</f>
        <v/>
      </c>
      <c r="G1427" s="5" t="n"/>
    </row>
    <row r="1428">
      <c r="A1428" s="7" t="n"/>
      <c r="B1428" s="8">
        <f>IFERROR(MID(A1428,FIND("01",A1428)+2,14),"")</f>
        <v/>
      </c>
      <c r="C1428" s="7">
        <f>IF(A1428="","",IFERROR(VLOOKUP(B1428,TblArticles,2,FALSE),"GTIN inconnu"))</f>
        <v/>
      </c>
      <c r="D1428" s="8">
        <f>IF(A1428="","",IFERROR(VLOOKUP(B1428,TblArticles,3,FALSE),""))</f>
        <v/>
      </c>
      <c r="E1428" s="9">
        <f>IFERROR(DATE(2000+VALUE(MID(A1428,FIND("15",A1428,FIND("01",A1428)+16)+2,2)),VALUE(MID(A1428,FIND("15",A1428,FIND("01",A1428)+16)+4,2)),VALUE(MID(A1428,FIND("15",A1428,FIND("01",A1428)+16)+6,2))),"")</f>
        <v/>
      </c>
      <c r="F1428" s="8">
        <f>IFERROR(MID(A1428,FIND("10",A1428,FIND("15",A1428,FIND("01",A1428)+16)+8)+2,50),"")</f>
        <v/>
      </c>
      <c r="G1428" s="8" t="n"/>
    </row>
    <row r="1429">
      <c r="A1429" s="4" t="n"/>
      <c r="B1429" s="5">
        <f>IFERROR(MID(A1429,FIND("01",A1429)+2,14),"")</f>
        <v/>
      </c>
      <c r="C1429" s="4">
        <f>IF(A1429="","",IFERROR(VLOOKUP(B1429,TblArticles,2,FALSE),"GTIN inconnu"))</f>
        <v/>
      </c>
      <c r="D1429" s="5">
        <f>IF(A1429="","",IFERROR(VLOOKUP(B1429,TblArticles,3,FALSE),""))</f>
        <v/>
      </c>
      <c r="E1429" s="6">
        <f>IFERROR(DATE(2000+VALUE(MID(A1429,FIND("15",A1429,FIND("01",A1429)+16)+2,2)),VALUE(MID(A1429,FIND("15",A1429,FIND("01",A1429)+16)+4,2)),VALUE(MID(A1429,FIND("15",A1429,FIND("01",A1429)+16)+6,2))),"")</f>
        <v/>
      </c>
      <c r="F1429" s="5">
        <f>IFERROR(MID(A1429,FIND("10",A1429,FIND("15",A1429,FIND("01",A1429)+16)+8)+2,50),"")</f>
        <v/>
      </c>
      <c r="G1429" s="5" t="n"/>
    </row>
    <row r="1430">
      <c r="A1430" s="7" t="n"/>
      <c r="B1430" s="8">
        <f>IFERROR(MID(A1430,FIND("01",A1430)+2,14),"")</f>
        <v/>
      </c>
      <c r="C1430" s="7">
        <f>IF(A1430="","",IFERROR(VLOOKUP(B1430,TblArticles,2,FALSE),"GTIN inconnu"))</f>
        <v/>
      </c>
      <c r="D1430" s="8">
        <f>IF(A1430="","",IFERROR(VLOOKUP(B1430,TblArticles,3,FALSE),""))</f>
        <v/>
      </c>
      <c r="E1430" s="9">
        <f>IFERROR(DATE(2000+VALUE(MID(A1430,FIND("15",A1430,FIND("01",A1430)+16)+2,2)),VALUE(MID(A1430,FIND("15",A1430,FIND("01",A1430)+16)+4,2)),VALUE(MID(A1430,FIND("15",A1430,FIND("01",A1430)+16)+6,2))),"")</f>
        <v/>
      </c>
      <c r="F1430" s="8">
        <f>IFERROR(MID(A1430,FIND("10",A1430,FIND("15",A1430,FIND("01",A1430)+16)+8)+2,50),"")</f>
        <v/>
      </c>
      <c r="G1430" s="8" t="n"/>
    </row>
    <row r="1431">
      <c r="A1431" s="4" t="n"/>
      <c r="B1431" s="5">
        <f>IFERROR(MID(A1431,FIND("01",A1431)+2,14),"")</f>
        <v/>
      </c>
      <c r="C1431" s="4">
        <f>IF(A1431="","",IFERROR(VLOOKUP(B1431,TblArticles,2,FALSE),"GTIN inconnu"))</f>
        <v/>
      </c>
      <c r="D1431" s="5">
        <f>IF(A1431="","",IFERROR(VLOOKUP(B1431,TblArticles,3,FALSE),""))</f>
        <v/>
      </c>
      <c r="E1431" s="6">
        <f>IFERROR(DATE(2000+VALUE(MID(A1431,FIND("15",A1431,FIND("01",A1431)+16)+2,2)),VALUE(MID(A1431,FIND("15",A1431,FIND("01",A1431)+16)+4,2)),VALUE(MID(A1431,FIND("15",A1431,FIND("01",A1431)+16)+6,2))),"")</f>
        <v/>
      </c>
      <c r="F1431" s="5">
        <f>IFERROR(MID(A1431,FIND("10",A1431,FIND("15",A1431,FIND("01",A1431)+16)+8)+2,50),"")</f>
        <v/>
      </c>
      <c r="G1431" s="5" t="n"/>
    </row>
    <row r="1432">
      <c r="A1432" s="7" t="n"/>
      <c r="B1432" s="8">
        <f>IFERROR(MID(A1432,FIND("01",A1432)+2,14),"")</f>
        <v/>
      </c>
      <c r="C1432" s="7">
        <f>IF(A1432="","",IFERROR(VLOOKUP(B1432,TblArticles,2,FALSE),"GTIN inconnu"))</f>
        <v/>
      </c>
      <c r="D1432" s="8">
        <f>IF(A1432="","",IFERROR(VLOOKUP(B1432,TblArticles,3,FALSE),""))</f>
        <v/>
      </c>
      <c r="E1432" s="9">
        <f>IFERROR(DATE(2000+VALUE(MID(A1432,FIND("15",A1432,FIND("01",A1432)+16)+2,2)),VALUE(MID(A1432,FIND("15",A1432,FIND("01",A1432)+16)+4,2)),VALUE(MID(A1432,FIND("15",A1432,FIND("01",A1432)+16)+6,2))),"")</f>
        <v/>
      </c>
      <c r="F1432" s="8">
        <f>IFERROR(MID(A1432,FIND("10",A1432,FIND("15",A1432,FIND("01",A1432)+16)+8)+2,50),"")</f>
        <v/>
      </c>
      <c r="G1432" s="8" t="n"/>
    </row>
    <row r="1433">
      <c r="A1433" s="4" t="n"/>
      <c r="B1433" s="5">
        <f>IFERROR(MID(A1433,FIND("01",A1433)+2,14),"")</f>
        <v/>
      </c>
      <c r="C1433" s="4">
        <f>IF(A1433="","",IFERROR(VLOOKUP(B1433,TblArticles,2,FALSE),"GTIN inconnu"))</f>
        <v/>
      </c>
      <c r="D1433" s="5">
        <f>IF(A1433="","",IFERROR(VLOOKUP(B1433,TblArticles,3,FALSE),""))</f>
        <v/>
      </c>
      <c r="E1433" s="6">
        <f>IFERROR(DATE(2000+VALUE(MID(A1433,FIND("15",A1433,FIND("01",A1433)+16)+2,2)),VALUE(MID(A1433,FIND("15",A1433,FIND("01",A1433)+16)+4,2)),VALUE(MID(A1433,FIND("15",A1433,FIND("01",A1433)+16)+6,2))),"")</f>
        <v/>
      </c>
      <c r="F1433" s="5">
        <f>IFERROR(MID(A1433,FIND("10",A1433,FIND("15",A1433,FIND("01",A1433)+16)+8)+2,50),"")</f>
        <v/>
      </c>
      <c r="G1433" s="5" t="n"/>
    </row>
    <row r="1434">
      <c r="A1434" s="7" t="n"/>
      <c r="B1434" s="8">
        <f>IFERROR(MID(A1434,FIND("01",A1434)+2,14),"")</f>
        <v/>
      </c>
      <c r="C1434" s="7">
        <f>IF(A1434="","",IFERROR(VLOOKUP(B1434,TblArticles,2,FALSE),"GTIN inconnu"))</f>
        <v/>
      </c>
      <c r="D1434" s="8">
        <f>IF(A1434="","",IFERROR(VLOOKUP(B1434,TblArticles,3,FALSE),""))</f>
        <v/>
      </c>
      <c r="E1434" s="9">
        <f>IFERROR(DATE(2000+VALUE(MID(A1434,FIND("15",A1434,FIND("01",A1434)+16)+2,2)),VALUE(MID(A1434,FIND("15",A1434,FIND("01",A1434)+16)+4,2)),VALUE(MID(A1434,FIND("15",A1434,FIND("01",A1434)+16)+6,2))),"")</f>
        <v/>
      </c>
      <c r="F1434" s="8">
        <f>IFERROR(MID(A1434,FIND("10",A1434,FIND("15",A1434,FIND("01",A1434)+16)+8)+2,50),"")</f>
        <v/>
      </c>
      <c r="G1434" s="8" t="n"/>
    </row>
    <row r="1435">
      <c r="A1435" s="4" t="n"/>
      <c r="B1435" s="5">
        <f>IFERROR(MID(A1435,FIND("01",A1435)+2,14),"")</f>
        <v/>
      </c>
      <c r="C1435" s="4">
        <f>IF(A1435="","",IFERROR(VLOOKUP(B1435,TblArticles,2,FALSE),"GTIN inconnu"))</f>
        <v/>
      </c>
      <c r="D1435" s="5">
        <f>IF(A1435="","",IFERROR(VLOOKUP(B1435,TblArticles,3,FALSE),""))</f>
        <v/>
      </c>
      <c r="E1435" s="6">
        <f>IFERROR(DATE(2000+VALUE(MID(A1435,FIND("15",A1435,FIND("01",A1435)+16)+2,2)),VALUE(MID(A1435,FIND("15",A1435,FIND("01",A1435)+16)+4,2)),VALUE(MID(A1435,FIND("15",A1435,FIND("01",A1435)+16)+6,2))),"")</f>
        <v/>
      </c>
      <c r="F1435" s="5">
        <f>IFERROR(MID(A1435,FIND("10",A1435,FIND("15",A1435,FIND("01",A1435)+16)+8)+2,50),"")</f>
        <v/>
      </c>
      <c r="G1435" s="5" t="n"/>
    </row>
    <row r="1436">
      <c r="A1436" s="7" t="n"/>
      <c r="B1436" s="8">
        <f>IFERROR(MID(A1436,FIND("01",A1436)+2,14),"")</f>
        <v/>
      </c>
      <c r="C1436" s="7">
        <f>IF(A1436="","",IFERROR(VLOOKUP(B1436,TblArticles,2,FALSE),"GTIN inconnu"))</f>
        <v/>
      </c>
      <c r="D1436" s="8">
        <f>IF(A1436="","",IFERROR(VLOOKUP(B1436,TblArticles,3,FALSE),""))</f>
        <v/>
      </c>
      <c r="E1436" s="9">
        <f>IFERROR(DATE(2000+VALUE(MID(A1436,FIND("15",A1436,FIND("01",A1436)+16)+2,2)),VALUE(MID(A1436,FIND("15",A1436,FIND("01",A1436)+16)+4,2)),VALUE(MID(A1436,FIND("15",A1436,FIND("01",A1436)+16)+6,2))),"")</f>
        <v/>
      </c>
      <c r="F1436" s="8">
        <f>IFERROR(MID(A1436,FIND("10",A1436,FIND("15",A1436,FIND("01",A1436)+16)+8)+2,50),"")</f>
        <v/>
      </c>
      <c r="G1436" s="8" t="n"/>
    </row>
    <row r="1437">
      <c r="A1437" s="4" t="n"/>
      <c r="B1437" s="5">
        <f>IFERROR(MID(A1437,FIND("01",A1437)+2,14),"")</f>
        <v/>
      </c>
      <c r="C1437" s="4">
        <f>IF(A1437="","",IFERROR(VLOOKUP(B1437,TblArticles,2,FALSE),"GTIN inconnu"))</f>
        <v/>
      </c>
      <c r="D1437" s="5">
        <f>IF(A1437="","",IFERROR(VLOOKUP(B1437,TblArticles,3,FALSE),""))</f>
        <v/>
      </c>
      <c r="E1437" s="6">
        <f>IFERROR(DATE(2000+VALUE(MID(A1437,FIND("15",A1437,FIND("01",A1437)+16)+2,2)),VALUE(MID(A1437,FIND("15",A1437,FIND("01",A1437)+16)+4,2)),VALUE(MID(A1437,FIND("15",A1437,FIND("01",A1437)+16)+6,2))),"")</f>
        <v/>
      </c>
      <c r="F1437" s="5">
        <f>IFERROR(MID(A1437,FIND("10",A1437,FIND("15",A1437,FIND("01",A1437)+16)+8)+2,50),"")</f>
        <v/>
      </c>
      <c r="G1437" s="5" t="n"/>
    </row>
    <row r="1438">
      <c r="A1438" s="7" t="n"/>
      <c r="B1438" s="8">
        <f>IFERROR(MID(A1438,FIND("01",A1438)+2,14),"")</f>
        <v/>
      </c>
      <c r="C1438" s="7">
        <f>IF(A1438="","",IFERROR(VLOOKUP(B1438,TblArticles,2,FALSE),"GTIN inconnu"))</f>
        <v/>
      </c>
      <c r="D1438" s="8">
        <f>IF(A1438="","",IFERROR(VLOOKUP(B1438,TblArticles,3,FALSE),""))</f>
        <v/>
      </c>
      <c r="E1438" s="9">
        <f>IFERROR(DATE(2000+VALUE(MID(A1438,FIND("15",A1438,FIND("01",A1438)+16)+2,2)),VALUE(MID(A1438,FIND("15",A1438,FIND("01",A1438)+16)+4,2)),VALUE(MID(A1438,FIND("15",A1438,FIND("01",A1438)+16)+6,2))),"")</f>
        <v/>
      </c>
      <c r="F1438" s="8">
        <f>IFERROR(MID(A1438,FIND("10",A1438,FIND("15",A1438,FIND("01",A1438)+16)+8)+2,50),"")</f>
        <v/>
      </c>
      <c r="G1438" s="8" t="n"/>
    </row>
    <row r="1439">
      <c r="A1439" s="4" t="n"/>
      <c r="B1439" s="5">
        <f>IFERROR(MID(A1439,FIND("01",A1439)+2,14),"")</f>
        <v/>
      </c>
      <c r="C1439" s="4">
        <f>IF(A1439="","",IFERROR(VLOOKUP(B1439,TblArticles,2,FALSE),"GTIN inconnu"))</f>
        <v/>
      </c>
      <c r="D1439" s="5">
        <f>IF(A1439="","",IFERROR(VLOOKUP(B1439,TblArticles,3,FALSE),""))</f>
        <v/>
      </c>
      <c r="E1439" s="6">
        <f>IFERROR(DATE(2000+VALUE(MID(A1439,FIND("15",A1439,FIND("01",A1439)+16)+2,2)),VALUE(MID(A1439,FIND("15",A1439,FIND("01",A1439)+16)+4,2)),VALUE(MID(A1439,FIND("15",A1439,FIND("01",A1439)+16)+6,2))),"")</f>
        <v/>
      </c>
      <c r="F1439" s="5">
        <f>IFERROR(MID(A1439,FIND("10",A1439,FIND("15",A1439,FIND("01",A1439)+16)+8)+2,50),"")</f>
        <v/>
      </c>
      <c r="G1439" s="5" t="n"/>
    </row>
    <row r="1440">
      <c r="A1440" s="7" t="n"/>
      <c r="B1440" s="8">
        <f>IFERROR(MID(A1440,FIND("01",A1440)+2,14),"")</f>
        <v/>
      </c>
      <c r="C1440" s="7">
        <f>IF(A1440="","",IFERROR(VLOOKUP(B1440,TblArticles,2,FALSE),"GTIN inconnu"))</f>
        <v/>
      </c>
      <c r="D1440" s="8">
        <f>IF(A1440="","",IFERROR(VLOOKUP(B1440,TblArticles,3,FALSE),""))</f>
        <v/>
      </c>
      <c r="E1440" s="9">
        <f>IFERROR(DATE(2000+VALUE(MID(A1440,FIND("15",A1440,FIND("01",A1440)+16)+2,2)),VALUE(MID(A1440,FIND("15",A1440,FIND("01",A1440)+16)+4,2)),VALUE(MID(A1440,FIND("15",A1440,FIND("01",A1440)+16)+6,2))),"")</f>
        <v/>
      </c>
      <c r="F1440" s="8">
        <f>IFERROR(MID(A1440,FIND("10",A1440,FIND("15",A1440,FIND("01",A1440)+16)+8)+2,50),"")</f>
        <v/>
      </c>
      <c r="G1440" s="8" t="n"/>
    </row>
    <row r="1441">
      <c r="A1441" s="4" t="n"/>
      <c r="B1441" s="5">
        <f>IFERROR(MID(A1441,FIND("01",A1441)+2,14),"")</f>
        <v/>
      </c>
      <c r="C1441" s="4">
        <f>IF(A1441="","",IFERROR(VLOOKUP(B1441,TblArticles,2,FALSE),"GTIN inconnu"))</f>
        <v/>
      </c>
      <c r="D1441" s="5">
        <f>IF(A1441="","",IFERROR(VLOOKUP(B1441,TblArticles,3,FALSE),""))</f>
        <v/>
      </c>
      <c r="E1441" s="6">
        <f>IFERROR(DATE(2000+VALUE(MID(A1441,FIND("15",A1441,FIND("01",A1441)+16)+2,2)),VALUE(MID(A1441,FIND("15",A1441,FIND("01",A1441)+16)+4,2)),VALUE(MID(A1441,FIND("15",A1441,FIND("01",A1441)+16)+6,2))),"")</f>
        <v/>
      </c>
      <c r="F1441" s="5">
        <f>IFERROR(MID(A1441,FIND("10",A1441,FIND("15",A1441,FIND("01",A1441)+16)+8)+2,50),"")</f>
        <v/>
      </c>
      <c r="G1441" s="5" t="n"/>
    </row>
    <row r="1442">
      <c r="A1442" s="7" t="n"/>
      <c r="B1442" s="8">
        <f>IFERROR(MID(A1442,FIND("01",A1442)+2,14),"")</f>
        <v/>
      </c>
      <c r="C1442" s="7">
        <f>IF(A1442="","",IFERROR(VLOOKUP(B1442,TblArticles,2,FALSE),"GTIN inconnu"))</f>
        <v/>
      </c>
      <c r="D1442" s="8">
        <f>IF(A1442="","",IFERROR(VLOOKUP(B1442,TblArticles,3,FALSE),""))</f>
        <v/>
      </c>
      <c r="E1442" s="9">
        <f>IFERROR(DATE(2000+VALUE(MID(A1442,FIND("15",A1442,FIND("01",A1442)+16)+2,2)),VALUE(MID(A1442,FIND("15",A1442,FIND("01",A1442)+16)+4,2)),VALUE(MID(A1442,FIND("15",A1442,FIND("01",A1442)+16)+6,2))),"")</f>
        <v/>
      </c>
      <c r="F1442" s="8">
        <f>IFERROR(MID(A1442,FIND("10",A1442,FIND("15",A1442,FIND("01",A1442)+16)+8)+2,50),"")</f>
        <v/>
      </c>
      <c r="G1442" s="8" t="n"/>
    </row>
    <row r="1443">
      <c r="A1443" s="4" t="n"/>
      <c r="B1443" s="5">
        <f>IFERROR(MID(A1443,FIND("01",A1443)+2,14),"")</f>
        <v/>
      </c>
      <c r="C1443" s="4">
        <f>IF(A1443="","",IFERROR(VLOOKUP(B1443,TblArticles,2,FALSE),"GTIN inconnu"))</f>
        <v/>
      </c>
      <c r="D1443" s="5">
        <f>IF(A1443="","",IFERROR(VLOOKUP(B1443,TblArticles,3,FALSE),""))</f>
        <v/>
      </c>
      <c r="E1443" s="6">
        <f>IFERROR(DATE(2000+VALUE(MID(A1443,FIND("15",A1443,FIND("01",A1443)+16)+2,2)),VALUE(MID(A1443,FIND("15",A1443,FIND("01",A1443)+16)+4,2)),VALUE(MID(A1443,FIND("15",A1443,FIND("01",A1443)+16)+6,2))),"")</f>
        <v/>
      </c>
      <c r="F1443" s="5">
        <f>IFERROR(MID(A1443,FIND("10",A1443,FIND("15",A1443,FIND("01",A1443)+16)+8)+2,50),"")</f>
        <v/>
      </c>
      <c r="G1443" s="5" t="n"/>
    </row>
    <row r="1444">
      <c r="A1444" s="7" t="n"/>
      <c r="B1444" s="8">
        <f>IFERROR(MID(A1444,FIND("01",A1444)+2,14),"")</f>
        <v/>
      </c>
      <c r="C1444" s="7">
        <f>IF(A1444="","",IFERROR(VLOOKUP(B1444,TblArticles,2,FALSE),"GTIN inconnu"))</f>
        <v/>
      </c>
      <c r="D1444" s="8">
        <f>IF(A1444="","",IFERROR(VLOOKUP(B1444,TblArticles,3,FALSE),""))</f>
        <v/>
      </c>
      <c r="E1444" s="9">
        <f>IFERROR(DATE(2000+VALUE(MID(A1444,FIND("15",A1444,FIND("01",A1444)+16)+2,2)),VALUE(MID(A1444,FIND("15",A1444,FIND("01",A1444)+16)+4,2)),VALUE(MID(A1444,FIND("15",A1444,FIND("01",A1444)+16)+6,2))),"")</f>
        <v/>
      </c>
      <c r="F1444" s="8">
        <f>IFERROR(MID(A1444,FIND("10",A1444,FIND("15",A1444,FIND("01",A1444)+16)+8)+2,50),"")</f>
        <v/>
      </c>
      <c r="G1444" s="8" t="n"/>
    </row>
    <row r="1445">
      <c r="A1445" s="4" t="n"/>
      <c r="B1445" s="5">
        <f>IFERROR(MID(A1445,FIND("01",A1445)+2,14),"")</f>
        <v/>
      </c>
      <c r="C1445" s="4">
        <f>IF(A1445="","",IFERROR(VLOOKUP(B1445,TblArticles,2,FALSE),"GTIN inconnu"))</f>
        <v/>
      </c>
      <c r="D1445" s="5">
        <f>IF(A1445="","",IFERROR(VLOOKUP(B1445,TblArticles,3,FALSE),""))</f>
        <v/>
      </c>
      <c r="E1445" s="6">
        <f>IFERROR(DATE(2000+VALUE(MID(A1445,FIND("15",A1445,FIND("01",A1445)+16)+2,2)),VALUE(MID(A1445,FIND("15",A1445,FIND("01",A1445)+16)+4,2)),VALUE(MID(A1445,FIND("15",A1445,FIND("01",A1445)+16)+6,2))),"")</f>
        <v/>
      </c>
      <c r="F1445" s="5">
        <f>IFERROR(MID(A1445,FIND("10",A1445,FIND("15",A1445,FIND("01",A1445)+16)+8)+2,50),"")</f>
        <v/>
      </c>
      <c r="G1445" s="5" t="n"/>
    </row>
    <row r="1446">
      <c r="A1446" s="7" t="n"/>
      <c r="B1446" s="8">
        <f>IFERROR(MID(A1446,FIND("01",A1446)+2,14),"")</f>
        <v/>
      </c>
      <c r="C1446" s="7">
        <f>IF(A1446="","",IFERROR(VLOOKUP(B1446,TblArticles,2,FALSE),"GTIN inconnu"))</f>
        <v/>
      </c>
      <c r="D1446" s="8">
        <f>IF(A1446="","",IFERROR(VLOOKUP(B1446,TblArticles,3,FALSE),""))</f>
        <v/>
      </c>
      <c r="E1446" s="9">
        <f>IFERROR(DATE(2000+VALUE(MID(A1446,FIND("15",A1446,FIND("01",A1446)+16)+2,2)),VALUE(MID(A1446,FIND("15",A1446,FIND("01",A1446)+16)+4,2)),VALUE(MID(A1446,FIND("15",A1446,FIND("01",A1446)+16)+6,2))),"")</f>
        <v/>
      </c>
      <c r="F1446" s="8">
        <f>IFERROR(MID(A1446,FIND("10",A1446,FIND("15",A1446,FIND("01",A1446)+16)+8)+2,50),"")</f>
        <v/>
      </c>
      <c r="G1446" s="8" t="n"/>
    </row>
    <row r="1447">
      <c r="A1447" s="4" t="n"/>
      <c r="B1447" s="5">
        <f>IFERROR(MID(A1447,FIND("01",A1447)+2,14),"")</f>
        <v/>
      </c>
      <c r="C1447" s="4">
        <f>IF(A1447="","",IFERROR(VLOOKUP(B1447,TblArticles,2,FALSE),"GTIN inconnu"))</f>
        <v/>
      </c>
      <c r="D1447" s="5">
        <f>IF(A1447="","",IFERROR(VLOOKUP(B1447,TblArticles,3,FALSE),""))</f>
        <v/>
      </c>
      <c r="E1447" s="6">
        <f>IFERROR(DATE(2000+VALUE(MID(A1447,FIND("15",A1447,FIND("01",A1447)+16)+2,2)),VALUE(MID(A1447,FIND("15",A1447,FIND("01",A1447)+16)+4,2)),VALUE(MID(A1447,FIND("15",A1447,FIND("01",A1447)+16)+6,2))),"")</f>
        <v/>
      </c>
      <c r="F1447" s="5">
        <f>IFERROR(MID(A1447,FIND("10",A1447,FIND("15",A1447,FIND("01",A1447)+16)+8)+2,50),"")</f>
        <v/>
      </c>
      <c r="G1447" s="5" t="n"/>
    </row>
    <row r="1448">
      <c r="A1448" s="7" t="n"/>
      <c r="B1448" s="8">
        <f>IFERROR(MID(A1448,FIND("01",A1448)+2,14),"")</f>
        <v/>
      </c>
      <c r="C1448" s="7">
        <f>IF(A1448="","",IFERROR(VLOOKUP(B1448,TblArticles,2,FALSE),"GTIN inconnu"))</f>
        <v/>
      </c>
      <c r="D1448" s="8">
        <f>IF(A1448="","",IFERROR(VLOOKUP(B1448,TblArticles,3,FALSE),""))</f>
        <v/>
      </c>
      <c r="E1448" s="9">
        <f>IFERROR(DATE(2000+VALUE(MID(A1448,FIND("15",A1448,FIND("01",A1448)+16)+2,2)),VALUE(MID(A1448,FIND("15",A1448,FIND("01",A1448)+16)+4,2)),VALUE(MID(A1448,FIND("15",A1448,FIND("01",A1448)+16)+6,2))),"")</f>
        <v/>
      </c>
      <c r="F1448" s="8">
        <f>IFERROR(MID(A1448,FIND("10",A1448,FIND("15",A1448,FIND("01",A1448)+16)+8)+2,50),"")</f>
        <v/>
      </c>
      <c r="G1448" s="8" t="n"/>
    </row>
    <row r="1449">
      <c r="A1449" s="4" t="n"/>
      <c r="B1449" s="5">
        <f>IFERROR(MID(A1449,FIND("01",A1449)+2,14),"")</f>
        <v/>
      </c>
      <c r="C1449" s="4">
        <f>IF(A1449="","",IFERROR(VLOOKUP(B1449,TblArticles,2,FALSE),"GTIN inconnu"))</f>
        <v/>
      </c>
      <c r="D1449" s="5">
        <f>IF(A1449="","",IFERROR(VLOOKUP(B1449,TblArticles,3,FALSE),""))</f>
        <v/>
      </c>
      <c r="E1449" s="6">
        <f>IFERROR(DATE(2000+VALUE(MID(A1449,FIND("15",A1449,FIND("01",A1449)+16)+2,2)),VALUE(MID(A1449,FIND("15",A1449,FIND("01",A1449)+16)+4,2)),VALUE(MID(A1449,FIND("15",A1449,FIND("01",A1449)+16)+6,2))),"")</f>
        <v/>
      </c>
      <c r="F1449" s="5">
        <f>IFERROR(MID(A1449,FIND("10",A1449,FIND("15",A1449,FIND("01",A1449)+16)+8)+2,50),"")</f>
        <v/>
      </c>
      <c r="G1449" s="5" t="n"/>
    </row>
    <row r="1450">
      <c r="A1450" s="7" t="n"/>
      <c r="B1450" s="8">
        <f>IFERROR(MID(A1450,FIND("01",A1450)+2,14),"")</f>
        <v/>
      </c>
      <c r="C1450" s="7">
        <f>IF(A1450="","",IFERROR(VLOOKUP(B1450,TblArticles,2,FALSE),"GTIN inconnu"))</f>
        <v/>
      </c>
      <c r="D1450" s="8">
        <f>IF(A1450="","",IFERROR(VLOOKUP(B1450,TblArticles,3,FALSE),""))</f>
        <v/>
      </c>
      <c r="E1450" s="9">
        <f>IFERROR(DATE(2000+VALUE(MID(A1450,FIND("15",A1450,FIND("01",A1450)+16)+2,2)),VALUE(MID(A1450,FIND("15",A1450,FIND("01",A1450)+16)+4,2)),VALUE(MID(A1450,FIND("15",A1450,FIND("01",A1450)+16)+6,2))),"")</f>
        <v/>
      </c>
      <c r="F1450" s="8">
        <f>IFERROR(MID(A1450,FIND("10",A1450,FIND("15",A1450,FIND("01",A1450)+16)+8)+2,50),"")</f>
        <v/>
      </c>
      <c r="G1450" s="8" t="n"/>
    </row>
    <row r="1451">
      <c r="A1451" s="4" t="n"/>
      <c r="B1451" s="5">
        <f>IFERROR(MID(A1451,FIND("01",A1451)+2,14),"")</f>
        <v/>
      </c>
      <c r="C1451" s="4">
        <f>IF(A1451="","",IFERROR(VLOOKUP(B1451,TblArticles,2,FALSE),"GTIN inconnu"))</f>
        <v/>
      </c>
      <c r="D1451" s="5">
        <f>IF(A1451="","",IFERROR(VLOOKUP(B1451,TblArticles,3,FALSE),""))</f>
        <v/>
      </c>
      <c r="E1451" s="6">
        <f>IFERROR(DATE(2000+VALUE(MID(A1451,FIND("15",A1451,FIND("01",A1451)+16)+2,2)),VALUE(MID(A1451,FIND("15",A1451,FIND("01",A1451)+16)+4,2)),VALUE(MID(A1451,FIND("15",A1451,FIND("01",A1451)+16)+6,2))),"")</f>
        <v/>
      </c>
      <c r="F1451" s="5">
        <f>IFERROR(MID(A1451,FIND("10",A1451,FIND("15",A1451,FIND("01",A1451)+16)+8)+2,50),"")</f>
        <v/>
      </c>
      <c r="G1451" s="5" t="n"/>
    </row>
    <row r="1452">
      <c r="A1452" s="7" t="n"/>
      <c r="B1452" s="8">
        <f>IFERROR(MID(A1452,FIND("01",A1452)+2,14),"")</f>
        <v/>
      </c>
      <c r="C1452" s="7">
        <f>IF(A1452="","",IFERROR(VLOOKUP(B1452,TblArticles,2,FALSE),"GTIN inconnu"))</f>
        <v/>
      </c>
      <c r="D1452" s="8">
        <f>IF(A1452="","",IFERROR(VLOOKUP(B1452,TblArticles,3,FALSE),""))</f>
        <v/>
      </c>
      <c r="E1452" s="9">
        <f>IFERROR(DATE(2000+VALUE(MID(A1452,FIND("15",A1452,FIND("01",A1452)+16)+2,2)),VALUE(MID(A1452,FIND("15",A1452,FIND("01",A1452)+16)+4,2)),VALUE(MID(A1452,FIND("15",A1452,FIND("01",A1452)+16)+6,2))),"")</f>
        <v/>
      </c>
      <c r="F1452" s="8">
        <f>IFERROR(MID(A1452,FIND("10",A1452,FIND("15",A1452,FIND("01",A1452)+16)+8)+2,50),"")</f>
        <v/>
      </c>
      <c r="G1452" s="8" t="n"/>
    </row>
    <row r="1453">
      <c r="A1453" s="4" t="n"/>
      <c r="B1453" s="5">
        <f>IFERROR(MID(A1453,FIND("01",A1453)+2,14),"")</f>
        <v/>
      </c>
      <c r="C1453" s="4">
        <f>IF(A1453="","",IFERROR(VLOOKUP(B1453,TblArticles,2,FALSE),"GTIN inconnu"))</f>
        <v/>
      </c>
      <c r="D1453" s="5">
        <f>IF(A1453="","",IFERROR(VLOOKUP(B1453,TblArticles,3,FALSE),""))</f>
        <v/>
      </c>
      <c r="E1453" s="6">
        <f>IFERROR(DATE(2000+VALUE(MID(A1453,FIND("15",A1453,FIND("01",A1453)+16)+2,2)),VALUE(MID(A1453,FIND("15",A1453,FIND("01",A1453)+16)+4,2)),VALUE(MID(A1453,FIND("15",A1453,FIND("01",A1453)+16)+6,2))),"")</f>
        <v/>
      </c>
      <c r="F1453" s="5">
        <f>IFERROR(MID(A1453,FIND("10",A1453,FIND("15",A1453,FIND("01",A1453)+16)+8)+2,50),"")</f>
        <v/>
      </c>
      <c r="G1453" s="5" t="n"/>
    </row>
    <row r="1454">
      <c r="A1454" s="7" t="n"/>
      <c r="B1454" s="8">
        <f>IFERROR(MID(A1454,FIND("01",A1454)+2,14),"")</f>
        <v/>
      </c>
      <c r="C1454" s="7">
        <f>IF(A1454="","",IFERROR(VLOOKUP(B1454,TblArticles,2,FALSE),"GTIN inconnu"))</f>
        <v/>
      </c>
      <c r="D1454" s="8">
        <f>IF(A1454="","",IFERROR(VLOOKUP(B1454,TblArticles,3,FALSE),""))</f>
        <v/>
      </c>
      <c r="E1454" s="9">
        <f>IFERROR(DATE(2000+VALUE(MID(A1454,FIND("15",A1454,FIND("01",A1454)+16)+2,2)),VALUE(MID(A1454,FIND("15",A1454,FIND("01",A1454)+16)+4,2)),VALUE(MID(A1454,FIND("15",A1454,FIND("01",A1454)+16)+6,2))),"")</f>
        <v/>
      </c>
      <c r="F1454" s="8">
        <f>IFERROR(MID(A1454,FIND("10",A1454,FIND("15",A1454,FIND("01",A1454)+16)+8)+2,50),"")</f>
        <v/>
      </c>
      <c r="G1454" s="8" t="n"/>
    </row>
    <row r="1455">
      <c r="A1455" s="4" t="n"/>
      <c r="B1455" s="5">
        <f>IFERROR(MID(A1455,FIND("01",A1455)+2,14),"")</f>
        <v/>
      </c>
      <c r="C1455" s="4">
        <f>IF(A1455="","",IFERROR(VLOOKUP(B1455,TblArticles,2,FALSE),"GTIN inconnu"))</f>
        <v/>
      </c>
      <c r="D1455" s="5">
        <f>IF(A1455="","",IFERROR(VLOOKUP(B1455,TblArticles,3,FALSE),""))</f>
        <v/>
      </c>
      <c r="E1455" s="6">
        <f>IFERROR(DATE(2000+VALUE(MID(A1455,FIND("15",A1455,FIND("01",A1455)+16)+2,2)),VALUE(MID(A1455,FIND("15",A1455,FIND("01",A1455)+16)+4,2)),VALUE(MID(A1455,FIND("15",A1455,FIND("01",A1455)+16)+6,2))),"")</f>
        <v/>
      </c>
      <c r="F1455" s="5">
        <f>IFERROR(MID(A1455,FIND("10",A1455,FIND("15",A1455,FIND("01",A1455)+16)+8)+2,50),"")</f>
        <v/>
      </c>
      <c r="G1455" s="5" t="n"/>
    </row>
    <row r="1456">
      <c r="A1456" s="7" t="n"/>
      <c r="B1456" s="8">
        <f>IFERROR(MID(A1456,FIND("01",A1456)+2,14),"")</f>
        <v/>
      </c>
      <c r="C1456" s="7">
        <f>IF(A1456="","",IFERROR(VLOOKUP(B1456,TblArticles,2,FALSE),"GTIN inconnu"))</f>
        <v/>
      </c>
      <c r="D1456" s="8">
        <f>IF(A1456="","",IFERROR(VLOOKUP(B1456,TblArticles,3,FALSE),""))</f>
        <v/>
      </c>
      <c r="E1456" s="9">
        <f>IFERROR(DATE(2000+VALUE(MID(A1456,FIND("15",A1456,FIND("01",A1456)+16)+2,2)),VALUE(MID(A1456,FIND("15",A1456,FIND("01",A1456)+16)+4,2)),VALUE(MID(A1456,FIND("15",A1456,FIND("01",A1456)+16)+6,2))),"")</f>
        <v/>
      </c>
      <c r="F1456" s="8">
        <f>IFERROR(MID(A1456,FIND("10",A1456,FIND("15",A1456,FIND("01",A1456)+16)+8)+2,50),"")</f>
        <v/>
      </c>
      <c r="G1456" s="8" t="n"/>
    </row>
    <row r="1457">
      <c r="A1457" s="4" t="n"/>
      <c r="B1457" s="5">
        <f>IFERROR(MID(A1457,FIND("01",A1457)+2,14),"")</f>
        <v/>
      </c>
      <c r="C1457" s="4">
        <f>IF(A1457="","",IFERROR(VLOOKUP(B1457,TblArticles,2,FALSE),"GTIN inconnu"))</f>
        <v/>
      </c>
      <c r="D1457" s="5">
        <f>IF(A1457="","",IFERROR(VLOOKUP(B1457,TblArticles,3,FALSE),""))</f>
        <v/>
      </c>
      <c r="E1457" s="6">
        <f>IFERROR(DATE(2000+VALUE(MID(A1457,FIND("15",A1457,FIND("01",A1457)+16)+2,2)),VALUE(MID(A1457,FIND("15",A1457,FIND("01",A1457)+16)+4,2)),VALUE(MID(A1457,FIND("15",A1457,FIND("01",A1457)+16)+6,2))),"")</f>
        <v/>
      </c>
      <c r="F1457" s="5">
        <f>IFERROR(MID(A1457,FIND("10",A1457,FIND("15",A1457,FIND("01",A1457)+16)+8)+2,50),"")</f>
        <v/>
      </c>
      <c r="G1457" s="5" t="n"/>
    </row>
    <row r="1458">
      <c r="A1458" s="7" t="n"/>
      <c r="B1458" s="8">
        <f>IFERROR(MID(A1458,FIND("01",A1458)+2,14),"")</f>
        <v/>
      </c>
      <c r="C1458" s="7">
        <f>IF(A1458="","",IFERROR(VLOOKUP(B1458,TblArticles,2,FALSE),"GTIN inconnu"))</f>
        <v/>
      </c>
      <c r="D1458" s="8">
        <f>IF(A1458="","",IFERROR(VLOOKUP(B1458,TblArticles,3,FALSE),""))</f>
        <v/>
      </c>
      <c r="E1458" s="9">
        <f>IFERROR(DATE(2000+VALUE(MID(A1458,FIND("15",A1458,FIND("01",A1458)+16)+2,2)),VALUE(MID(A1458,FIND("15",A1458,FIND("01",A1458)+16)+4,2)),VALUE(MID(A1458,FIND("15",A1458,FIND("01",A1458)+16)+6,2))),"")</f>
        <v/>
      </c>
      <c r="F1458" s="8">
        <f>IFERROR(MID(A1458,FIND("10",A1458,FIND("15",A1458,FIND("01",A1458)+16)+8)+2,50),"")</f>
        <v/>
      </c>
      <c r="G1458" s="8" t="n"/>
    </row>
    <row r="1459">
      <c r="A1459" s="4" t="n"/>
      <c r="B1459" s="5">
        <f>IFERROR(MID(A1459,FIND("01",A1459)+2,14),"")</f>
        <v/>
      </c>
      <c r="C1459" s="4">
        <f>IF(A1459="","",IFERROR(VLOOKUP(B1459,TblArticles,2,FALSE),"GTIN inconnu"))</f>
        <v/>
      </c>
      <c r="D1459" s="5">
        <f>IF(A1459="","",IFERROR(VLOOKUP(B1459,TblArticles,3,FALSE),""))</f>
        <v/>
      </c>
      <c r="E1459" s="6">
        <f>IFERROR(DATE(2000+VALUE(MID(A1459,FIND("15",A1459,FIND("01",A1459)+16)+2,2)),VALUE(MID(A1459,FIND("15",A1459,FIND("01",A1459)+16)+4,2)),VALUE(MID(A1459,FIND("15",A1459,FIND("01",A1459)+16)+6,2))),"")</f>
        <v/>
      </c>
      <c r="F1459" s="5">
        <f>IFERROR(MID(A1459,FIND("10",A1459,FIND("15",A1459,FIND("01",A1459)+16)+8)+2,50),"")</f>
        <v/>
      </c>
      <c r="G1459" s="5" t="n"/>
    </row>
    <row r="1460">
      <c r="A1460" s="7" t="n"/>
      <c r="B1460" s="8">
        <f>IFERROR(MID(A1460,FIND("01",A1460)+2,14),"")</f>
        <v/>
      </c>
      <c r="C1460" s="7">
        <f>IF(A1460="","",IFERROR(VLOOKUP(B1460,TblArticles,2,FALSE),"GTIN inconnu"))</f>
        <v/>
      </c>
      <c r="D1460" s="8">
        <f>IF(A1460="","",IFERROR(VLOOKUP(B1460,TblArticles,3,FALSE),""))</f>
        <v/>
      </c>
      <c r="E1460" s="9">
        <f>IFERROR(DATE(2000+VALUE(MID(A1460,FIND("15",A1460,FIND("01",A1460)+16)+2,2)),VALUE(MID(A1460,FIND("15",A1460,FIND("01",A1460)+16)+4,2)),VALUE(MID(A1460,FIND("15",A1460,FIND("01",A1460)+16)+6,2))),"")</f>
        <v/>
      </c>
      <c r="F1460" s="8">
        <f>IFERROR(MID(A1460,FIND("10",A1460,FIND("15",A1460,FIND("01",A1460)+16)+8)+2,50),"")</f>
        <v/>
      </c>
      <c r="G1460" s="8" t="n"/>
    </row>
    <row r="1461">
      <c r="A1461" s="4" t="n"/>
      <c r="B1461" s="5">
        <f>IFERROR(MID(A1461,FIND("01",A1461)+2,14),"")</f>
        <v/>
      </c>
      <c r="C1461" s="4">
        <f>IF(A1461="","",IFERROR(VLOOKUP(B1461,TblArticles,2,FALSE),"GTIN inconnu"))</f>
        <v/>
      </c>
      <c r="D1461" s="5">
        <f>IF(A1461="","",IFERROR(VLOOKUP(B1461,TblArticles,3,FALSE),""))</f>
        <v/>
      </c>
      <c r="E1461" s="6">
        <f>IFERROR(DATE(2000+VALUE(MID(A1461,FIND("15",A1461,FIND("01",A1461)+16)+2,2)),VALUE(MID(A1461,FIND("15",A1461,FIND("01",A1461)+16)+4,2)),VALUE(MID(A1461,FIND("15",A1461,FIND("01",A1461)+16)+6,2))),"")</f>
        <v/>
      </c>
      <c r="F1461" s="5">
        <f>IFERROR(MID(A1461,FIND("10",A1461,FIND("15",A1461,FIND("01",A1461)+16)+8)+2,50),"")</f>
        <v/>
      </c>
      <c r="G1461" s="5" t="n"/>
    </row>
    <row r="1462">
      <c r="A1462" s="7" t="n"/>
      <c r="B1462" s="8">
        <f>IFERROR(MID(A1462,FIND("01",A1462)+2,14),"")</f>
        <v/>
      </c>
      <c r="C1462" s="7">
        <f>IF(A1462="","",IFERROR(VLOOKUP(B1462,TblArticles,2,FALSE),"GTIN inconnu"))</f>
        <v/>
      </c>
      <c r="D1462" s="8">
        <f>IF(A1462="","",IFERROR(VLOOKUP(B1462,TblArticles,3,FALSE),""))</f>
        <v/>
      </c>
      <c r="E1462" s="9">
        <f>IFERROR(DATE(2000+VALUE(MID(A1462,FIND("15",A1462,FIND("01",A1462)+16)+2,2)),VALUE(MID(A1462,FIND("15",A1462,FIND("01",A1462)+16)+4,2)),VALUE(MID(A1462,FIND("15",A1462,FIND("01",A1462)+16)+6,2))),"")</f>
        <v/>
      </c>
      <c r="F1462" s="8">
        <f>IFERROR(MID(A1462,FIND("10",A1462,FIND("15",A1462,FIND("01",A1462)+16)+8)+2,50),"")</f>
        <v/>
      </c>
      <c r="G1462" s="8" t="n"/>
    </row>
    <row r="1463">
      <c r="A1463" s="4" t="n"/>
      <c r="B1463" s="5">
        <f>IFERROR(MID(A1463,FIND("01",A1463)+2,14),"")</f>
        <v/>
      </c>
      <c r="C1463" s="4">
        <f>IF(A1463="","",IFERROR(VLOOKUP(B1463,TblArticles,2,FALSE),"GTIN inconnu"))</f>
        <v/>
      </c>
      <c r="D1463" s="5">
        <f>IF(A1463="","",IFERROR(VLOOKUP(B1463,TblArticles,3,FALSE),""))</f>
        <v/>
      </c>
      <c r="E1463" s="6">
        <f>IFERROR(DATE(2000+VALUE(MID(A1463,FIND("15",A1463,FIND("01",A1463)+16)+2,2)),VALUE(MID(A1463,FIND("15",A1463,FIND("01",A1463)+16)+4,2)),VALUE(MID(A1463,FIND("15",A1463,FIND("01",A1463)+16)+6,2))),"")</f>
        <v/>
      </c>
      <c r="F1463" s="5">
        <f>IFERROR(MID(A1463,FIND("10",A1463,FIND("15",A1463,FIND("01",A1463)+16)+8)+2,50),"")</f>
        <v/>
      </c>
      <c r="G1463" s="5" t="n"/>
    </row>
    <row r="1464">
      <c r="A1464" s="7" t="n"/>
      <c r="B1464" s="8">
        <f>IFERROR(MID(A1464,FIND("01",A1464)+2,14),"")</f>
        <v/>
      </c>
      <c r="C1464" s="7">
        <f>IF(A1464="","",IFERROR(VLOOKUP(B1464,TblArticles,2,FALSE),"GTIN inconnu"))</f>
        <v/>
      </c>
      <c r="D1464" s="8">
        <f>IF(A1464="","",IFERROR(VLOOKUP(B1464,TblArticles,3,FALSE),""))</f>
        <v/>
      </c>
      <c r="E1464" s="9">
        <f>IFERROR(DATE(2000+VALUE(MID(A1464,FIND("15",A1464,FIND("01",A1464)+16)+2,2)),VALUE(MID(A1464,FIND("15",A1464,FIND("01",A1464)+16)+4,2)),VALUE(MID(A1464,FIND("15",A1464,FIND("01",A1464)+16)+6,2))),"")</f>
        <v/>
      </c>
      <c r="F1464" s="8">
        <f>IFERROR(MID(A1464,FIND("10",A1464,FIND("15",A1464,FIND("01",A1464)+16)+8)+2,50),"")</f>
        <v/>
      </c>
      <c r="G1464" s="8" t="n"/>
    </row>
    <row r="1465">
      <c r="A1465" s="4" t="n"/>
      <c r="B1465" s="5">
        <f>IFERROR(MID(A1465,FIND("01",A1465)+2,14),"")</f>
        <v/>
      </c>
      <c r="C1465" s="4">
        <f>IF(A1465="","",IFERROR(VLOOKUP(B1465,TblArticles,2,FALSE),"GTIN inconnu"))</f>
        <v/>
      </c>
      <c r="D1465" s="5">
        <f>IF(A1465="","",IFERROR(VLOOKUP(B1465,TblArticles,3,FALSE),""))</f>
        <v/>
      </c>
      <c r="E1465" s="6">
        <f>IFERROR(DATE(2000+VALUE(MID(A1465,FIND("15",A1465,FIND("01",A1465)+16)+2,2)),VALUE(MID(A1465,FIND("15",A1465,FIND("01",A1465)+16)+4,2)),VALUE(MID(A1465,FIND("15",A1465,FIND("01",A1465)+16)+6,2))),"")</f>
        <v/>
      </c>
      <c r="F1465" s="5">
        <f>IFERROR(MID(A1465,FIND("10",A1465,FIND("15",A1465,FIND("01",A1465)+16)+8)+2,50),"")</f>
        <v/>
      </c>
      <c r="G1465" s="5" t="n"/>
    </row>
    <row r="1466">
      <c r="A1466" s="7" t="n"/>
      <c r="B1466" s="8">
        <f>IFERROR(MID(A1466,FIND("01",A1466)+2,14),"")</f>
        <v/>
      </c>
      <c r="C1466" s="7">
        <f>IF(A1466="","",IFERROR(VLOOKUP(B1466,TblArticles,2,FALSE),"GTIN inconnu"))</f>
        <v/>
      </c>
      <c r="D1466" s="8">
        <f>IF(A1466="","",IFERROR(VLOOKUP(B1466,TblArticles,3,FALSE),""))</f>
        <v/>
      </c>
      <c r="E1466" s="9">
        <f>IFERROR(DATE(2000+VALUE(MID(A1466,FIND("15",A1466,FIND("01",A1466)+16)+2,2)),VALUE(MID(A1466,FIND("15",A1466,FIND("01",A1466)+16)+4,2)),VALUE(MID(A1466,FIND("15",A1466,FIND("01",A1466)+16)+6,2))),"")</f>
        <v/>
      </c>
      <c r="F1466" s="8">
        <f>IFERROR(MID(A1466,FIND("10",A1466,FIND("15",A1466,FIND("01",A1466)+16)+8)+2,50),"")</f>
        <v/>
      </c>
      <c r="G1466" s="8" t="n"/>
    </row>
    <row r="1467">
      <c r="A1467" s="4" t="n"/>
      <c r="B1467" s="5">
        <f>IFERROR(MID(A1467,FIND("01",A1467)+2,14),"")</f>
        <v/>
      </c>
      <c r="C1467" s="4">
        <f>IF(A1467="","",IFERROR(VLOOKUP(B1467,TblArticles,2,FALSE),"GTIN inconnu"))</f>
        <v/>
      </c>
      <c r="D1467" s="5">
        <f>IF(A1467="","",IFERROR(VLOOKUP(B1467,TblArticles,3,FALSE),""))</f>
        <v/>
      </c>
      <c r="E1467" s="6">
        <f>IFERROR(DATE(2000+VALUE(MID(A1467,FIND("15",A1467,FIND("01",A1467)+16)+2,2)),VALUE(MID(A1467,FIND("15",A1467,FIND("01",A1467)+16)+4,2)),VALUE(MID(A1467,FIND("15",A1467,FIND("01",A1467)+16)+6,2))),"")</f>
        <v/>
      </c>
      <c r="F1467" s="5">
        <f>IFERROR(MID(A1467,FIND("10",A1467,FIND("15",A1467,FIND("01",A1467)+16)+8)+2,50),"")</f>
        <v/>
      </c>
      <c r="G1467" s="5" t="n"/>
    </row>
    <row r="1468">
      <c r="A1468" s="7" t="n"/>
      <c r="B1468" s="8">
        <f>IFERROR(MID(A1468,FIND("01",A1468)+2,14),"")</f>
        <v/>
      </c>
      <c r="C1468" s="7">
        <f>IF(A1468="","",IFERROR(VLOOKUP(B1468,TblArticles,2,FALSE),"GTIN inconnu"))</f>
        <v/>
      </c>
      <c r="D1468" s="8">
        <f>IF(A1468="","",IFERROR(VLOOKUP(B1468,TblArticles,3,FALSE),""))</f>
        <v/>
      </c>
      <c r="E1468" s="9">
        <f>IFERROR(DATE(2000+VALUE(MID(A1468,FIND("15",A1468,FIND("01",A1468)+16)+2,2)),VALUE(MID(A1468,FIND("15",A1468,FIND("01",A1468)+16)+4,2)),VALUE(MID(A1468,FIND("15",A1468,FIND("01",A1468)+16)+6,2))),"")</f>
        <v/>
      </c>
      <c r="F1468" s="8">
        <f>IFERROR(MID(A1468,FIND("10",A1468,FIND("15",A1468,FIND("01",A1468)+16)+8)+2,50),"")</f>
        <v/>
      </c>
      <c r="G1468" s="8" t="n"/>
    </row>
    <row r="1469">
      <c r="A1469" s="4" t="n"/>
      <c r="B1469" s="5">
        <f>IFERROR(MID(A1469,FIND("01",A1469)+2,14),"")</f>
        <v/>
      </c>
      <c r="C1469" s="4">
        <f>IF(A1469="","",IFERROR(VLOOKUP(B1469,TblArticles,2,FALSE),"GTIN inconnu"))</f>
        <v/>
      </c>
      <c r="D1469" s="5">
        <f>IF(A1469="","",IFERROR(VLOOKUP(B1469,TblArticles,3,FALSE),""))</f>
        <v/>
      </c>
      <c r="E1469" s="6">
        <f>IFERROR(DATE(2000+VALUE(MID(A1469,FIND("15",A1469,FIND("01",A1469)+16)+2,2)),VALUE(MID(A1469,FIND("15",A1469,FIND("01",A1469)+16)+4,2)),VALUE(MID(A1469,FIND("15",A1469,FIND("01",A1469)+16)+6,2))),"")</f>
        <v/>
      </c>
      <c r="F1469" s="5">
        <f>IFERROR(MID(A1469,FIND("10",A1469,FIND("15",A1469,FIND("01",A1469)+16)+8)+2,50),"")</f>
        <v/>
      </c>
      <c r="G1469" s="5" t="n"/>
    </row>
    <row r="1470">
      <c r="A1470" s="7" t="n"/>
      <c r="B1470" s="8">
        <f>IFERROR(MID(A1470,FIND("01",A1470)+2,14),"")</f>
        <v/>
      </c>
      <c r="C1470" s="7">
        <f>IF(A1470="","",IFERROR(VLOOKUP(B1470,TblArticles,2,FALSE),"GTIN inconnu"))</f>
        <v/>
      </c>
      <c r="D1470" s="8">
        <f>IF(A1470="","",IFERROR(VLOOKUP(B1470,TblArticles,3,FALSE),""))</f>
        <v/>
      </c>
      <c r="E1470" s="9">
        <f>IFERROR(DATE(2000+VALUE(MID(A1470,FIND("15",A1470,FIND("01",A1470)+16)+2,2)),VALUE(MID(A1470,FIND("15",A1470,FIND("01",A1470)+16)+4,2)),VALUE(MID(A1470,FIND("15",A1470,FIND("01",A1470)+16)+6,2))),"")</f>
        <v/>
      </c>
      <c r="F1470" s="8">
        <f>IFERROR(MID(A1470,FIND("10",A1470,FIND("15",A1470,FIND("01",A1470)+16)+8)+2,50),"")</f>
        <v/>
      </c>
      <c r="G1470" s="8" t="n"/>
    </row>
    <row r="1471">
      <c r="A1471" s="4" t="n"/>
      <c r="B1471" s="5">
        <f>IFERROR(MID(A1471,FIND("01",A1471)+2,14),"")</f>
        <v/>
      </c>
      <c r="C1471" s="4">
        <f>IF(A1471="","",IFERROR(VLOOKUP(B1471,TblArticles,2,FALSE),"GTIN inconnu"))</f>
        <v/>
      </c>
      <c r="D1471" s="5">
        <f>IF(A1471="","",IFERROR(VLOOKUP(B1471,TblArticles,3,FALSE),""))</f>
        <v/>
      </c>
      <c r="E1471" s="6">
        <f>IFERROR(DATE(2000+VALUE(MID(A1471,FIND("15",A1471,FIND("01",A1471)+16)+2,2)),VALUE(MID(A1471,FIND("15",A1471,FIND("01",A1471)+16)+4,2)),VALUE(MID(A1471,FIND("15",A1471,FIND("01",A1471)+16)+6,2))),"")</f>
        <v/>
      </c>
      <c r="F1471" s="5">
        <f>IFERROR(MID(A1471,FIND("10",A1471,FIND("15",A1471,FIND("01",A1471)+16)+8)+2,50),"")</f>
        <v/>
      </c>
      <c r="G1471" s="5" t="n"/>
    </row>
    <row r="1472">
      <c r="A1472" s="7" t="n"/>
      <c r="B1472" s="8">
        <f>IFERROR(MID(A1472,FIND("01",A1472)+2,14),"")</f>
        <v/>
      </c>
      <c r="C1472" s="7">
        <f>IF(A1472="","",IFERROR(VLOOKUP(B1472,TblArticles,2,FALSE),"GTIN inconnu"))</f>
        <v/>
      </c>
      <c r="D1472" s="8">
        <f>IF(A1472="","",IFERROR(VLOOKUP(B1472,TblArticles,3,FALSE),""))</f>
        <v/>
      </c>
      <c r="E1472" s="9">
        <f>IFERROR(DATE(2000+VALUE(MID(A1472,FIND("15",A1472,FIND("01",A1472)+16)+2,2)),VALUE(MID(A1472,FIND("15",A1472,FIND("01",A1472)+16)+4,2)),VALUE(MID(A1472,FIND("15",A1472,FIND("01",A1472)+16)+6,2))),"")</f>
        <v/>
      </c>
      <c r="F1472" s="8">
        <f>IFERROR(MID(A1472,FIND("10",A1472,FIND("15",A1472,FIND("01",A1472)+16)+8)+2,50),"")</f>
        <v/>
      </c>
      <c r="G1472" s="8" t="n"/>
    </row>
    <row r="1473">
      <c r="A1473" s="4" t="n"/>
      <c r="B1473" s="5">
        <f>IFERROR(MID(A1473,FIND("01",A1473)+2,14),"")</f>
        <v/>
      </c>
      <c r="C1473" s="4">
        <f>IF(A1473="","",IFERROR(VLOOKUP(B1473,TblArticles,2,FALSE),"GTIN inconnu"))</f>
        <v/>
      </c>
      <c r="D1473" s="5">
        <f>IF(A1473="","",IFERROR(VLOOKUP(B1473,TblArticles,3,FALSE),""))</f>
        <v/>
      </c>
      <c r="E1473" s="6">
        <f>IFERROR(DATE(2000+VALUE(MID(A1473,FIND("15",A1473,FIND("01",A1473)+16)+2,2)),VALUE(MID(A1473,FIND("15",A1473,FIND("01",A1473)+16)+4,2)),VALUE(MID(A1473,FIND("15",A1473,FIND("01",A1473)+16)+6,2))),"")</f>
        <v/>
      </c>
      <c r="F1473" s="5">
        <f>IFERROR(MID(A1473,FIND("10",A1473,FIND("15",A1473,FIND("01",A1473)+16)+8)+2,50),"")</f>
        <v/>
      </c>
      <c r="G1473" s="5" t="n"/>
    </row>
    <row r="1474">
      <c r="A1474" s="7" t="n"/>
      <c r="B1474" s="8">
        <f>IFERROR(MID(A1474,FIND("01",A1474)+2,14),"")</f>
        <v/>
      </c>
      <c r="C1474" s="7">
        <f>IF(A1474="","",IFERROR(VLOOKUP(B1474,TblArticles,2,FALSE),"GTIN inconnu"))</f>
        <v/>
      </c>
      <c r="D1474" s="8">
        <f>IF(A1474="","",IFERROR(VLOOKUP(B1474,TblArticles,3,FALSE),""))</f>
        <v/>
      </c>
      <c r="E1474" s="9">
        <f>IFERROR(DATE(2000+VALUE(MID(A1474,FIND("15",A1474,FIND("01",A1474)+16)+2,2)),VALUE(MID(A1474,FIND("15",A1474,FIND("01",A1474)+16)+4,2)),VALUE(MID(A1474,FIND("15",A1474,FIND("01",A1474)+16)+6,2))),"")</f>
        <v/>
      </c>
      <c r="F1474" s="8">
        <f>IFERROR(MID(A1474,FIND("10",A1474,FIND("15",A1474,FIND("01",A1474)+16)+8)+2,50),"")</f>
        <v/>
      </c>
      <c r="G1474" s="8" t="n"/>
    </row>
    <row r="1475">
      <c r="A1475" s="4" t="n"/>
      <c r="B1475" s="5">
        <f>IFERROR(MID(A1475,FIND("01",A1475)+2,14),"")</f>
        <v/>
      </c>
      <c r="C1475" s="4">
        <f>IF(A1475="","",IFERROR(VLOOKUP(B1475,TblArticles,2,FALSE),"GTIN inconnu"))</f>
        <v/>
      </c>
      <c r="D1475" s="5">
        <f>IF(A1475="","",IFERROR(VLOOKUP(B1475,TblArticles,3,FALSE),""))</f>
        <v/>
      </c>
      <c r="E1475" s="6">
        <f>IFERROR(DATE(2000+VALUE(MID(A1475,FIND("15",A1475,FIND("01",A1475)+16)+2,2)),VALUE(MID(A1475,FIND("15",A1475,FIND("01",A1475)+16)+4,2)),VALUE(MID(A1475,FIND("15",A1475,FIND("01",A1475)+16)+6,2))),"")</f>
        <v/>
      </c>
      <c r="F1475" s="5">
        <f>IFERROR(MID(A1475,FIND("10",A1475,FIND("15",A1475,FIND("01",A1475)+16)+8)+2,50),"")</f>
        <v/>
      </c>
      <c r="G1475" s="5" t="n"/>
    </row>
    <row r="1476">
      <c r="A1476" s="7" t="n"/>
      <c r="B1476" s="8">
        <f>IFERROR(MID(A1476,FIND("01",A1476)+2,14),"")</f>
        <v/>
      </c>
      <c r="C1476" s="7">
        <f>IF(A1476="","",IFERROR(VLOOKUP(B1476,TblArticles,2,FALSE),"GTIN inconnu"))</f>
        <v/>
      </c>
      <c r="D1476" s="8">
        <f>IF(A1476="","",IFERROR(VLOOKUP(B1476,TblArticles,3,FALSE),""))</f>
        <v/>
      </c>
      <c r="E1476" s="9">
        <f>IFERROR(DATE(2000+VALUE(MID(A1476,FIND("15",A1476,FIND("01",A1476)+16)+2,2)),VALUE(MID(A1476,FIND("15",A1476,FIND("01",A1476)+16)+4,2)),VALUE(MID(A1476,FIND("15",A1476,FIND("01",A1476)+16)+6,2))),"")</f>
        <v/>
      </c>
      <c r="F1476" s="8">
        <f>IFERROR(MID(A1476,FIND("10",A1476,FIND("15",A1476,FIND("01",A1476)+16)+8)+2,50),"")</f>
        <v/>
      </c>
      <c r="G1476" s="8" t="n"/>
    </row>
    <row r="1477">
      <c r="A1477" s="4" t="n"/>
      <c r="B1477" s="5">
        <f>IFERROR(MID(A1477,FIND("01",A1477)+2,14),"")</f>
        <v/>
      </c>
      <c r="C1477" s="4">
        <f>IF(A1477="","",IFERROR(VLOOKUP(B1477,TblArticles,2,FALSE),"GTIN inconnu"))</f>
        <v/>
      </c>
      <c r="D1477" s="5">
        <f>IF(A1477="","",IFERROR(VLOOKUP(B1477,TblArticles,3,FALSE),""))</f>
        <v/>
      </c>
      <c r="E1477" s="6">
        <f>IFERROR(DATE(2000+VALUE(MID(A1477,FIND("15",A1477,FIND("01",A1477)+16)+2,2)),VALUE(MID(A1477,FIND("15",A1477,FIND("01",A1477)+16)+4,2)),VALUE(MID(A1477,FIND("15",A1477,FIND("01",A1477)+16)+6,2))),"")</f>
        <v/>
      </c>
      <c r="F1477" s="5">
        <f>IFERROR(MID(A1477,FIND("10",A1477,FIND("15",A1477,FIND("01",A1477)+16)+8)+2,50),"")</f>
        <v/>
      </c>
      <c r="G1477" s="5" t="n"/>
    </row>
    <row r="1478">
      <c r="A1478" s="7" t="n"/>
      <c r="B1478" s="8">
        <f>IFERROR(MID(A1478,FIND("01",A1478)+2,14),"")</f>
        <v/>
      </c>
      <c r="C1478" s="7">
        <f>IF(A1478="","",IFERROR(VLOOKUP(B1478,TblArticles,2,FALSE),"GTIN inconnu"))</f>
        <v/>
      </c>
      <c r="D1478" s="8">
        <f>IF(A1478="","",IFERROR(VLOOKUP(B1478,TblArticles,3,FALSE),""))</f>
        <v/>
      </c>
      <c r="E1478" s="9">
        <f>IFERROR(DATE(2000+VALUE(MID(A1478,FIND("15",A1478,FIND("01",A1478)+16)+2,2)),VALUE(MID(A1478,FIND("15",A1478,FIND("01",A1478)+16)+4,2)),VALUE(MID(A1478,FIND("15",A1478,FIND("01",A1478)+16)+6,2))),"")</f>
        <v/>
      </c>
      <c r="F1478" s="8">
        <f>IFERROR(MID(A1478,FIND("10",A1478,FIND("15",A1478,FIND("01",A1478)+16)+8)+2,50),"")</f>
        <v/>
      </c>
      <c r="G1478" s="8" t="n"/>
    </row>
    <row r="1479">
      <c r="A1479" s="4" t="n"/>
      <c r="B1479" s="5">
        <f>IFERROR(MID(A1479,FIND("01",A1479)+2,14),"")</f>
        <v/>
      </c>
      <c r="C1479" s="4">
        <f>IF(A1479="","",IFERROR(VLOOKUP(B1479,TblArticles,2,FALSE),"GTIN inconnu"))</f>
        <v/>
      </c>
      <c r="D1479" s="5">
        <f>IF(A1479="","",IFERROR(VLOOKUP(B1479,TblArticles,3,FALSE),""))</f>
        <v/>
      </c>
      <c r="E1479" s="6">
        <f>IFERROR(DATE(2000+VALUE(MID(A1479,FIND("15",A1479,FIND("01",A1479)+16)+2,2)),VALUE(MID(A1479,FIND("15",A1479,FIND("01",A1479)+16)+4,2)),VALUE(MID(A1479,FIND("15",A1479,FIND("01",A1479)+16)+6,2))),"")</f>
        <v/>
      </c>
      <c r="F1479" s="5">
        <f>IFERROR(MID(A1479,FIND("10",A1479,FIND("15",A1479,FIND("01",A1479)+16)+8)+2,50),"")</f>
        <v/>
      </c>
      <c r="G1479" s="5" t="n"/>
    </row>
    <row r="1480">
      <c r="A1480" s="7" t="n"/>
      <c r="B1480" s="8">
        <f>IFERROR(MID(A1480,FIND("01",A1480)+2,14),"")</f>
        <v/>
      </c>
      <c r="C1480" s="7">
        <f>IF(A1480="","",IFERROR(VLOOKUP(B1480,TblArticles,2,FALSE),"GTIN inconnu"))</f>
        <v/>
      </c>
      <c r="D1480" s="8">
        <f>IF(A1480="","",IFERROR(VLOOKUP(B1480,TblArticles,3,FALSE),""))</f>
        <v/>
      </c>
      <c r="E1480" s="9">
        <f>IFERROR(DATE(2000+VALUE(MID(A1480,FIND("15",A1480,FIND("01",A1480)+16)+2,2)),VALUE(MID(A1480,FIND("15",A1480,FIND("01",A1480)+16)+4,2)),VALUE(MID(A1480,FIND("15",A1480,FIND("01",A1480)+16)+6,2))),"")</f>
        <v/>
      </c>
      <c r="F1480" s="8">
        <f>IFERROR(MID(A1480,FIND("10",A1480,FIND("15",A1480,FIND("01",A1480)+16)+8)+2,50),"")</f>
        <v/>
      </c>
      <c r="G1480" s="8" t="n"/>
    </row>
    <row r="1481">
      <c r="A1481" s="4" t="n"/>
      <c r="B1481" s="5">
        <f>IFERROR(MID(A1481,FIND("01",A1481)+2,14),"")</f>
        <v/>
      </c>
      <c r="C1481" s="4">
        <f>IF(A1481="","",IFERROR(VLOOKUP(B1481,TblArticles,2,FALSE),"GTIN inconnu"))</f>
        <v/>
      </c>
      <c r="D1481" s="5">
        <f>IF(A1481="","",IFERROR(VLOOKUP(B1481,TblArticles,3,FALSE),""))</f>
        <v/>
      </c>
      <c r="E1481" s="6">
        <f>IFERROR(DATE(2000+VALUE(MID(A1481,FIND("15",A1481,FIND("01",A1481)+16)+2,2)),VALUE(MID(A1481,FIND("15",A1481,FIND("01",A1481)+16)+4,2)),VALUE(MID(A1481,FIND("15",A1481,FIND("01",A1481)+16)+6,2))),"")</f>
        <v/>
      </c>
      <c r="F1481" s="5">
        <f>IFERROR(MID(A1481,FIND("10",A1481,FIND("15",A1481,FIND("01",A1481)+16)+8)+2,50),"")</f>
        <v/>
      </c>
      <c r="G1481" s="5" t="n"/>
    </row>
    <row r="1482">
      <c r="A1482" s="7" t="n"/>
      <c r="B1482" s="8">
        <f>IFERROR(MID(A1482,FIND("01",A1482)+2,14),"")</f>
        <v/>
      </c>
      <c r="C1482" s="7">
        <f>IF(A1482="","",IFERROR(VLOOKUP(B1482,TblArticles,2,FALSE),"GTIN inconnu"))</f>
        <v/>
      </c>
      <c r="D1482" s="8">
        <f>IF(A1482="","",IFERROR(VLOOKUP(B1482,TblArticles,3,FALSE),""))</f>
        <v/>
      </c>
      <c r="E1482" s="9">
        <f>IFERROR(DATE(2000+VALUE(MID(A1482,FIND("15",A1482,FIND("01",A1482)+16)+2,2)),VALUE(MID(A1482,FIND("15",A1482,FIND("01",A1482)+16)+4,2)),VALUE(MID(A1482,FIND("15",A1482,FIND("01",A1482)+16)+6,2))),"")</f>
        <v/>
      </c>
      <c r="F1482" s="8">
        <f>IFERROR(MID(A1482,FIND("10",A1482,FIND("15",A1482,FIND("01",A1482)+16)+8)+2,50),"")</f>
        <v/>
      </c>
      <c r="G1482" s="8" t="n"/>
    </row>
    <row r="1483">
      <c r="A1483" s="4" t="n"/>
      <c r="B1483" s="5">
        <f>IFERROR(MID(A1483,FIND("01",A1483)+2,14),"")</f>
        <v/>
      </c>
      <c r="C1483" s="4">
        <f>IF(A1483="","",IFERROR(VLOOKUP(B1483,TblArticles,2,FALSE),"GTIN inconnu"))</f>
        <v/>
      </c>
      <c r="D1483" s="5">
        <f>IF(A1483="","",IFERROR(VLOOKUP(B1483,TblArticles,3,FALSE),""))</f>
        <v/>
      </c>
      <c r="E1483" s="6">
        <f>IFERROR(DATE(2000+VALUE(MID(A1483,FIND("15",A1483,FIND("01",A1483)+16)+2,2)),VALUE(MID(A1483,FIND("15",A1483,FIND("01",A1483)+16)+4,2)),VALUE(MID(A1483,FIND("15",A1483,FIND("01",A1483)+16)+6,2))),"")</f>
        <v/>
      </c>
      <c r="F1483" s="5">
        <f>IFERROR(MID(A1483,FIND("10",A1483,FIND("15",A1483,FIND("01",A1483)+16)+8)+2,50),"")</f>
        <v/>
      </c>
      <c r="G1483" s="5" t="n"/>
    </row>
    <row r="1484">
      <c r="A1484" s="7" t="n"/>
      <c r="B1484" s="8">
        <f>IFERROR(MID(A1484,FIND("01",A1484)+2,14),"")</f>
        <v/>
      </c>
      <c r="C1484" s="7">
        <f>IF(A1484="","",IFERROR(VLOOKUP(B1484,TblArticles,2,FALSE),"GTIN inconnu"))</f>
        <v/>
      </c>
      <c r="D1484" s="8">
        <f>IF(A1484="","",IFERROR(VLOOKUP(B1484,TblArticles,3,FALSE),""))</f>
        <v/>
      </c>
      <c r="E1484" s="9">
        <f>IFERROR(DATE(2000+VALUE(MID(A1484,FIND("15",A1484,FIND("01",A1484)+16)+2,2)),VALUE(MID(A1484,FIND("15",A1484,FIND("01",A1484)+16)+4,2)),VALUE(MID(A1484,FIND("15",A1484,FIND("01",A1484)+16)+6,2))),"")</f>
        <v/>
      </c>
      <c r="F1484" s="8">
        <f>IFERROR(MID(A1484,FIND("10",A1484,FIND("15",A1484,FIND("01",A1484)+16)+8)+2,50),"")</f>
        <v/>
      </c>
      <c r="G1484" s="8" t="n"/>
    </row>
    <row r="1485">
      <c r="A1485" s="4" t="n"/>
      <c r="B1485" s="5">
        <f>IFERROR(MID(A1485,FIND("01",A1485)+2,14),"")</f>
        <v/>
      </c>
      <c r="C1485" s="4">
        <f>IF(A1485="","",IFERROR(VLOOKUP(B1485,TblArticles,2,FALSE),"GTIN inconnu"))</f>
        <v/>
      </c>
      <c r="D1485" s="5">
        <f>IF(A1485="","",IFERROR(VLOOKUP(B1485,TblArticles,3,FALSE),""))</f>
        <v/>
      </c>
      <c r="E1485" s="6">
        <f>IFERROR(DATE(2000+VALUE(MID(A1485,FIND("15",A1485,FIND("01",A1485)+16)+2,2)),VALUE(MID(A1485,FIND("15",A1485,FIND("01",A1485)+16)+4,2)),VALUE(MID(A1485,FIND("15",A1485,FIND("01",A1485)+16)+6,2))),"")</f>
        <v/>
      </c>
      <c r="F1485" s="5">
        <f>IFERROR(MID(A1485,FIND("10",A1485,FIND("15",A1485,FIND("01",A1485)+16)+8)+2,50),"")</f>
        <v/>
      </c>
      <c r="G1485" s="5" t="n"/>
    </row>
    <row r="1486">
      <c r="A1486" s="7" t="n"/>
      <c r="B1486" s="8">
        <f>IFERROR(MID(A1486,FIND("01",A1486)+2,14),"")</f>
        <v/>
      </c>
      <c r="C1486" s="7">
        <f>IF(A1486="","",IFERROR(VLOOKUP(B1486,TblArticles,2,FALSE),"GTIN inconnu"))</f>
        <v/>
      </c>
      <c r="D1486" s="8">
        <f>IF(A1486="","",IFERROR(VLOOKUP(B1486,TblArticles,3,FALSE),""))</f>
        <v/>
      </c>
      <c r="E1486" s="9">
        <f>IFERROR(DATE(2000+VALUE(MID(A1486,FIND("15",A1486,FIND("01",A1486)+16)+2,2)),VALUE(MID(A1486,FIND("15",A1486,FIND("01",A1486)+16)+4,2)),VALUE(MID(A1486,FIND("15",A1486,FIND("01",A1486)+16)+6,2))),"")</f>
        <v/>
      </c>
      <c r="F1486" s="8">
        <f>IFERROR(MID(A1486,FIND("10",A1486,FIND("15",A1486,FIND("01",A1486)+16)+8)+2,50),"")</f>
        <v/>
      </c>
      <c r="G1486" s="8" t="n"/>
    </row>
    <row r="1487">
      <c r="A1487" s="4" t="n"/>
      <c r="B1487" s="5">
        <f>IFERROR(MID(A1487,FIND("01",A1487)+2,14),"")</f>
        <v/>
      </c>
      <c r="C1487" s="4">
        <f>IF(A1487="","",IFERROR(VLOOKUP(B1487,TblArticles,2,FALSE),"GTIN inconnu"))</f>
        <v/>
      </c>
      <c r="D1487" s="5">
        <f>IF(A1487="","",IFERROR(VLOOKUP(B1487,TblArticles,3,FALSE),""))</f>
        <v/>
      </c>
      <c r="E1487" s="6">
        <f>IFERROR(DATE(2000+VALUE(MID(A1487,FIND("15",A1487,FIND("01",A1487)+16)+2,2)),VALUE(MID(A1487,FIND("15",A1487,FIND("01",A1487)+16)+4,2)),VALUE(MID(A1487,FIND("15",A1487,FIND("01",A1487)+16)+6,2))),"")</f>
        <v/>
      </c>
      <c r="F1487" s="5">
        <f>IFERROR(MID(A1487,FIND("10",A1487,FIND("15",A1487,FIND("01",A1487)+16)+8)+2,50),"")</f>
        <v/>
      </c>
      <c r="G1487" s="5" t="n"/>
    </row>
    <row r="1488">
      <c r="A1488" s="7" t="n"/>
      <c r="B1488" s="8">
        <f>IFERROR(MID(A1488,FIND("01",A1488)+2,14),"")</f>
        <v/>
      </c>
      <c r="C1488" s="7">
        <f>IF(A1488="","",IFERROR(VLOOKUP(B1488,TblArticles,2,FALSE),"GTIN inconnu"))</f>
        <v/>
      </c>
      <c r="D1488" s="8">
        <f>IF(A1488="","",IFERROR(VLOOKUP(B1488,TblArticles,3,FALSE),""))</f>
        <v/>
      </c>
      <c r="E1488" s="9">
        <f>IFERROR(DATE(2000+VALUE(MID(A1488,FIND("15",A1488,FIND("01",A1488)+16)+2,2)),VALUE(MID(A1488,FIND("15",A1488,FIND("01",A1488)+16)+4,2)),VALUE(MID(A1488,FIND("15",A1488,FIND("01",A1488)+16)+6,2))),"")</f>
        <v/>
      </c>
      <c r="F1488" s="8">
        <f>IFERROR(MID(A1488,FIND("10",A1488,FIND("15",A1488,FIND("01",A1488)+16)+8)+2,50),"")</f>
        <v/>
      </c>
      <c r="G1488" s="8" t="n"/>
    </row>
    <row r="1489">
      <c r="A1489" s="4" t="n"/>
      <c r="B1489" s="5">
        <f>IFERROR(MID(A1489,FIND("01",A1489)+2,14),"")</f>
        <v/>
      </c>
      <c r="C1489" s="4">
        <f>IF(A1489="","",IFERROR(VLOOKUP(B1489,TblArticles,2,FALSE),"GTIN inconnu"))</f>
        <v/>
      </c>
      <c r="D1489" s="5">
        <f>IF(A1489="","",IFERROR(VLOOKUP(B1489,TblArticles,3,FALSE),""))</f>
        <v/>
      </c>
      <c r="E1489" s="6">
        <f>IFERROR(DATE(2000+VALUE(MID(A1489,FIND("15",A1489,FIND("01",A1489)+16)+2,2)),VALUE(MID(A1489,FIND("15",A1489,FIND("01",A1489)+16)+4,2)),VALUE(MID(A1489,FIND("15",A1489,FIND("01",A1489)+16)+6,2))),"")</f>
        <v/>
      </c>
      <c r="F1489" s="5">
        <f>IFERROR(MID(A1489,FIND("10",A1489,FIND("15",A1489,FIND("01",A1489)+16)+8)+2,50),"")</f>
        <v/>
      </c>
      <c r="G1489" s="5" t="n"/>
    </row>
    <row r="1490">
      <c r="A1490" s="7" t="n"/>
      <c r="B1490" s="8">
        <f>IFERROR(MID(A1490,FIND("01",A1490)+2,14),"")</f>
        <v/>
      </c>
      <c r="C1490" s="7">
        <f>IF(A1490="","",IFERROR(VLOOKUP(B1490,TblArticles,2,FALSE),"GTIN inconnu"))</f>
        <v/>
      </c>
      <c r="D1490" s="8">
        <f>IF(A1490="","",IFERROR(VLOOKUP(B1490,TblArticles,3,FALSE),""))</f>
        <v/>
      </c>
      <c r="E1490" s="9">
        <f>IFERROR(DATE(2000+VALUE(MID(A1490,FIND("15",A1490,FIND("01",A1490)+16)+2,2)),VALUE(MID(A1490,FIND("15",A1490,FIND("01",A1490)+16)+4,2)),VALUE(MID(A1490,FIND("15",A1490,FIND("01",A1490)+16)+6,2))),"")</f>
        <v/>
      </c>
      <c r="F1490" s="8">
        <f>IFERROR(MID(A1490,FIND("10",A1490,FIND("15",A1490,FIND("01",A1490)+16)+8)+2,50),"")</f>
        <v/>
      </c>
      <c r="G1490" s="8" t="n"/>
    </row>
    <row r="1491">
      <c r="A1491" s="4" t="n"/>
      <c r="B1491" s="5">
        <f>IFERROR(MID(A1491,FIND("01",A1491)+2,14),"")</f>
        <v/>
      </c>
      <c r="C1491" s="4">
        <f>IF(A1491="","",IFERROR(VLOOKUP(B1491,TblArticles,2,FALSE),"GTIN inconnu"))</f>
        <v/>
      </c>
      <c r="D1491" s="5">
        <f>IF(A1491="","",IFERROR(VLOOKUP(B1491,TblArticles,3,FALSE),""))</f>
        <v/>
      </c>
      <c r="E1491" s="6">
        <f>IFERROR(DATE(2000+VALUE(MID(A1491,FIND("15",A1491,FIND("01",A1491)+16)+2,2)),VALUE(MID(A1491,FIND("15",A1491,FIND("01",A1491)+16)+4,2)),VALUE(MID(A1491,FIND("15",A1491,FIND("01",A1491)+16)+6,2))),"")</f>
        <v/>
      </c>
      <c r="F1491" s="5">
        <f>IFERROR(MID(A1491,FIND("10",A1491,FIND("15",A1491,FIND("01",A1491)+16)+8)+2,50),"")</f>
        <v/>
      </c>
      <c r="G1491" s="5" t="n"/>
    </row>
    <row r="1492">
      <c r="A1492" s="7" t="n"/>
      <c r="B1492" s="8">
        <f>IFERROR(MID(A1492,FIND("01",A1492)+2,14),"")</f>
        <v/>
      </c>
      <c r="C1492" s="7">
        <f>IF(A1492="","",IFERROR(VLOOKUP(B1492,TblArticles,2,FALSE),"GTIN inconnu"))</f>
        <v/>
      </c>
      <c r="D1492" s="8">
        <f>IF(A1492="","",IFERROR(VLOOKUP(B1492,TblArticles,3,FALSE),""))</f>
        <v/>
      </c>
      <c r="E1492" s="9">
        <f>IFERROR(DATE(2000+VALUE(MID(A1492,FIND("15",A1492,FIND("01",A1492)+16)+2,2)),VALUE(MID(A1492,FIND("15",A1492,FIND("01",A1492)+16)+4,2)),VALUE(MID(A1492,FIND("15",A1492,FIND("01",A1492)+16)+6,2))),"")</f>
        <v/>
      </c>
      <c r="F1492" s="8">
        <f>IFERROR(MID(A1492,FIND("10",A1492,FIND("15",A1492,FIND("01",A1492)+16)+8)+2,50),"")</f>
        <v/>
      </c>
      <c r="G1492" s="8" t="n"/>
    </row>
    <row r="1493">
      <c r="A1493" s="4" t="n"/>
      <c r="B1493" s="5">
        <f>IFERROR(MID(A1493,FIND("01",A1493)+2,14),"")</f>
        <v/>
      </c>
      <c r="C1493" s="4">
        <f>IF(A1493="","",IFERROR(VLOOKUP(B1493,TblArticles,2,FALSE),"GTIN inconnu"))</f>
        <v/>
      </c>
      <c r="D1493" s="5">
        <f>IF(A1493="","",IFERROR(VLOOKUP(B1493,TblArticles,3,FALSE),""))</f>
        <v/>
      </c>
      <c r="E1493" s="6">
        <f>IFERROR(DATE(2000+VALUE(MID(A1493,FIND("15",A1493,FIND("01",A1493)+16)+2,2)),VALUE(MID(A1493,FIND("15",A1493,FIND("01",A1493)+16)+4,2)),VALUE(MID(A1493,FIND("15",A1493,FIND("01",A1493)+16)+6,2))),"")</f>
        <v/>
      </c>
      <c r="F1493" s="5">
        <f>IFERROR(MID(A1493,FIND("10",A1493,FIND("15",A1493,FIND("01",A1493)+16)+8)+2,50),"")</f>
        <v/>
      </c>
      <c r="G1493" s="5" t="n"/>
    </row>
    <row r="1494">
      <c r="A1494" s="7" t="n"/>
      <c r="B1494" s="8">
        <f>IFERROR(MID(A1494,FIND("01",A1494)+2,14),"")</f>
        <v/>
      </c>
      <c r="C1494" s="7">
        <f>IF(A1494="","",IFERROR(VLOOKUP(B1494,TblArticles,2,FALSE),"GTIN inconnu"))</f>
        <v/>
      </c>
      <c r="D1494" s="8">
        <f>IF(A1494="","",IFERROR(VLOOKUP(B1494,TblArticles,3,FALSE),""))</f>
        <v/>
      </c>
      <c r="E1494" s="9">
        <f>IFERROR(DATE(2000+VALUE(MID(A1494,FIND("15",A1494,FIND("01",A1494)+16)+2,2)),VALUE(MID(A1494,FIND("15",A1494,FIND("01",A1494)+16)+4,2)),VALUE(MID(A1494,FIND("15",A1494,FIND("01",A1494)+16)+6,2))),"")</f>
        <v/>
      </c>
      <c r="F1494" s="8">
        <f>IFERROR(MID(A1494,FIND("10",A1494,FIND("15",A1494,FIND("01",A1494)+16)+8)+2,50),"")</f>
        <v/>
      </c>
      <c r="G1494" s="8" t="n"/>
    </row>
    <row r="1495">
      <c r="A1495" s="4" t="n"/>
      <c r="B1495" s="5">
        <f>IFERROR(MID(A1495,FIND("01",A1495)+2,14),"")</f>
        <v/>
      </c>
      <c r="C1495" s="4">
        <f>IF(A1495="","",IFERROR(VLOOKUP(B1495,TblArticles,2,FALSE),"GTIN inconnu"))</f>
        <v/>
      </c>
      <c r="D1495" s="5">
        <f>IF(A1495="","",IFERROR(VLOOKUP(B1495,TblArticles,3,FALSE),""))</f>
        <v/>
      </c>
      <c r="E1495" s="6">
        <f>IFERROR(DATE(2000+VALUE(MID(A1495,FIND("15",A1495,FIND("01",A1495)+16)+2,2)),VALUE(MID(A1495,FIND("15",A1495,FIND("01",A1495)+16)+4,2)),VALUE(MID(A1495,FIND("15",A1495,FIND("01",A1495)+16)+6,2))),"")</f>
        <v/>
      </c>
      <c r="F1495" s="5">
        <f>IFERROR(MID(A1495,FIND("10",A1495,FIND("15",A1495,FIND("01",A1495)+16)+8)+2,50),"")</f>
        <v/>
      </c>
      <c r="G1495" s="5" t="n"/>
    </row>
    <row r="1496">
      <c r="A1496" s="7" t="n"/>
      <c r="B1496" s="8">
        <f>IFERROR(MID(A1496,FIND("01",A1496)+2,14),"")</f>
        <v/>
      </c>
      <c r="C1496" s="7">
        <f>IF(A1496="","",IFERROR(VLOOKUP(B1496,TblArticles,2,FALSE),"GTIN inconnu"))</f>
        <v/>
      </c>
      <c r="D1496" s="8">
        <f>IF(A1496="","",IFERROR(VLOOKUP(B1496,TblArticles,3,FALSE),""))</f>
        <v/>
      </c>
      <c r="E1496" s="9">
        <f>IFERROR(DATE(2000+VALUE(MID(A1496,FIND("15",A1496,FIND("01",A1496)+16)+2,2)),VALUE(MID(A1496,FIND("15",A1496,FIND("01",A1496)+16)+4,2)),VALUE(MID(A1496,FIND("15",A1496,FIND("01",A1496)+16)+6,2))),"")</f>
        <v/>
      </c>
      <c r="F1496" s="8">
        <f>IFERROR(MID(A1496,FIND("10",A1496,FIND("15",A1496,FIND("01",A1496)+16)+8)+2,50),"")</f>
        <v/>
      </c>
      <c r="G1496" s="8" t="n"/>
    </row>
    <row r="1497">
      <c r="A1497" s="4" t="n"/>
      <c r="B1497" s="5">
        <f>IFERROR(MID(A1497,FIND("01",A1497)+2,14),"")</f>
        <v/>
      </c>
      <c r="C1497" s="4">
        <f>IF(A1497="","",IFERROR(VLOOKUP(B1497,TblArticles,2,FALSE),"GTIN inconnu"))</f>
        <v/>
      </c>
      <c r="D1497" s="5">
        <f>IF(A1497="","",IFERROR(VLOOKUP(B1497,TblArticles,3,FALSE),""))</f>
        <v/>
      </c>
      <c r="E1497" s="6">
        <f>IFERROR(DATE(2000+VALUE(MID(A1497,FIND("15",A1497,FIND("01",A1497)+16)+2,2)),VALUE(MID(A1497,FIND("15",A1497,FIND("01",A1497)+16)+4,2)),VALUE(MID(A1497,FIND("15",A1497,FIND("01",A1497)+16)+6,2))),"")</f>
        <v/>
      </c>
      <c r="F1497" s="5">
        <f>IFERROR(MID(A1497,FIND("10",A1497,FIND("15",A1497,FIND("01",A1497)+16)+8)+2,50),"")</f>
        <v/>
      </c>
      <c r="G1497" s="5" t="n"/>
    </row>
    <row r="1498">
      <c r="A1498" s="7" t="n"/>
      <c r="B1498" s="8">
        <f>IFERROR(MID(A1498,FIND("01",A1498)+2,14),"")</f>
        <v/>
      </c>
      <c r="C1498" s="7">
        <f>IF(A1498="","",IFERROR(VLOOKUP(B1498,TblArticles,2,FALSE),"GTIN inconnu"))</f>
        <v/>
      </c>
      <c r="D1498" s="8">
        <f>IF(A1498="","",IFERROR(VLOOKUP(B1498,TblArticles,3,FALSE),""))</f>
        <v/>
      </c>
      <c r="E1498" s="9">
        <f>IFERROR(DATE(2000+VALUE(MID(A1498,FIND("15",A1498,FIND("01",A1498)+16)+2,2)),VALUE(MID(A1498,FIND("15",A1498,FIND("01",A1498)+16)+4,2)),VALUE(MID(A1498,FIND("15",A1498,FIND("01",A1498)+16)+6,2))),"")</f>
        <v/>
      </c>
      <c r="F1498" s="8">
        <f>IFERROR(MID(A1498,FIND("10",A1498,FIND("15",A1498,FIND("01",A1498)+16)+8)+2,50),"")</f>
        <v/>
      </c>
      <c r="G1498" s="8" t="n"/>
    </row>
    <row r="1499">
      <c r="A1499" s="4" t="n"/>
      <c r="B1499" s="5">
        <f>IFERROR(MID(A1499,FIND("01",A1499)+2,14),"")</f>
        <v/>
      </c>
      <c r="C1499" s="4">
        <f>IF(A1499="","",IFERROR(VLOOKUP(B1499,TblArticles,2,FALSE),"GTIN inconnu"))</f>
        <v/>
      </c>
      <c r="D1499" s="5">
        <f>IF(A1499="","",IFERROR(VLOOKUP(B1499,TblArticles,3,FALSE),""))</f>
        <v/>
      </c>
      <c r="E1499" s="6">
        <f>IFERROR(DATE(2000+VALUE(MID(A1499,FIND("15",A1499,FIND("01",A1499)+16)+2,2)),VALUE(MID(A1499,FIND("15",A1499,FIND("01",A1499)+16)+4,2)),VALUE(MID(A1499,FIND("15",A1499,FIND("01",A1499)+16)+6,2))),"")</f>
        <v/>
      </c>
      <c r="F1499" s="5">
        <f>IFERROR(MID(A1499,FIND("10",A1499,FIND("15",A1499,FIND("01",A1499)+16)+8)+2,50),"")</f>
        <v/>
      </c>
      <c r="G1499" s="5" t="n"/>
    </row>
    <row r="1500">
      <c r="A1500" s="7" t="n"/>
      <c r="B1500" s="8">
        <f>IFERROR(MID(A1500,FIND("01",A1500)+2,14),"")</f>
        <v/>
      </c>
      <c r="C1500" s="7">
        <f>IF(A1500="","",IFERROR(VLOOKUP(B1500,TblArticles,2,FALSE),"GTIN inconnu"))</f>
        <v/>
      </c>
      <c r="D1500" s="8">
        <f>IF(A1500="","",IFERROR(VLOOKUP(B1500,TblArticles,3,FALSE),""))</f>
        <v/>
      </c>
      <c r="E1500" s="9">
        <f>IFERROR(DATE(2000+VALUE(MID(A1500,FIND("15",A1500,FIND("01",A1500)+16)+2,2)),VALUE(MID(A1500,FIND("15",A1500,FIND("01",A1500)+16)+4,2)),VALUE(MID(A1500,FIND("15",A1500,FIND("01",A1500)+16)+6,2))),"")</f>
        <v/>
      </c>
      <c r="F1500" s="8">
        <f>IFERROR(MID(A1500,FIND("10",A1500,FIND("15",A1500,FIND("01",A1500)+16)+8)+2,50),"")</f>
        <v/>
      </c>
      <c r="G1500" s="8" t="n"/>
    </row>
    <row r="1501">
      <c r="A1501" s="4" t="n"/>
      <c r="B1501" s="5">
        <f>IFERROR(MID(A1501,FIND("01",A1501)+2,14),"")</f>
        <v/>
      </c>
      <c r="C1501" s="4">
        <f>IF(A1501="","",IFERROR(VLOOKUP(B1501,TblArticles,2,FALSE),"GTIN inconnu"))</f>
        <v/>
      </c>
      <c r="D1501" s="5">
        <f>IF(A1501="","",IFERROR(VLOOKUP(B1501,TblArticles,3,FALSE),""))</f>
        <v/>
      </c>
      <c r="E1501" s="6">
        <f>IFERROR(DATE(2000+VALUE(MID(A1501,FIND("15",A1501,FIND("01",A1501)+16)+2,2)),VALUE(MID(A1501,FIND("15",A1501,FIND("01",A1501)+16)+4,2)),VALUE(MID(A1501,FIND("15",A1501,FIND("01",A1501)+16)+6,2))),"")</f>
        <v/>
      </c>
      <c r="F1501" s="5">
        <f>IFERROR(MID(A1501,FIND("10",A1501,FIND("15",A1501,FIND("01",A1501)+16)+8)+2,50),"")</f>
        <v/>
      </c>
      <c r="G1501" s="5" t="n"/>
    </row>
    <row r="1502">
      <c r="A1502" s="7" t="n"/>
      <c r="B1502" s="8">
        <f>IFERROR(MID(A1502,FIND("01",A1502)+2,14),"")</f>
        <v/>
      </c>
      <c r="C1502" s="7">
        <f>IF(A1502="","",IFERROR(VLOOKUP(B1502,TblArticles,2,FALSE),"GTIN inconnu"))</f>
        <v/>
      </c>
      <c r="D1502" s="8">
        <f>IF(A1502="","",IFERROR(VLOOKUP(B1502,TblArticles,3,FALSE),""))</f>
        <v/>
      </c>
      <c r="E1502" s="9">
        <f>IFERROR(DATE(2000+VALUE(MID(A1502,FIND("15",A1502,FIND("01",A1502)+16)+2,2)),VALUE(MID(A1502,FIND("15",A1502,FIND("01",A1502)+16)+4,2)),VALUE(MID(A1502,FIND("15",A1502,FIND("01",A1502)+16)+6,2))),"")</f>
        <v/>
      </c>
      <c r="F1502" s="8">
        <f>IFERROR(MID(A1502,FIND("10",A1502,FIND("15",A1502,FIND("01",A1502)+16)+8)+2,50),"")</f>
        <v/>
      </c>
      <c r="G1502" s="8" t="n"/>
    </row>
    <row r="1503">
      <c r="A1503" s="4" t="n"/>
      <c r="B1503" s="5">
        <f>IFERROR(MID(A1503,FIND("01",A1503)+2,14),"")</f>
        <v/>
      </c>
      <c r="C1503" s="4">
        <f>IF(A1503="","",IFERROR(VLOOKUP(B1503,TblArticles,2,FALSE),"GTIN inconnu"))</f>
        <v/>
      </c>
      <c r="D1503" s="5">
        <f>IF(A1503="","",IFERROR(VLOOKUP(B1503,TblArticles,3,FALSE),""))</f>
        <v/>
      </c>
      <c r="E1503" s="6">
        <f>IFERROR(DATE(2000+VALUE(MID(A1503,FIND("15",A1503,FIND("01",A1503)+16)+2,2)),VALUE(MID(A1503,FIND("15",A1503,FIND("01",A1503)+16)+4,2)),VALUE(MID(A1503,FIND("15",A1503,FIND("01",A1503)+16)+6,2))),"")</f>
        <v/>
      </c>
      <c r="F1503" s="5">
        <f>IFERROR(MID(A1503,FIND("10",A1503,FIND("15",A1503,FIND("01",A1503)+16)+8)+2,50),"")</f>
        <v/>
      </c>
      <c r="G1503" s="5" t="n"/>
    </row>
    <row r="1504">
      <c r="A1504" s="7" t="n"/>
      <c r="B1504" s="8">
        <f>IFERROR(MID(A1504,FIND("01",A1504)+2,14),"")</f>
        <v/>
      </c>
      <c r="C1504" s="7">
        <f>IF(A1504="","",IFERROR(VLOOKUP(B1504,TblArticles,2,FALSE),"GTIN inconnu"))</f>
        <v/>
      </c>
      <c r="D1504" s="8">
        <f>IF(A1504="","",IFERROR(VLOOKUP(B1504,TblArticles,3,FALSE),""))</f>
        <v/>
      </c>
      <c r="E1504" s="9">
        <f>IFERROR(DATE(2000+VALUE(MID(A1504,FIND("15",A1504,FIND("01",A1504)+16)+2,2)),VALUE(MID(A1504,FIND("15",A1504,FIND("01",A1504)+16)+4,2)),VALUE(MID(A1504,FIND("15",A1504,FIND("01",A1504)+16)+6,2))),"")</f>
        <v/>
      </c>
      <c r="F1504" s="8">
        <f>IFERROR(MID(A1504,FIND("10",A1504,FIND("15",A1504,FIND("01",A1504)+16)+8)+2,50),"")</f>
        <v/>
      </c>
      <c r="G1504" s="8" t="n"/>
    </row>
    <row r="1505">
      <c r="A1505" s="4" t="n"/>
      <c r="B1505" s="5">
        <f>IFERROR(MID(A1505,FIND("01",A1505)+2,14),"")</f>
        <v/>
      </c>
      <c r="C1505" s="4">
        <f>IF(A1505="","",IFERROR(VLOOKUP(B1505,TblArticles,2,FALSE),"GTIN inconnu"))</f>
        <v/>
      </c>
      <c r="D1505" s="5">
        <f>IF(A1505="","",IFERROR(VLOOKUP(B1505,TblArticles,3,FALSE),""))</f>
        <v/>
      </c>
      <c r="E1505" s="6">
        <f>IFERROR(DATE(2000+VALUE(MID(A1505,FIND("15",A1505,FIND("01",A1505)+16)+2,2)),VALUE(MID(A1505,FIND("15",A1505,FIND("01",A1505)+16)+4,2)),VALUE(MID(A1505,FIND("15",A1505,FIND("01",A1505)+16)+6,2))),"")</f>
        <v/>
      </c>
      <c r="F1505" s="5">
        <f>IFERROR(MID(A1505,FIND("10",A1505,FIND("15",A1505,FIND("01",A1505)+16)+8)+2,50),"")</f>
        <v/>
      </c>
      <c r="G1505" s="5" t="n"/>
    </row>
    <row r="1506">
      <c r="A1506" s="7" t="n"/>
      <c r="B1506" s="8">
        <f>IFERROR(MID(A1506,FIND("01",A1506)+2,14),"")</f>
        <v/>
      </c>
      <c r="C1506" s="7">
        <f>IF(A1506="","",IFERROR(VLOOKUP(B1506,TblArticles,2,FALSE),"GTIN inconnu"))</f>
        <v/>
      </c>
      <c r="D1506" s="8">
        <f>IF(A1506="","",IFERROR(VLOOKUP(B1506,TblArticles,3,FALSE),""))</f>
        <v/>
      </c>
      <c r="E1506" s="9">
        <f>IFERROR(DATE(2000+VALUE(MID(A1506,FIND("15",A1506,FIND("01",A1506)+16)+2,2)),VALUE(MID(A1506,FIND("15",A1506,FIND("01",A1506)+16)+4,2)),VALUE(MID(A1506,FIND("15",A1506,FIND("01",A1506)+16)+6,2))),"")</f>
        <v/>
      </c>
      <c r="F1506" s="8">
        <f>IFERROR(MID(A1506,FIND("10",A1506,FIND("15",A1506,FIND("01",A1506)+16)+8)+2,50),"")</f>
        <v/>
      </c>
      <c r="G1506" s="8" t="n"/>
    </row>
    <row r="1507">
      <c r="A1507" s="4" t="n"/>
      <c r="B1507" s="5">
        <f>IFERROR(MID(A1507,FIND("01",A1507)+2,14),"")</f>
        <v/>
      </c>
      <c r="C1507" s="4">
        <f>IF(A1507="","",IFERROR(VLOOKUP(B1507,TblArticles,2,FALSE),"GTIN inconnu"))</f>
        <v/>
      </c>
      <c r="D1507" s="5">
        <f>IF(A1507="","",IFERROR(VLOOKUP(B1507,TblArticles,3,FALSE),""))</f>
        <v/>
      </c>
      <c r="E1507" s="6">
        <f>IFERROR(DATE(2000+VALUE(MID(A1507,FIND("15",A1507,FIND("01",A1507)+16)+2,2)),VALUE(MID(A1507,FIND("15",A1507,FIND("01",A1507)+16)+4,2)),VALUE(MID(A1507,FIND("15",A1507,FIND("01",A1507)+16)+6,2))),"")</f>
        <v/>
      </c>
      <c r="F1507" s="5">
        <f>IFERROR(MID(A1507,FIND("10",A1507,FIND("15",A1507,FIND("01",A1507)+16)+8)+2,50),"")</f>
        <v/>
      </c>
      <c r="G1507" s="5" t="n"/>
    </row>
    <row r="1508">
      <c r="A1508" s="7" t="n"/>
      <c r="B1508" s="8">
        <f>IFERROR(MID(A1508,FIND("01",A1508)+2,14),"")</f>
        <v/>
      </c>
      <c r="C1508" s="7">
        <f>IF(A1508="","",IFERROR(VLOOKUP(B1508,TblArticles,2,FALSE),"GTIN inconnu"))</f>
        <v/>
      </c>
      <c r="D1508" s="8">
        <f>IF(A1508="","",IFERROR(VLOOKUP(B1508,TblArticles,3,FALSE),""))</f>
        <v/>
      </c>
      <c r="E1508" s="9">
        <f>IFERROR(DATE(2000+VALUE(MID(A1508,FIND("15",A1508,FIND("01",A1508)+16)+2,2)),VALUE(MID(A1508,FIND("15",A1508,FIND("01",A1508)+16)+4,2)),VALUE(MID(A1508,FIND("15",A1508,FIND("01",A1508)+16)+6,2))),"")</f>
        <v/>
      </c>
      <c r="F1508" s="8">
        <f>IFERROR(MID(A1508,FIND("10",A1508,FIND("15",A1508,FIND("01",A1508)+16)+8)+2,50),"")</f>
        <v/>
      </c>
      <c r="G1508" s="8" t="n"/>
    </row>
    <row r="1509">
      <c r="A1509" s="4" t="n"/>
      <c r="B1509" s="5">
        <f>IFERROR(MID(A1509,FIND("01",A1509)+2,14),"")</f>
        <v/>
      </c>
      <c r="C1509" s="4">
        <f>IF(A1509="","",IFERROR(VLOOKUP(B1509,TblArticles,2,FALSE),"GTIN inconnu"))</f>
        <v/>
      </c>
      <c r="D1509" s="5">
        <f>IF(A1509="","",IFERROR(VLOOKUP(B1509,TblArticles,3,FALSE),""))</f>
        <v/>
      </c>
      <c r="E1509" s="6">
        <f>IFERROR(DATE(2000+VALUE(MID(A1509,FIND("15",A1509,FIND("01",A1509)+16)+2,2)),VALUE(MID(A1509,FIND("15",A1509,FIND("01",A1509)+16)+4,2)),VALUE(MID(A1509,FIND("15",A1509,FIND("01",A1509)+16)+6,2))),"")</f>
        <v/>
      </c>
      <c r="F1509" s="5">
        <f>IFERROR(MID(A1509,FIND("10",A1509,FIND("15",A1509,FIND("01",A1509)+16)+8)+2,50),"")</f>
        <v/>
      </c>
      <c r="G1509" s="5" t="n"/>
    </row>
    <row r="1510">
      <c r="A1510" s="7" t="n"/>
      <c r="B1510" s="8">
        <f>IFERROR(MID(A1510,FIND("01",A1510)+2,14),"")</f>
        <v/>
      </c>
      <c r="C1510" s="7">
        <f>IF(A1510="","",IFERROR(VLOOKUP(B1510,TblArticles,2,FALSE),"GTIN inconnu"))</f>
        <v/>
      </c>
      <c r="D1510" s="8">
        <f>IF(A1510="","",IFERROR(VLOOKUP(B1510,TblArticles,3,FALSE),""))</f>
        <v/>
      </c>
      <c r="E1510" s="9">
        <f>IFERROR(DATE(2000+VALUE(MID(A1510,FIND("15",A1510,FIND("01",A1510)+16)+2,2)),VALUE(MID(A1510,FIND("15",A1510,FIND("01",A1510)+16)+4,2)),VALUE(MID(A1510,FIND("15",A1510,FIND("01",A1510)+16)+6,2))),"")</f>
        <v/>
      </c>
      <c r="F1510" s="8">
        <f>IFERROR(MID(A1510,FIND("10",A1510,FIND("15",A1510,FIND("01",A1510)+16)+8)+2,50),"")</f>
        <v/>
      </c>
      <c r="G1510" s="8" t="n"/>
    </row>
    <row r="1511">
      <c r="A1511" s="4" t="n"/>
      <c r="B1511" s="5">
        <f>IFERROR(MID(A1511,FIND("01",A1511)+2,14),"")</f>
        <v/>
      </c>
      <c r="C1511" s="4">
        <f>IF(A1511="","",IFERROR(VLOOKUP(B1511,TblArticles,2,FALSE),"GTIN inconnu"))</f>
        <v/>
      </c>
      <c r="D1511" s="5">
        <f>IF(A1511="","",IFERROR(VLOOKUP(B1511,TblArticles,3,FALSE),""))</f>
        <v/>
      </c>
      <c r="E1511" s="6">
        <f>IFERROR(DATE(2000+VALUE(MID(A1511,FIND("15",A1511,FIND("01",A1511)+16)+2,2)),VALUE(MID(A1511,FIND("15",A1511,FIND("01",A1511)+16)+4,2)),VALUE(MID(A1511,FIND("15",A1511,FIND("01",A1511)+16)+6,2))),"")</f>
        <v/>
      </c>
      <c r="F1511" s="5">
        <f>IFERROR(MID(A1511,FIND("10",A1511,FIND("15",A1511,FIND("01",A1511)+16)+8)+2,50),"")</f>
        <v/>
      </c>
      <c r="G1511" s="5" t="n"/>
    </row>
    <row r="1512">
      <c r="A1512" s="7" t="n"/>
      <c r="B1512" s="8">
        <f>IFERROR(MID(A1512,FIND("01",A1512)+2,14),"")</f>
        <v/>
      </c>
      <c r="C1512" s="7">
        <f>IF(A1512="","",IFERROR(VLOOKUP(B1512,TblArticles,2,FALSE),"GTIN inconnu"))</f>
        <v/>
      </c>
      <c r="D1512" s="8">
        <f>IF(A1512="","",IFERROR(VLOOKUP(B1512,TblArticles,3,FALSE),""))</f>
        <v/>
      </c>
      <c r="E1512" s="9">
        <f>IFERROR(DATE(2000+VALUE(MID(A1512,FIND("15",A1512,FIND("01",A1512)+16)+2,2)),VALUE(MID(A1512,FIND("15",A1512,FIND("01",A1512)+16)+4,2)),VALUE(MID(A1512,FIND("15",A1512,FIND("01",A1512)+16)+6,2))),"")</f>
        <v/>
      </c>
      <c r="F1512" s="8">
        <f>IFERROR(MID(A1512,FIND("10",A1512,FIND("15",A1512,FIND("01",A1512)+16)+8)+2,50),"")</f>
        <v/>
      </c>
      <c r="G1512" s="8" t="n"/>
    </row>
    <row r="1513">
      <c r="A1513" s="4" t="n"/>
      <c r="B1513" s="5">
        <f>IFERROR(MID(A1513,FIND("01",A1513)+2,14),"")</f>
        <v/>
      </c>
      <c r="C1513" s="4">
        <f>IF(A1513="","",IFERROR(VLOOKUP(B1513,TblArticles,2,FALSE),"GTIN inconnu"))</f>
        <v/>
      </c>
      <c r="D1513" s="5">
        <f>IF(A1513="","",IFERROR(VLOOKUP(B1513,TblArticles,3,FALSE),""))</f>
        <v/>
      </c>
      <c r="E1513" s="6">
        <f>IFERROR(DATE(2000+VALUE(MID(A1513,FIND("15",A1513,FIND("01",A1513)+16)+2,2)),VALUE(MID(A1513,FIND("15",A1513,FIND("01",A1513)+16)+4,2)),VALUE(MID(A1513,FIND("15",A1513,FIND("01",A1513)+16)+6,2))),"")</f>
        <v/>
      </c>
      <c r="F1513" s="5">
        <f>IFERROR(MID(A1513,FIND("10",A1513,FIND("15",A1513,FIND("01",A1513)+16)+8)+2,50),"")</f>
        <v/>
      </c>
      <c r="G1513" s="5" t="n"/>
    </row>
    <row r="1514">
      <c r="A1514" s="7" t="n"/>
      <c r="B1514" s="8">
        <f>IFERROR(MID(A1514,FIND("01",A1514)+2,14),"")</f>
        <v/>
      </c>
      <c r="C1514" s="7">
        <f>IF(A1514="","",IFERROR(VLOOKUP(B1514,TblArticles,2,FALSE),"GTIN inconnu"))</f>
        <v/>
      </c>
      <c r="D1514" s="8">
        <f>IF(A1514="","",IFERROR(VLOOKUP(B1514,TblArticles,3,FALSE),""))</f>
        <v/>
      </c>
      <c r="E1514" s="9">
        <f>IFERROR(DATE(2000+VALUE(MID(A1514,FIND("15",A1514,FIND("01",A1514)+16)+2,2)),VALUE(MID(A1514,FIND("15",A1514,FIND("01",A1514)+16)+4,2)),VALUE(MID(A1514,FIND("15",A1514,FIND("01",A1514)+16)+6,2))),"")</f>
        <v/>
      </c>
      <c r="F1514" s="8">
        <f>IFERROR(MID(A1514,FIND("10",A1514,FIND("15",A1514,FIND("01",A1514)+16)+8)+2,50),"")</f>
        <v/>
      </c>
      <c r="G1514" s="8" t="n"/>
    </row>
    <row r="1515">
      <c r="A1515" s="4" t="n"/>
      <c r="B1515" s="5">
        <f>IFERROR(MID(A1515,FIND("01",A1515)+2,14),"")</f>
        <v/>
      </c>
      <c r="C1515" s="4">
        <f>IF(A1515="","",IFERROR(VLOOKUP(B1515,TblArticles,2,FALSE),"GTIN inconnu"))</f>
        <v/>
      </c>
      <c r="D1515" s="5">
        <f>IF(A1515="","",IFERROR(VLOOKUP(B1515,TblArticles,3,FALSE),""))</f>
        <v/>
      </c>
      <c r="E1515" s="6">
        <f>IFERROR(DATE(2000+VALUE(MID(A1515,FIND("15",A1515,FIND("01",A1515)+16)+2,2)),VALUE(MID(A1515,FIND("15",A1515,FIND("01",A1515)+16)+4,2)),VALUE(MID(A1515,FIND("15",A1515,FIND("01",A1515)+16)+6,2))),"")</f>
        <v/>
      </c>
      <c r="F1515" s="5">
        <f>IFERROR(MID(A1515,FIND("10",A1515,FIND("15",A1515,FIND("01",A1515)+16)+8)+2,50),"")</f>
        <v/>
      </c>
      <c r="G1515" s="5" t="n"/>
    </row>
    <row r="1516">
      <c r="A1516" s="7" t="n"/>
      <c r="B1516" s="8">
        <f>IFERROR(MID(A1516,FIND("01",A1516)+2,14),"")</f>
        <v/>
      </c>
      <c r="C1516" s="7">
        <f>IF(A1516="","",IFERROR(VLOOKUP(B1516,TblArticles,2,FALSE),"GTIN inconnu"))</f>
        <v/>
      </c>
      <c r="D1516" s="8">
        <f>IF(A1516="","",IFERROR(VLOOKUP(B1516,TblArticles,3,FALSE),""))</f>
        <v/>
      </c>
      <c r="E1516" s="9">
        <f>IFERROR(DATE(2000+VALUE(MID(A1516,FIND("15",A1516,FIND("01",A1516)+16)+2,2)),VALUE(MID(A1516,FIND("15",A1516,FIND("01",A1516)+16)+4,2)),VALUE(MID(A1516,FIND("15",A1516,FIND("01",A1516)+16)+6,2))),"")</f>
        <v/>
      </c>
      <c r="F1516" s="8">
        <f>IFERROR(MID(A1516,FIND("10",A1516,FIND("15",A1516,FIND("01",A1516)+16)+8)+2,50),"")</f>
        <v/>
      </c>
      <c r="G1516" s="8" t="n"/>
    </row>
    <row r="1517">
      <c r="A1517" s="4" t="n"/>
      <c r="B1517" s="5">
        <f>IFERROR(MID(A1517,FIND("01",A1517)+2,14),"")</f>
        <v/>
      </c>
      <c r="C1517" s="4">
        <f>IF(A1517="","",IFERROR(VLOOKUP(B1517,TblArticles,2,FALSE),"GTIN inconnu"))</f>
        <v/>
      </c>
      <c r="D1517" s="5">
        <f>IF(A1517="","",IFERROR(VLOOKUP(B1517,TblArticles,3,FALSE),""))</f>
        <v/>
      </c>
      <c r="E1517" s="6">
        <f>IFERROR(DATE(2000+VALUE(MID(A1517,FIND("15",A1517,FIND("01",A1517)+16)+2,2)),VALUE(MID(A1517,FIND("15",A1517,FIND("01",A1517)+16)+4,2)),VALUE(MID(A1517,FIND("15",A1517,FIND("01",A1517)+16)+6,2))),"")</f>
        <v/>
      </c>
      <c r="F1517" s="5">
        <f>IFERROR(MID(A1517,FIND("10",A1517,FIND("15",A1517,FIND("01",A1517)+16)+8)+2,50),"")</f>
        <v/>
      </c>
      <c r="G1517" s="5" t="n"/>
    </row>
    <row r="1518">
      <c r="A1518" s="7" t="n"/>
      <c r="B1518" s="8">
        <f>IFERROR(MID(A1518,FIND("01",A1518)+2,14),"")</f>
        <v/>
      </c>
      <c r="C1518" s="7">
        <f>IF(A1518="","",IFERROR(VLOOKUP(B1518,TblArticles,2,FALSE),"GTIN inconnu"))</f>
        <v/>
      </c>
      <c r="D1518" s="8">
        <f>IF(A1518="","",IFERROR(VLOOKUP(B1518,TblArticles,3,FALSE),""))</f>
        <v/>
      </c>
      <c r="E1518" s="9">
        <f>IFERROR(DATE(2000+VALUE(MID(A1518,FIND("15",A1518,FIND("01",A1518)+16)+2,2)),VALUE(MID(A1518,FIND("15",A1518,FIND("01",A1518)+16)+4,2)),VALUE(MID(A1518,FIND("15",A1518,FIND("01",A1518)+16)+6,2))),"")</f>
        <v/>
      </c>
      <c r="F1518" s="8">
        <f>IFERROR(MID(A1518,FIND("10",A1518,FIND("15",A1518,FIND("01",A1518)+16)+8)+2,50),"")</f>
        <v/>
      </c>
      <c r="G1518" s="8" t="n"/>
    </row>
    <row r="1519">
      <c r="A1519" s="4" t="n"/>
      <c r="B1519" s="5">
        <f>IFERROR(MID(A1519,FIND("01",A1519)+2,14),"")</f>
        <v/>
      </c>
      <c r="C1519" s="4">
        <f>IF(A1519="","",IFERROR(VLOOKUP(B1519,TblArticles,2,FALSE),"GTIN inconnu"))</f>
        <v/>
      </c>
      <c r="D1519" s="5">
        <f>IF(A1519="","",IFERROR(VLOOKUP(B1519,TblArticles,3,FALSE),""))</f>
        <v/>
      </c>
      <c r="E1519" s="6">
        <f>IFERROR(DATE(2000+VALUE(MID(A1519,FIND("15",A1519,FIND("01",A1519)+16)+2,2)),VALUE(MID(A1519,FIND("15",A1519,FIND("01",A1519)+16)+4,2)),VALUE(MID(A1519,FIND("15",A1519,FIND("01",A1519)+16)+6,2))),"")</f>
        <v/>
      </c>
      <c r="F1519" s="5">
        <f>IFERROR(MID(A1519,FIND("10",A1519,FIND("15",A1519,FIND("01",A1519)+16)+8)+2,50),"")</f>
        <v/>
      </c>
      <c r="G1519" s="5" t="n"/>
    </row>
    <row r="1520">
      <c r="A1520" s="7" t="n"/>
      <c r="B1520" s="8">
        <f>IFERROR(MID(A1520,FIND("01",A1520)+2,14),"")</f>
        <v/>
      </c>
      <c r="C1520" s="7">
        <f>IF(A1520="","",IFERROR(VLOOKUP(B1520,TblArticles,2,FALSE),"GTIN inconnu"))</f>
        <v/>
      </c>
      <c r="D1520" s="8">
        <f>IF(A1520="","",IFERROR(VLOOKUP(B1520,TblArticles,3,FALSE),""))</f>
        <v/>
      </c>
      <c r="E1520" s="9">
        <f>IFERROR(DATE(2000+VALUE(MID(A1520,FIND("15",A1520,FIND("01",A1520)+16)+2,2)),VALUE(MID(A1520,FIND("15",A1520,FIND("01",A1520)+16)+4,2)),VALUE(MID(A1520,FIND("15",A1520,FIND("01",A1520)+16)+6,2))),"")</f>
        <v/>
      </c>
      <c r="F1520" s="8">
        <f>IFERROR(MID(A1520,FIND("10",A1520,FIND("15",A1520,FIND("01",A1520)+16)+8)+2,50),"")</f>
        <v/>
      </c>
      <c r="G1520" s="8" t="n"/>
    </row>
    <row r="1521">
      <c r="A1521" s="4" t="n"/>
      <c r="B1521" s="5">
        <f>IFERROR(MID(A1521,FIND("01",A1521)+2,14),"")</f>
        <v/>
      </c>
      <c r="C1521" s="4">
        <f>IF(A1521="","",IFERROR(VLOOKUP(B1521,TblArticles,2,FALSE),"GTIN inconnu"))</f>
        <v/>
      </c>
      <c r="D1521" s="5">
        <f>IF(A1521="","",IFERROR(VLOOKUP(B1521,TblArticles,3,FALSE),""))</f>
        <v/>
      </c>
      <c r="E1521" s="6">
        <f>IFERROR(DATE(2000+VALUE(MID(A1521,FIND("15",A1521,FIND("01",A1521)+16)+2,2)),VALUE(MID(A1521,FIND("15",A1521,FIND("01",A1521)+16)+4,2)),VALUE(MID(A1521,FIND("15",A1521,FIND("01",A1521)+16)+6,2))),"")</f>
        <v/>
      </c>
      <c r="F1521" s="5">
        <f>IFERROR(MID(A1521,FIND("10",A1521,FIND("15",A1521,FIND("01",A1521)+16)+8)+2,50),"")</f>
        <v/>
      </c>
      <c r="G1521" s="5" t="n"/>
    </row>
    <row r="1522">
      <c r="A1522" s="7" t="n"/>
      <c r="B1522" s="8">
        <f>IFERROR(MID(A1522,FIND("01",A1522)+2,14),"")</f>
        <v/>
      </c>
      <c r="C1522" s="7">
        <f>IF(A1522="","",IFERROR(VLOOKUP(B1522,TblArticles,2,FALSE),"GTIN inconnu"))</f>
        <v/>
      </c>
      <c r="D1522" s="8">
        <f>IF(A1522="","",IFERROR(VLOOKUP(B1522,TblArticles,3,FALSE),""))</f>
        <v/>
      </c>
      <c r="E1522" s="9">
        <f>IFERROR(DATE(2000+VALUE(MID(A1522,FIND("15",A1522,FIND("01",A1522)+16)+2,2)),VALUE(MID(A1522,FIND("15",A1522,FIND("01",A1522)+16)+4,2)),VALUE(MID(A1522,FIND("15",A1522,FIND("01",A1522)+16)+6,2))),"")</f>
        <v/>
      </c>
      <c r="F1522" s="8">
        <f>IFERROR(MID(A1522,FIND("10",A1522,FIND("15",A1522,FIND("01",A1522)+16)+8)+2,50),"")</f>
        <v/>
      </c>
      <c r="G1522" s="8" t="n"/>
    </row>
    <row r="1523">
      <c r="A1523" s="4" t="n"/>
      <c r="B1523" s="5">
        <f>IFERROR(MID(A1523,FIND("01",A1523)+2,14),"")</f>
        <v/>
      </c>
      <c r="C1523" s="4">
        <f>IF(A1523="","",IFERROR(VLOOKUP(B1523,TblArticles,2,FALSE),"GTIN inconnu"))</f>
        <v/>
      </c>
      <c r="D1523" s="5">
        <f>IF(A1523="","",IFERROR(VLOOKUP(B1523,TblArticles,3,FALSE),""))</f>
        <v/>
      </c>
      <c r="E1523" s="6">
        <f>IFERROR(DATE(2000+VALUE(MID(A1523,FIND("15",A1523,FIND("01",A1523)+16)+2,2)),VALUE(MID(A1523,FIND("15",A1523,FIND("01",A1523)+16)+4,2)),VALUE(MID(A1523,FIND("15",A1523,FIND("01",A1523)+16)+6,2))),"")</f>
        <v/>
      </c>
      <c r="F1523" s="5">
        <f>IFERROR(MID(A1523,FIND("10",A1523,FIND("15",A1523,FIND("01",A1523)+16)+8)+2,50),"")</f>
        <v/>
      </c>
      <c r="G1523" s="5" t="n"/>
    </row>
    <row r="1524">
      <c r="A1524" s="7" t="n"/>
      <c r="B1524" s="8">
        <f>IFERROR(MID(A1524,FIND("01",A1524)+2,14),"")</f>
        <v/>
      </c>
      <c r="C1524" s="7">
        <f>IF(A1524="","",IFERROR(VLOOKUP(B1524,TblArticles,2,FALSE),"GTIN inconnu"))</f>
        <v/>
      </c>
      <c r="D1524" s="8">
        <f>IF(A1524="","",IFERROR(VLOOKUP(B1524,TblArticles,3,FALSE),""))</f>
        <v/>
      </c>
      <c r="E1524" s="9">
        <f>IFERROR(DATE(2000+VALUE(MID(A1524,FIND("15",A1524,FIND("01",A1524)+16)+2,2)),VALUE(MID(A1524,FIND("15",A1524,FIND("01",A1524)+16)+4,2)),VALUE(MID(A1524,FIND("15",A1524,FIND("01",A1524)+16)+6,2))),"")</f>
        <v/>
      </c>
      <c r="F1524" s="8">
        <f>IFERROR(MID(A1524,FIND("10",A1524,FIND("15",A1524,FIND("01",A1524)+16)+8)+2,50),"")</f>
        <v/>
      </c>
      <c r="G1524" s="8" t="n"/>
    </row>
    <row r="1525">
      <c r="A1525" s="4" t="n"/>
      <c r="B1525" s="5">
        <f>IFERROR(MID(A1525,FIND("01",A1525)+2,14),"")</f>
        <v/>
      </c>
      <c r="C1525" s="4">
        <f>IF(A1525="","",IFERROR(VLOOKUP(B1525,TblArticles,2,FALSE),"GTIN inconnu"))</f>
        <v/>
      </c>
      <c r="D1525" s="5">
        <f>IF(A1525="","",IFERROR(VLOOKUP(B1525,TblArticles,3,FALSE),""))</f>
        <v/>
      </c>
      <c r="E1525" s="6">
        <f>IFERROR(DATE(2000+VALUE(MID(A1525,FIND("15",A1525,FIND("01",A1525)+16)+2,2)),VALUE(MID(A1525,FIND("15",A1525,FIND("01",A1525)+16)+4,2)),VALUE(MID(A1525,FIND("15",A1525,FIND("01",A1525)+16)+6,2))),"")</f>
        <v/>
      </c>
      <c r="F1525" s="5">
        <f>IFERROR(MID(A1525,FIND("10",A1525,FIND("15",A1525,FIND("01",A1525)+16)+8)+2,50),"")</f>
        <v/>
      </c>
      <c r="G1525" s="5" t="n"/>
    </row>
    <row r="1526">
      <c r="A1526" s="7" t="n"/>
      <c r="B1526" s="8">
        <f>IFERROR(MID(A1526,FIND("01",A1526)+2,14),"")</f>
        <v/>
      </c>
      <c r="C1526" s="7">
        <f>IF(A1526="","",IFERROR(VLOOKUP(B1526,TblArticles,2,FALSE),"GTIN inconnu"))</f>
        <v/>
      </c>
      <c r="D1526" s="8">
        <f>IF(A1526="","",IFERROR(VLOOKUP(B1526,TblArticles,3,FALSE),""))</f>
        <v/>
      </c>
      <c r="E1526" s="9">
        <f>IFERROR(DATE(2000+VALUE(MID(A1526,FIND("15",A1526,FIND("01",A1526)+16)+2,2)),VALUE(MID(A1526,FIND("15",A1526,FIND("01",A1526)+16)+4,2)),VALUE(MID(A1526,FIND("15",A1526,FIND("01",A1526)+16)+6,2))),"")</f>
        <v/>
      </c>
      <c r="F1526" s="8">
        <f>IFERROR(MID(A1526,FIND("10",A1526,FIND("15",A1526,FIND("01",A1526)+16)+8)+2,50),"")</f>
        <v/>
      </c>
      <c r="G1526" s="8" t="n"/>
    </row>
    <row r="1527">
      <c r="A1527" s="4" t="n"/>
      <c r="B1527" s="5">
        <f>IFERROR(MID(A1527,FIND("01",A1527)+2,14),"")</f>
        <v/>
      </c>
      <c r="C1527" s="4">
        <f>IF(A1527="","",IFERROR(VLOOKUP(B1527,TblArticles,2,FALSE),"GTIN inconnu"))</f>
        <v/>
      </c>
      <c r="D1527" s="5">
        <f>IF(A1527="","",IFERROR(VLOOKUP(B1527,TblArticles,3,FALSE),""))</f>
        <v/>
      </c>
      <c r="E1527" s="6">
        <f>IFERROR(DATE(2000+VALUE(MID(A1527,FIND("15",A1527,FIND("01",A1527)+16)+2,2)),VALUE(MID(A1527,FIND("15",A1527,FIND("01",A1527)+16)+4,2)),VALUE(MID(A1527,FIND("15",A1527,FIND("01",A1527)+16)+6,2))),"")</f>
        <v/>
      </c>
      <c r="F1527" s="5">
        <f>IFERROR(MID(A1527,FIND("10",A1527,FIND("15",A1527,FIND("01",A1527)+16)+8)+2,50),"")</f>
        <v/>
      </c>
      <c r="G1527" s="5" t="n"/>
    </row>
    <row r="1528">
      <c r="A1528" s="7" t="n"/>
      <c r="B1528" s="8">
        <f>IFERROR(MID(A1528,FIND("01",A1528)+2,14),"")</f>
        <v/>
      </c>
      <c r="C1528" s="7">
        <f>IF(A1528="","",IFERROR(VLOOKUP(B1528,TblArticles,2,FALSE),"GTIN inconnu"))</f>
        <v/>
      </c>
      <c r="D1528" s="8">
        <f>IF(A1528="","",IFERROR(VLOOKUP(B1528,TblArticles,3,FALSE),""))</f>
        <v/>
      </c>
      <c r="E1528" s="9">
        <f>IFERROR(DATE(2000+VALUE(MID(A1528,FIND("15",A1528,FIND("01",A1528)+16)+2,2)),VALUE(MID(A1528,FIND("15",A1528,FIND("01",A1528)+16)+4,2)),VALUE(MID(A1528,FIND("15",A1528,FIND("01",A1528)+16)+6,2))),"")</f>
        <v/>
      </c>
      <c r="F1528" s="8">
        <f>IFERROR(MID(A1528,FIND("10",A1528,FIND("15",A1528,FIND("01",A1528)+16)+8)+2,50),"")</f>
        <v/>
      </c>
      <c r="G1528" s="8" t="n"/>
    </row>
    <row r="1529">
      <c r="A1529" s="4" t="n"/>
      <c r="B1529" s="5">
        <f>IFERROR(MID(A1529,FIND("01",A1529)+2,14),"")</f>
        <v/>
      </c>
      <c r="C1529" s="4">
        <f>IF(A1529="","",IFERROR(VLOOKUP(B1529,TblArticles,2,FALSE),"GTIN inconnu"))</f>
        <v/>
      </c>
      <c r="D1529" s="5">
        <f>IF(A1529="","",IFERROR(VLOOKUP(B1529,TblArticles,3,FALSE),""))</f>
        <v/>
      </c>
      <c r="E1529" s="6">
        <f>IFERROR(DATE(2000+VALUE(MID(A1529,FIND("15",A1529,FIND("01",A1529)+16)+2,2)),VALUE(MID(A1529,FIND("15",A1529,FIND("01",A1529)+16)+4,2)),VALUE(MID(A1529,FIND("15",A1529,FIND("01",A1529)+16)+6,2))),"")</f>
        <v/>
      </c>
      <c r="F1529" s="5">
        <f>IFERROR(MID(A1529,FIND("10",A1529,FIND("15",A1529,FIND("01",A1529)+16)+8)+2,50),"")</f>
        <v/>
      </c>
      <c r="G1529" s="5" t="n"/>
    </row>
    <row r="1530">
      <c r="A1530" s="7" t="n"/>
      <c r="B1530" s="8">
        <f>IFERROR(MID(A1530,FIND("01",A1530)+2,14),"")</f>
        <v/>
      </c>
      <c r="C1530" s="7">
        <f>IF(A1530="","",IFERROR(VLOOKUP(B1530,TblArticles,2,FALSE),"GTIN inconnu"))</f>
        <v/>
      </c>
      <c r="D1530" s="8">
        <f>IF(A1530="","",IFERROR(VLOOKUP(B1530,TblArticles,3,FALSE),""))</f>
        <v/>
      </c>
      <c r="E1530" s="9">
        <f>IFERROR(DATE(2000+VALUE(MID(A1530,FIND("15",A1530,FIND("01",A1530)+16)+2,2)),VALUE(MID(A1530,FIND("15",A1530,FIND("01",A1530)+16)+4,2)),VALUE(MID(A1530,FIND("15",A1530,FIND("01",A1530)+16)+6,2))),"")</f>
        <v/>
      </c>
      <c r="F1530" s="8">
        <f>IFERROR(MID(A1530,FIND("10",A1530,FIND("15",A1530,FIND("01",A1530)+16)+8)+2,50),"")</f>
        <v/>
      </c>
      <c r="G1530" s="8" t="n"/>
    </row>
    <row r="1531">
      <c r="A1531" s="4" t="n"/>
      <c r="B1531" s="5">
        <f>IFERROR(MID(A1531,FIND("01",A1531)+2,14),"")</f>
        <v/>
      </c>
      <c r="C1531" s="4">
        <f>IF(A1531="","",IFERROR(VLOOKUP(B1531,TblArticles,2,FALSE),"GTIN inconnu"))</f>
        <v/>
      </c>
      <c r="D1531" s="5">
        <f>IF(A1531="","",IFERROR(VLOOKUP(B1531,TblArticles,3,FALSE),""))</f>
        <v/>
      </c>
      <c r="E1531" s="6">
        <f>IFERROR(DATE(2000+VALUE(MID(A1531,FIND("15",A1531,FIND("01",A1531)+16)+2,2)),VALUE(MID(A1531,FIND("15",A1531,FIND("01",A1531)+16)+4,2)),VALUE(MID(A1531,FIND("15",A1531,FIND("01",A1531)+16)+6,2))),"")</f>
        <v/>
      </c>
      <c r="F1531" s="5">
        <f>IFERROR(MID(A1531,FIND("10",A1531,FIND("15",A1531,FIND("01",A1531)+16)+8)+2,50),"")</f>
        <v/>
      </c>
      <c r="G1531" s="5" t="n"/>
    </row>
    <row r="1532">
      <c r="A1532" s="7" t="n"/>
      <c r="B1532" s="8">
        <f>IFERROR(MID(A1532,FIND("01",A1532)+2,14),"")</f>
        <v/>
      </c>
      <c r="C1532" s="7">
        <f>IF(A1532="","",IFERROR(VLOOKUP(B1532,TblArticles,2,FALSE),"GTIN inconnu"))</f>
        <v/>
      </c>
      <c r="D1532" s="8">
        <f>IF(A1532="","",IFERROR(VLOOKUP(B1532,TblArticles,3,FALSE),""))</f>
        <v/>
      </c>
      <c r="E1532" s="9">
        <f>IFERROR(DATE(2000+VALUE(MID(A1532,FIND("15",A1532,FIND("01",A1532)+16)+2,2)),VALUE(MID(A1532,FIND("15",A1532,FIND("01",A1532)+16)+4,2)),VALUE(MID(A1532,FIND("15",A1532,FIND("01",A1532)+16)+6,2))),"")</f>
        <v/>
      </c>
      <c r="F1532" s="8">
        <f>IFERROR(MID(A1532,FIND("10",A1532,FIND("15",A1532,FIND("01",A1532)+16)+8)+2,50),"")</f>
        <v/>
      </c>
      <c r="G1532" s="8" t="n"/>
    </row>
    <row r="1533">
      <c r="A1533" s="4" t="n"/>
      <c r="B1533" s="5">
        <f>IFERROR(MID(A1533,FIND("01",A1533)+2,14),"")</f>
        <v/>
      </c>
      <c r="C1533" s="4">
        <f>IF(A1533="","",IFERROR(VLOOKUP(B1533,TblArticles,2,FALSE),"GTIN inconnu"))</f>
        <v/>
      </c>
      <c r="D1533" s="5">
        <f>IF(A1533="","",IFERROR(VLOOKUP(B1533,TblArticles,3,FALSE),""))</f>
        <v/>
      </c>
      <c r="E1533" s="6">
        <f>IFERROR(DATE(2000+VALUE(MID(A1533,FIND("15",A1533,FIND("01",A1533)+16)+2,2)),VALUE(MID(A1533,FIND("15",A1533,FIND("01",A1533)+16)+4,2)),VALUE(MID(A1533,FIND("15",A1533,FIND("01",A1533)+16)+6,2))),"")</f>
        <v/>
      </c>
      <c r="F1533" s="5">
        <f>IFERROR(MID(A1533,FIND("10",A1533,FIND("15",A1533,FIND("01",A1533)+16)+8)+2,50),"")</f>
        <v/>
      </c>
      <c r="G1533" s="5" t="n"/>
    </row>
    <row r="1534">
      <c r="A1534" s="7" t="n"/>
      <c r="B1534" s="8">
        <f>IFERROR(MID(A1534,FIND("01",A1534)+2,14),"")</f>
        <v/>
      </c>
      <c r="C1534" s="7">
        <f>IF(A1534="","",IFERROR(VLOOKUP(B1534,TblArticles,2,FALSE),"GTIN inconnu"))</f>
        <v/>
      </c>
      <c r="D1534" s="8">
        <f>IF(A1534="","",IFERROR(VLOOKUP(B1534,TblArticles,3,FALSE),""))</f>
        <v/>
      </c>
      <c r="E1534" s="9">
        <f>IFERROR(DATE(2000+VALUE(MID(A1534,FIND("15",A1534,FIND("01",A1534)+16)+2,2)),VALUE(MID(A1534,FIND("15",A1534,FIND("01",A1534)+16)+4,2)),VALUE(MID(A1534,FIND("15",A1534,FIND("01",A1534)+16)+6,2))),"")</f>
        <v/>
      </c>
      <c r="F1534" s="8">
        <f>IFERROR(MID(A1534,FIND("10",A1534,FIND("15",A1534,FIND("01",A1534)+16)+8)+2,50),"")</f>
        <v/>
      </c>
      <c r="G1534" s="8" t="n"/>
    </row>
    <row r="1535">
      <c r="A1535" s="4" t="n"/>
      <c r="B1535" s="5">
        <f>IFERROR(MID(A1535,FIND("01",A1535)+2,14),"")</f>
        <v/>
      </c>
      <c r="C1535" s="4">
        <f>IF(A1535="","",IFERROR(VLOOKUP(B1535,TblArticles,2,FALSE),"GTIN inconnu"))</f>
        <v/>
      </c>
      <c r="D1535" s="5">
        <f>IF(A1535="","",IFERROR(VLOOKUP(B1535,TblArticles,3,FALSE),""))</f>
        <v/>
      </c>
      <c r="E1535" s="6">
        <f>IFERROR(DATE(2000+VALUE(MID(A1535,FIND("15",A1535,FIND("01",A1535)+16)+2,2)),VALUE(MID(A1535,FIND("15",A1535,FIND("01",A1535)+16)+4,2)),VALUE(MID(A1535,FIND("15",A1535,FIND("01",A1535)+16)+6,2))),"")</f>
        <v/>
      </c>
      <c r="F1535" s="5">
        <f>IFERROR(MID(A1535,FIND("10",A1535,FIND("15",A1535,FIND("01",A1535)+16)+8)+2,50),"")</f>
        <v/>
      </c>
      <c r="G1535" s="5" t="n"/>
    </row>
    <row r="1536">
      <c r="A1536" s="7" t="n"/>
      <c r="B1536" s="8">
        <f>IFERROR(MID(A1536,FIND("01",A1536)+2,14),"")</f>
        <v/>
      </c>
      <c r="C1536" s="7">
        <f>IF(A1536="","",IFERROR(VLOOKUP(B1536,TblArticles,2,FALSE),"GTIN inconnu"))</f>
        <v/>
      </c>
      <c r="D1536" s="8">
        <f>IF(A1536="","",IFERROR(VLOOKUP(B1536,TblArticles,3,FALSE),""))</f>
        <v/>
      </c>
      <c r="E1536" s="9">
        <f>IFERROR(DATE(2000+VALUE(MID(A1536,FIND("15",A1536,FIND("01",A1536)+16)+2,2)),VALUE(MID(A1536,FIND("15",A1536,FIND("01",A1536)+16)+4,2)),VALUE(MID(A1536,FIND("15",A1536,FIND("01",A1536)+16)+6,2))),"")</f>
        <v/>
      </c>
      <c r="F1536" s="8">
        <f>IFERROR(MID(A1536,FIND("10",A1536,FIND("15",A1536,FIND("01",A1536)+16)+8)+2,50),"")</f>
        <v/>
      </c>
      <c r="G1536" s="8" t="n"/>
    </row>
    <row r="1537">
      <c r="A1537" s="4" t="n"/>
      <c r="B1537" s="5">
        <f>IFERROR(MID(A1537,FIND("01",A1537)+2,14),"")</f>
        <v/>
      </c>
      <c r="C1537" s="4">
        <f>IF(A1537="","",IFERROR(VLOOKUP(B1537,TblArticles,2,FALSE),"GTIN inconnu"))</f>
        <v/>
      </c>
      <c r="D1537" s="5">
        <f>IF(A1537="","",IFERROR(VLOOKUP(B1537,TblArticles,3,FALSE),""))</f>
        <v/>
      </c>
      <c r="E1537" s="6">
        <f>IFERROR(DATE(2000+VALUE(MID(A1537,FIND("15",A1537,FIND("01",A1537)+16)+2,2)),VALUE(MID(A1537,FIND("15",A1537,FIND("01",A1537)+16)+4,2)),VALUE(MID(A1537,FIND("15",A1537,FIND("01",A1537)+16)+6,2))),"")</f>
        <v/>
      </c>
      <c r="F1537" s="5">
        <f>IFERROR(MID(A1537,FIND("10",A1537,FIND("15",A1537,FIND("01",A1537)+16)+8)+2,50),"")</f>
        <v/>
      </c>
      <c r="G1537" s="5" t="n"/>
    </row>
    <row r="1538">
      <c r="A1538" s="7" t="n"/>
      <c r="B1538" s="8">
        <f>IFERROR(MID(A1538,FIND("01",A1538)+2,14),"")</f>
        <v/>
      </c>
      <c r="C1538" s="7">
        <f>IF(A1538="","",IFERROR(VLOOKUP(B1538,TblArticles,2,FALSE),"GTIN inconnu"))</f>
        <v/>
      </c>
      <c r="D1538" s="8">
        <f>IF(A1538="","",IFERROR(VLOOKUP(B1538,TblArticles,3,FALSE),""))</f>
        <v/>
      </c>
      <c r="E1538" s="9">
        <f>IFERROR(DATE(2000+VALUE(MID(A1538,FIND("15",A1538,FIND("01",A1538)+16)+2,2)),VALUE(MID(A1538,FIND("15",A1538,FIND("01",A1538)+16)+4,2)),VALUE(MID(A1538,FIND("15",A1538,FIND("01",A1538)+16)+6,2))),"")</f>
        <v/>
      </c>
      <c r="F1538" s="8">
        <f>IFERROR(MID(A1538,FIND("10",A1538,FIND("15",A1538,FIND("01",A1538)+16)+8)+2,50),"")</f>
        <v/>
      </c>
      <c r="G1538" s="8" t="n"/>
    </row>
    <row r="1539">
      <c r="A1539" s="4" t="n"/>
      <c r="B1539" s="5">
        <f>IFERROR(MID(A1539,FIND("01",A1539)+2,14),"")</f>
        <v/>
      </c>
      <c r="C1539" s="4">
        <f>IF(A1539="","",IFERROR(VLOOKUP(B1539,TblArticles,2,FALSE),"GTIN inconnu"))</f>
        <v/>
      </c>
      <c r="D1539" s="5">
        <f>IF(A1539="","",IFERROR(VLOOKUP(B1539,TblArticles,3,FALSE),""))</f>
        <v/>
      </c>
      <c r="E1539" s="6">
        <f>IFERROR(DATE(2000+VALUE(MID(A1539,FIND("15",A1539,FIND("01",A1539)+16)+2,2)),VALUE(MID(A1539,FIND("15",A1539,FIND("01",A1539)+16)+4,2)),VALUE(MID(A1539,FIND("15",A1539,FIND("01",A1539)+16)+6,2))),"")</f>
        <v/>
      </c>
      <c r="F1539" s="5">
        <f>IFERROR(MID(A1539,FIND("10",A1539,FIND("15",A1539,FIND("01",A1539)+16)+8)+2,50),"")</f>
        <v/>
      </c>
      <c r="G1539" s="5" t="n"/>
    </row>
    <row r="1540">
      <c r="A1540" s="7" t="n"/>
      <c r="B1540" s="8">
        <f>IFERROR(MID(A1540,FIND("01",A1540)+2,14),"")</f>
        <v/>
      </c>
      <c r="C1540" s="7">
        <f>IF(A1540="","",IFERROR(VLOOKUP(B1540,TblArticles,2,FALSE),"GTIN inconnu"))</f>
        <v/>
      </c>
      <c r="D1540" s="8">
        <f>IF(A1540="","",IFERROR(VLOOKUP(B1540,TblArticles,3,FALSE),""))</f>
        <v/>
      </c>
      <c r="E1540" s="9">
        <f>IFERROR(DATE(2000+VALUE(MID(A1540,FIND("15",A1540,FIND("01",A1540)+16)+2,2)),VALUE(MID(A1540,FIND("15",A1540,FIND("01",A1540)+16)+4,2)),VALUE(MID(A1540,FIND("15",A1540,FIND("01",A1540)+16)+6,2))),"")</f>
        <v/>
      </c>
      <c r="F1540" s="8">
        <f>IFERROR(MID(A1540,FIND("10",A1540,FIND("15",A1540,FIND("01",A1540)+16)+8)+2,50),"")</f>
        <v/>
      </c>
      <c r="G1540" s="8" t="n"/>
    </row>
    <row r="1541">
      <c r="A1541" s="4" t="n"/>
      <c r="B1541" s="5">
        <f>IFERROR(MID(A1541,FIND("01",A1541)+2,14),"")</f>
        <v/>
      </c>
      <c r="C1541" s="4">
        <f>IF(A1541="","",IFERROR(VLOOKUP(B1541,TblArticles,2,FALSE),"GTIN inconnu"))</f>
        <v/>
      </c>
      <c r="D1541" s="5">
        <f>IF(A1541="","",IFERROR(VLOOKUP(B1541,TblArticles,3,FALSE),""))</f>
        <v/>
      </c>
      <c r="E1541" s="6">
        <f>IFERROR(DATE(2000+VALUE(MID(A1541,FIND("15",A1541,FIND("01",A1541)+16)+2,2)),VALUE(MID(A1541,FIND("15",A1541,FIND("01",A1541)+16)+4,2)),VALUE(MID(A1541,FIND("15",A1541,FIND("01",A1541)+16)+6,2))),"")</f>
        <v/>
      </c>
      <c r="F1541" s="5">
        <f>IFERROR(MID(A1541,FIND("10",A1541,FIND("15",A1541,FIND("01",A1541)+16)+8)+2,50),"")</f>
        <v/>
      </c>
      <c r="G1541" s="5" t="n"/>
    </row>
    <row r="1542">
      <c r="A1542" s="7" t="n"/>
      <c r="B1542" s="8">
        <f>IFERROR(MID(A1542,FIND("01",A1542)+2,14),"")</f>
        <v/>
      </c>
      <c r="C1542" s="7">
        <f>IF(A1542="","",IFERROR(VLOOKUP(B1542,TblArticles,2,FALSE),"GTIN inconnu"))</f>
        <v/>
      </c>
      <c r="D1542" s="8">
        <f>IF(A1542="","",IFERROR(VLOOKUP(B1542,TblArticles,3,FALSE),""))</f>
        <v/>
      </c>
      <c r="E1542" s="9">
        <f>IFERROR(DATE(2000+VALUE(MID(A1542,FIND("15",A1542,FIND("01",A1542)+16)+2,2)),VALUE(MID(A1542,FIND("15",A1542,FIND("01",A1542)+16)+4,2)),VALUE(MID(A1542,FIND("15",A1542,FIND("01",A1542)+16)+6,2))),"")</f>
        <v/>
      </c>
      <c r="F1542" s="8">
        <f>IFERROR(MID(A1542,FIND("10",A1542,FIND("15",A1542,FIND("01",A1542)+16)+8)+2,50),"")</f>
        <v/>
      </c>
      <c r="G1542" s="8" t="n"/>
    </row>
    <row r="1543">
      <c r="A1543" s="4" t="n"/>
      <c r="B1543" s="5">
        <f>IFERROR(MID(A1543,FIND("01",A1543)+2,14),"")</f>
        <v/>
      </c>
      <c r="C1543" s="4">
        <f>IF(A1543="","",IFERROR(VLOOKUP(B1543,TblArticles,2,FALSE),"GTIN inconnu"))</f>
        <v/>
      </c>
      <c r="D1543" s="5">
        <f>IF(A1543="","",IFERROR(VLOOKUP(B1543,TblArticles,3,FALSE),""))</f>
        <v/>
      </c>
      <c r="E1543" s="6">
        <f>IFERROR(DATE(2000+VALUE(MID(A1543,FIND("15",A1543,FIND("01",A1543)+16)+2,2)),VALUE(MID(A1543,FIND("15",A1543,FIND("01",A1543)+16)+4,2)),VALUE(MID(A1543,FIND("15",A1543,FIND("01",A1543)+16)+6,2))),"")</f>
        <v/>
      </c>
      <c r="F1543" s="5">
        <f>IFERROR(MID(A1543,FIND("10",A1543,FIND("15",A1543,FIND("01",A1543)+16)+8)+2,50),"")</f>
        <v/>
      </c>
      <c r="G1543" s="5" t="n"/>
    </row>
    <row r="1544">
      <c r="A1544" s="7" t="n"/>
      <c r="B1544" s="8">
        <f>IFERROR(MID(A1544,FIND("01",A1544)+2,14),"")</f>
        <v/>
      </c>
      <c r="C1544" s="7">
        <f>IF(A1544="","",IFERROR(VLOOKUP(B1544,TblArticles,2,FALSE),"GTIN inconnu"))</f>
        <v/>
      </c>
      <c r="D1544" s="8">
        <f>IF(A1544="","",IFERROR(VLOOKUP(B1544,TblArticles,3,FALSE),""))</f>
        <v/>
      </c>
      <c r="E1544" s="9">
        <f>IFERROR(DATE(2000+VALUE(MID(A1544,FIND("15",A1544,FIND("01",A1544)+16)+2,2)),VALUE(MID(A1544,FIND("15",A1544,FIND("01",A1544)+16)+4,2)),VALUE(MID(A1544,FIND("15",A1544,FIND("01",A1544)+16)+6,2))),"")</f>
        <v/>
      </c>
      <c r="F1544" s="8">
        <f>IFERROR(MID(A1544,FIND("10",A1544,FIND("15",A1544,FIND("01",A1544)+16)+8)+2,50),"")</f>
        <v/>
      </c>
      <c r="G1544" s="8" t="n"/>
    </row>
    <row r="1545">
      <c r="A1545" s="4" t="n"/>
      <c r="B1545" s="5">
        <f>IFERROR(MID(A1545,FIND("01",A1545)+2,14),"")</f>
        <v/>
      </c>
      <c r="C1545" s="4">
        <f>IF(A1545="","",IFERROR(VLOOKUP(B1545,TblArticles,2,FALSE),"GTIN inconnu"))</f>
        <v/>
      </c>
      <c r="D1545" s="5">
        <f>IF(A1545="","",IFERROR(VLOOKUP(B1545,TblArticles,3,FALSE),""))</f>
        <v/>
      </c>
      <c r="E1545" s="6">
        <f>IFERROR(DATE(2000+VALUE(MID(A1545,FIND("15",A1545,FIND("01",A1545)+16)+2,2)),VALUE(MID(A1545,FIND("15",A1545,FIND("01",A1545)+16)+4,2)),VALUE(MID(A1545,FIND("15",A1545,FIND("01",A1545)+16)+6,2))),"")</f>
        <v/>
      </c>
      <c r="F1545" s="5">
        <f>IFERROR(MID(A1545,FIND("10",A1545,FIND("15",A1545,FIND("01",A1545)+16)+8)+2,50),"")</f>
        <v/>
      </c>
      <c r="G1545" s="5" t="n"/>
    </row>
    <row r="1546">
      <c r="A1546" s="7" t="n"/>
      <c r="B1546" s="8">
        <f>IFERROR(MID(A1546,FIND("01",A1546)+2,14),"")</f>
        <v/>
      </c>
      <c r="C1546" s="7">
        <f>IF(A1546="","",IFERROR(VLOOKUP(B1546,TblArticles,2,FALSE),"GTIN inconnu"))</f>
        <v/>
      </c>
      <c r="D1546" s="8">
        <f>IF(A1546="","",IFERROR(VLOOKUP(B1546,TblArticles,3,FALSE),""))</f>
        <v/>
      </c>
      <c r="E1546" s="9">
        <f>IFERROR(DATE(2000+VALUE(MID(A1546,FIND("15",A1546,FIND("01",A1546)+16)+2,2)),VALUE(MID(A1546,FIND("15",A1546,FIND("01",A1546)+16)+4,2)),VALUE(MID(A1546,FIND("15",A1546,FIND("01",A1546)+16)+6,2))),"")</f>
        <v/>
      </c>
      <c r="F1546" s="8">
        <f>IFERROR(MID(A1546,FIND("10",A1546,FIND("15",A1546,FIND("01",A1546)+16)+8)+2,50),"")</f>
        <v/>
      </c>
      <c r="G1546" s="8" t="n"/>
    </row>
    <row r="1547">
      <c r="A1547" s="4" t="n"/>
      <c r="B1547" s="5">
        <f>IFERROR(MID(A1547,FIND("01",A1547)+2,14),"")</f>
        <v/>
      </c>
      <c r="C1547" s="4">
        <f>IF(A1547="","",IFERROR(VLOOKUP(B1547,TblArticles,2,FALSE),"GTIN inconnu"))</f>
        <v/>
      </c>
      <c r="D1547" s="5">
        <f>IF(A1547="","",IFERROR(VLOOKUP(B1547,TblArticles,3,FALSE),""))</f>
        <v/>
      </c>
      <c r="E1547" s="6">
        <f>IFERROR(DATE(2000+VALUE(MID(A1547,FIND("15",A1547,FIND("01",A1547)+16)+2,2)),VALUE(MID(A1547,FIND("15",A1547,FIND("01",A1547)+16)+4,2)),VALUE(MID(A1547,FIND("15",A1547,FIND("01",A1547)+16)+6,2))),"")</f>
        <v/>
      </c>
      <c r="F1547" s="5">
        <f>IFERROR(MID(A1547,FIND("10",A1547,FIND("15",A1547,FIND("01",A1547)+16)+8)+2,50),"")</f>
        <v/>
      </c>
      <c r="G1547" s="5" t="n"/>
    </row>
    <row r="1548">
      <c r="A1548" s="7" t="n"/>
      <c r="B1548" s="8">
        <f>IFERROR(MID(A1548,FIND("01",A1548)+2,14),"")</f>
        <v/>
      </c>
      <c r="C1548" s="7">
        <f>IF(A1548="","",IFERROR(VLOOKUP(B1548,TblArticles,2,FALSE),"GTIN inconnu"))</f>
        <v/>
      </c>
      <c r="D1548" s="8">
        <f>IF(A1548="","",IFERROR(VLOOKUP(B1548,TblArticles,3,FALSE),""))</f>
        <v/>
      </c>
      <c r="E1548" s="9">
        <f>IFERROR(DATE(2000+VALUE(MID(A1548,FIND("15",A1548,FIND("01",A1548)+16)+2,2)),VALUE(MID(A1548,FIND("15",A1548,FIND("01",A1548)+16)+4,2)),VALUE(MID(A1548,FIND("15",A1548,FIND("01",A1548)+16)+6,2))),"")</f>
        <v/>
      </c>
      <c r="F1548" s="8">
        <f>IFERROR(MID(A1548,FIND("10",A1548,FIND("15",A1548,FIND("01",A1548)+16)+8)+2,50),"")</f>
        <v/>
      </c>
      <c r="G1548" s="8" t="n"/>
    </row>
    <row r="1549">
      <c r="A1549" s="4" t="n"/>
      <c r="B1549" s="5">
        <f>IFERROR(MID(A1549,FIND("01",A1549)+2,14),"")</f>
        <v/>
      </c>
      <c r="C1549" s="4">
        <f>IF(A1549="","",IFERROR(VLOOKUP(B1549,TblArticles,2,FALSE),"GTIN inconnu"))</f>
        <v/>
      </c>
      <c r="D1549" s="5">
        <f>IF(A1549="","",IFERROR(VLOOKUP(B1549,TblArticles,3,FALSE),""))</f>
        <v/>
      </c>
      <c r="E1549" s="6">
        <f>IFERROR(DATE(2000+VALUE(MID(A1549,FIND("15",A1549,FIND("01",A1549)+16)+2,2)),VALUE(MID(A1549,FIND("15",A1549,FIND("01",A1549)+16)+4,2)),VALUE(MID(A1549,FIND("15",A1549,FIND("01",A1549)+16)+6,2))),"")</f>
        <v/>
      </c>
      <c r="F1549" s="5">
        <f>IFERROR(MID(A1549,FIND("10",A1549,FIND("15",A1549,FIND("01",A1549)+16)+8)+2,50),"")</f>
        <v/>
      </c>
      <c r="G1549" s="5" t="n"/>
    </row>
    <row r="1550">
      <c r="A1550" s="7" t="n"/>
      <c r="B1550" s="8">
        <f>IFERROR(MID(A1550,FIND("01",A1550)+2,14),"")</f>
        <v/>
      </c>
      <c r="C1550" s="7">
        <f>IF(A1550="","",IFERROR(VLOOKUP(B1550,TblArticles,2,FALSE),"GTIN inconnu"))</f>
        <v/>
      </c>
      <c r="D1550" s="8">
        <f>IF(A1550="","",IFERROR(VLOOKUP(B1550,TblArticles,3,FALSE),""))</f>
        <v/>
      </c>
      <c r="E1550" s="9">
        <f>IFERROR(DATE(2000+VALUE(MID(A1550,FIND("15",A1550,FIND("01",A1550)+16)+2,2)),VALUE(MID(A1550,FIND("15",A1550,FIND("01",A1550)+16)+4,2)),VALUE(MID(A1550,FIND("15",A1550,FIND("01",A1550)+16)+6,2))),"")</f>
        <v/>
      </c>
      <c r="F1550" s="8">
        <f>IFERROR(MID(A1550,FIND("10",A1550,FIND("15",A1550,FIND("01",A1550)+16)+8)+2,50),"")</f>
        <v/>
      </c>
      <c r="G1550" s="8" t="n"/>
    </row>
    <row r="1551">
      <c r="A1551" s="4" t="n"/>
      <c r="B1551" s="5">
        <f>IFERROR(MID(A1551,FIND("01",A1551)+2,14),"")</f>
        <v/>
      </c>
      <c r="C1551" s="4">
        <f>IF(A1551="","",IFERROR(VLOOKUP(B1551,TblArticles,2,FALSE),"GTIN inconnu"))</f>
        <v/>
      </c>
      <c r="D1551" s="5">
        <f>IF(A1551="","",IFERROR(VLOOKUP(B1551,TblArticles,3,FALSE),""))</f>
        <v/>
      </c>
      <c r="E1551" s="6">
        <f>IFERROR(DATE(2000+VALUE(MID(A1551,FIND("15",A1551,FIND("01",A1551)+16)+2,2)),VALUE(MID(A1551,FIND("15",A1551,FIND("01",A1551)+16)+4,2)),VALUE(MID(A1551,FIND("15",A1551,FIND("01",A1551)+16)+6,2))),"")</f>
        <v/>
      </c>
      <c r="F1551" s="5">
        <f>IFERROR(MID(A1551,FIND("10",A1551,FIND("15",A1551,FIND("01",A1551)+16)+8)+2,50),"")</f>
        <v/>
      </c>
      <c r="G1551" s="5" t="n"/>
    </row>
    <row r="1552">
      <c r="A1552" s="7" t="n"/>
      <c r="B1552" s="8">
        <f>IFERROR(MID(A1552,FIND("01",A1552)+2,14),"")</f>
        <v/>
      </c>
      <c r="C1552" s="7">
        <f>IF(A1552="","",IFERROR(VLOOKUP(B1552,TblArticles,2,FALSE),"GTIN inconnu"))</f>
        <v/>
      </c>
      <c r="D1552" s="8">
        <f>IF(A1552="","",IFERROR(VLOOKUP(B1552,TblArticles,3,FALSE),""))</f>
        <v/>
      </c>
      <c r="E1552" s="9">
        <f>IFERROR(DATE(2000+VALUE(MID(A1552,FIND("15",A1552,FIND("01",A1552)+16)+2,2)),VALUE(MID(A1552,FIND("15",A1552,FIND("01",A1552)+16)+4,2)),VALUE(MID(A1552,FIND("15",A1552,FIND("01",A1552)+16)+6,2))),"")</f>
        <v/>
      </c>
      <c r="F1552" s="8">
        <f>IFERROR(MID(A1552,FIND("10",A1552,FIND("15",A1552,FIND("01",A1552)+16)+8)+2,50),"")</f>
        <v/>
      </c>
      <c r="G1552" s="8" t="n"/>
    </row>
    <row r="1553">
      <c r="A1553" s="4" t="n"/>
      <c r="B1553" s="5">
        <f>IFERROR(MID(A1553,FIND("01",A1553)+2,14),"")</f>
        <v/>
      </c>
      <c r="C1553" s="4">
        <f>IF(A1553="","",IFERROR(VLOOKUP(B1553,TblArticles,2,FALSE),"GTIN inconnu"))</f>
        <v/>
      </c>
      <c r="D1553" s="5">
        <f>IF(A1553="","",IFERROR(VLOOKUP(B1553,TblArticles,3,FALSE),""))</f>
        <v/>
      </c>
      <c r="E1553" s="6">
        <f>IFERROR(DATE(2000+VALUE(MID(A1553,FIND("15",A1553,FIND("01",A1553)+16)+2,2)),VALUE(MID(A1553,FIND("15",A1553,FIND("01",A1553)+16)+4,2)),VALUE(MID(A1553,FIND("15",A1553,FIND("01",A1553)+16)+6,2))),"")</f>
        <v/>
      </c>
      <c r="F1553" s="5">
        <f>IFERROR(MID(A1553,FIND("10",A1553,FIND("15",A1553,FIND("01",A1553)+16)+8)+2,50),"")</f>
        <v/>
      </c>
      <c r="G1553" s="5" t="n"/>
    </row>
    <row r="1554">
      <c r="A1554" s="7" t="n"/>
      <c r="B1554" s="8">
        <f>IFERROR(MID(A1554,FIND("01",A1554)+2,14),"")</f>
        <v/>
      </c>
      <c r="C1554" s="7">
        <f>IF(A1554="","",IFERROR(VLOOKUP(B1554,TblArticles,2,FALSE),"GTIN inconnu"))</f>
        <v/>
      </c>
      <c r="D1554" s="8">
        <f>IF(A1554="","",IFERROR(VLOOKUP(B1554,TblArticles,3,FALSE),""))</f>
        <v/>
      </c>
      <c r="E1554" s="9">
        <f>IFERROR(DATE(2000+VALUE(MID(A1554,FIND("15",A1554,FIND("01",A1554)+16)+2,2)),VALUE(MID(A1554,FIND("15",A1554,FIND("01",A1554)+16)+4,2)),VALUE(MID(A1554,FIND("15",A1554,FIND("01",A1554)+16)+6,2))),"")</f>
        <v/>
      </c>
      <c r="F1554" s="8">
        <f>IFERROR(MID(A1554,FIND("10",A1554,FIND("15",A1554,FIND("01",A1554)+16)+8)+2,50),"")</f>
        <v/>
      </c>
      <c r="G1554" s="8" t="n"/>
    </row>
    <row r="1555">
      <c r="A1555" s="4" t="n"/>
      <c r="B1555" s="5">
        <f>IFERROR(MID(A1555,FIND("01",A1555)+2,14),"")</f>
        <v/>
      </c>
      <c r="C1555" s="4">
        <f>IF(A1555="","",IFERROR(VLOOKUP(B1555,TblArticles,2,FALSE),"GTIN inconnu"))</f>
        <v/>
      </c>
      <c r="D1555" s="5">
        <f>IF(A1555="","",IFERROR(VLOOKUP(B1555,TblArticles,3,FALSE),""))</f>
        <v/>
      </c>
      <c r="E1555" s="6">
        <f>IFERROR(DATE(2000+VALUE(MID(A1555,FIND("15",A1555,FIND("01",A1555)+16)+2,2)),VALUE(MID(A1555,FIND("15",A1555,FIND("01",A1555)+16)+4,2)),VALUE(MID(A1555,FIND("15",A1555,FIND("01",A1555)+16)+6,2))),"")</f>
        <v/>
      </c>
      <c r="F1555" s="5">
        <f>IFERROR(MID(A1555,FIND("10",A1555,FIND("15",A1555,FIND("01",A1555)+16)+8)+2,50),"")</f>
        <v/>
      </c>
      <c r="G1555" s="5" t="n"/>
    </row>
    <row r="1556">
      <c r="A1556" s="7" t="n"/>
      <c r="B1556" s="8">
        <f>IFERROR(MID(A1556,FIND("01",A1556)+2,14),"")</f>
        <v/>
      </c>
      <c r="C1556" s="7">
        <f>IF(A1556="","",IFERROR(VLOOKUP(B1556,TblArticles,2,FALSE),"GTIN inconnu"))</f>
        <v/>
      </c>
      <c r="D1556" s="8">
        <f>IF(A1556="","",IFERROR(VLOOKUP(B1556,TblArticles,3,FALSE),""))</f>
        <v/>
      </c>
      <c r="E1556" s="9">
        <f>IFERROR(DATE(2000+VALUE(MID(A1556,FIND("15",A1556,FIND("01",A1556)+16)+2,2)),VALUE(MID(A1556,FIND("15",A1556,FIND("01",A1556)+16)+4,2)),VALUE(MID(A1556,FIND("15",A1556,FIND("01",A1556)+16)+6,2))),"")</f>
        <v/>
      </c>
      <c r="F1556" s="8">
        <f>IFERROR(MID(A1556,FIND("10",A1556,FIND("15",A1556,FIND("01",A1556)+16)+8)+2,50),"")</f>
        <v/>
      </c>
      <c r="G1556" s="8" t="n"/>
    </row>
    <row r="1557">
      <c r="A1557" s="4" t="n"/>
      <c r="B1557" s="5">
        <f>IFERROR(MID(A1557,FIND("01",A1557)+2,14),"")</f>
        <v/>
      </c>
      <c r="C1557" s="4">
        <f>IF(A1557="","",IFERROR(VLOOKUP(B1557,TblArticles,2,FALSE),"GTIN inconnu"))</f>
        <v/>
      </c>
      <c r="D1557" s="5">
        <f>IF(A1557="","",IFERROR(VLOOKUP(B1557,TblArticles,3,FALSE),""))</f>
        <v/>
      </c>
      <c r="E1557" s="6">
        <f>IFERROR(DATE(2000+VALUE(MID(A1557,FIND("15",A1557,FIND("01",A1557)+16)+2,2)),VALUE(MID(A1557,FIND("15",A1557,FIND("01",A1557)+16)+4,2)),VALUE(MID(A1557,FIND("15",A1557,FIND("01",A1557)+16)+6,2))),"")</f>
        <v/>
      </c>
      <c r="F1557" s="5">
        <f>IFERROR(MID(A1557,FIND("10",A1557,FIND("15",A1557,FIND("01",A1557)+16)+8)+2,50),"")</f>
        <v/>
      </c>
      <c r="G1557" s="5" t="n"/>
    </row>
    <row r="1558">
      <c r="A1558" s="7" t="n"/>
      <c r="B1558" s="8">
        <f>IFERROR(MID(A1558,FIND("01",A1558)+2,14),"")</f>
        <v/>
      </c>
      <c r="C1558" s="7">
        <f>IF(A1558="","",IFERROR(VLOOKUP(B1558,TblArticles,2,FALSE),"GTIN inconnu"))</f>
        <v/>
      </c>
      <c r="D1558" s="8">
        <f>IF(A1558="","",IFERROR(VLOOKUP(B1558,TblArticles,3,FALSE),""))</f>
        <v/>
      </c>
      <c r="E1558" s="9">
        <f>IFERROR(DATE(2000+VALUE(MID(A1558,FIND("15",A1558,FIND("01",A1558)+16)+2,2)),VALUE(MID(A1558,FIND("15",A1558,FIND("01",A1558)+16)+4,2)),VALUE(MID(A1558,FIND("15",A1558,FIND("01",A1558)+16)+6,2))),"")</f>
        <v/>
      </c>
      <c r="F1558" s="8">
        <f>IFERROR(MID(A1558,FIND("10",A1558,FIND("15",A1558,FIND("01",A1558)+16)+8)+2,50),"")</f>
        <v/>
      </c>
      <c r="G1558" s="8" t="n"/>
    </row>
    <row r="1559">
      <c r="A1559" s="4" t="n"/>
      <c r="B1559" s="5">
        <f>IFERROR(MID(A1559,FIND("01",A1559)+2,14),"")</f>
        <v/>
      </c>
      <c r="C1559" s="4">
        <f>IF(A1559="","",IFERROR(VLOOKUP(B1559,TblArticles,2,FALSE),"GTIN inconnu"))</f>
        <v/>
      </c>
      <c r="D1559" s="5">
        <f>IF(A1559="","",IFERROR(VLOOKUP(B1559,TblArticles,3,FALSE),""))</f>
        <v/>
      </c>
      <c r="E1559" s="6">
        <f>IFERROR(DATE(2000+VALUE(MID(A1559,FIND("15",A1559,FIND("01",A1559)+16)+2,2)),VALUE(MID(A1559,FIND("15",A1559,FIND("01",A1559)+16)+4,2)),VALUE(MID(A1559,FIND("15",A1559,FIND("01",A1559)+16)+6,2))),"")</f>
        <v/>
      </c>
      <c r="F1559" s="5">
        <f>IFERROR(MID(A1559,FIND("10",A1559,FIND("15",A1559,FIND("01",A1559)+16)+8)+2,50),"")</f>
        <v/>
      </c>
      <c r="G1559" s="5" t="n"/>
    </row>
    <row r="1560">
      <c r="A1560" s="7" t="n"/>
      <c r="B1560" s="8">
        <f>IFERROR(MID(A1560,FIND("01",A1560)+2,14),"")</f>
        <v/>
      </c>
      <c r="C1560" s="7">
        <f>IF(A1560="","",IFERROR(VLOOKUP(B1560,TblArticles,2,FALSE),"GTIN inconnu"))</f>
        <v/>
      </c>
      <c r="D1560" s="8">
        <f>IF(A1560="","",IFERROR(VLOOKUP(B1560,TblArticles,3,FALSE),""))</f>
        <v/>
      </c>
      <c r="E1560" s="9">
        <f>IFERROR(DATE(2000+VALUE(MID(A1560,FIND("15",A1560,FIND("01",A1560)+16)+2,2)),VALUE(MID(A1560,FIND("15",A1560,FIND("01",A1560)+16)+4,2)),VALUE(MID(A1560,FIND("15",A1560,FIND("01",A1560)+16)+6,2))),"")</f>
        <v/>
      </c>
      <c r="F1560" s="8">
        <f>IFERROR(MID(A1560,FIND("10",A1560,FIND("15",A1560,FIND("01",A1560)+16)+8)+2,50),"")</f>
        <v/>
      </c>
      <c r="G1560" s="8" t="n"/>
    </row>
    <row r="1561">
      <c r="A1561" s="4" t="n"/>
      <c r="B1561" s="5">
        <f>IFERROR(MID(A1561,FIND("01",A1561)+2,14),"")</f>
        <v/>
      </c>
      <c r="C1561" s="4">
        <f>IF(A1561="","",IFERROR(VLOOKUP(B1561,TblArticles,2,FALSE),"GTIN inconnu"))</f>
        <v/>
      </c>
      <c r="D1561" s="5">
        <f>IF(A1561="","",IFERROR(VLOOKUP(B1561,TblArticles,3,FALSE),""))</f>
        <v/>
      </c>
      <c r="E1561" s="6">
        <f>IFERROR(DATE(2000+VALUE(MID(A1561,FIND("15",A1561,FIND("01",A1561)+16)+2,2)),VALUE(MID(A1561,FIND("15",A1561,FIND("01",A1561)+16)+4,2)),VALUE(MID(A1561,FIND("15",A1561,FIND("01",A1561)+16)+6,2))),"")</f>
        <v/>
      </c>
      <c r="F1561" s="5">
        <f>IFERROR(MID(A1561,FIND("10",A1561,FIND("15",A1561,FIND("01",A1561)+16)+8)+2,50),"")</f>
        <v/>
      </c>
      <c r="G1561" s="5" t="n"/>
    </row>
    <row r="1562">
      <c r="A1562" s="7" t="n"/>
      <c r="B1562" s="8">
        <f>IFERROR(MID(A1562,FIND("01",A1562)+2,14),"")</f>
        <v/>
      </c>
      <c r="C1562" s="7">
        <f>IF(A1562="","",IFERROR(VLOOKUP(B1562,TblArticles,2,FALSE),"GTIN inconnu"))</f>
        <v/>
      </c>
      <c r="D1562" s="8">
        <f>IF(A1562="","",IFERROR(VLOOKUP(B1562,TblArticles,3,FALSE),""))</f>
        <v/>
      </c>
      <c r="E1562" s="9">
        <f>IFERROR(DATE(2000+VALUE(MID(A1562,FIND("15",A1562,FIND("01",A1562)+16)+2,2)),VALUE(MID(A1562,FIND("15",A1562,FIND("01",A1562)+16)+4,2)),VALUE(MID(A1562,FIND("15",A1562,FIND("01",A1562)+16)+6,2))),"")</f>
        <v/>
      </c>
      <c r="F1562" s="8">
        <f>IFERROR(MID(A1562,FIND("10",A1562,FIND("15",A1562,FIND("01",A1562)+16)+8)+2,50),"")</f>
        <v/>
      </c>
      <c r="G1562" s="8" t="n"/>
    </row>
    <row r="1563">
      <c r="A1563" s="4" t="n"/>
      <c r="B1563" s="5">
        <f>IFERROR(MID(A1563,FIND("01",A1563)+2,14),"")</f>
        <v/>
      </c>
      <c r="C1563" s="4">
        <f>IF(A1563="","",IFERROR(VLOOKUP(B1563,TblArticles,2,FALSE),"GTIN inconnu"))</f>
        <v/>
      </c>
      <c r="D1563" s="5">
        <f>IF(A1563="","",IFERROR(VLOOKUP(B1563,TblArticles,3,FALSE),""))</f>
        <v/>
      </c>
      <c r="E1563" s="6">
        <f>IFERROR(DATE(2000+VALUE(MID(A1563,FIND("15",A1563,FIND("01",A1563)+16)+2,2)),VALUE(MID(A1563,FIND("15",A1563,FIND("01",A1563)+16)+4,2)),VALUE(MID(A1563,FIND("15",A1563,FIND("01",A1563)+16)+6,2))),"")</f>
        <v/>
      </c>
      <c r="F1563" s="5">
        <f>IFERROR(MID(A1563,FIND("10",A1563,FIND("15",A1563,FIND("01",A1563)+16)+8)+2,50),"")</f>
        <v/>
      </c>
      <c r="G1563" s="5" t="n"/>
    </row>
    <row r="1564">
      <c r="A1564" s="7" t="n"/>
      <c r="B1564" s="8">
        <f>IFERROR(MID(A1564,FIND("01",A1564)+2,14),"")</f>
        <v/>
      </c>
      <c r="C1564" s="7">
        <f>IF(A1564="","",IFERROR(VLOOKUP(B1564,TblArticles,2,FALSE),"GTIN inconnu"))</f>
        <v/>
      </c>
      <c r="D1564" s="8">
        <f>IF(A1564="","",IFERROR(VLOOKUP(B1564,TblArticles,3,FALSE),""))</f>
        <v/>
      </c>
      <c r="E1564" s="9">
        <f>IFERROR(DATE(2000+VALUE(MID(A1564,FIND("15",A1564,FIND("01",A1564)+16)+2,2)),VALUE(MID(A1564,FIND("15",A1564,FIND("01",A1564)+16)+4,2)),VALUE(MID(A1564,FIND("15",A1564,FIND("01",A1564)+16)+6,2))),"")</f>
        <v/>
      </c>
      <c r="F1564" s="8">
        <f>IFERROR(MID(A1564,FIND("10",A1564,FIND("15",A1564,FIND("01",A1564)+16)+8)+2,50),"")</f>
        <v/>
      </c>
      <c r="G1564" s="8" t="n"/>
    </row>
    <row r="1565">
      <c r="A1565" s="4" t="n"/>
      <c r="B1565" s="5">
        <f>IFERROR(MID(A1565,FIND("01",A1565)+2,14),"")</f>
        <v/>
      </c>
      <c r="C1565" s="4">
        <f>IF(A1565="","",IFERROR(VLOOKUP(B1565,TblArticles,2,FALSE),"GTIN inconnu"))</f>
        <v/>
      </c>
      <c r="D1565" s="5">
        <f>IF(A1565="","",IFERROR(VLOOKUP(B1565,TblArticles,3,FALSE),""))</f>
        <v/>
      </c>
      <c r="E1565" s="6">
        <f>IFERROR(DATE(2000+VALUE(MID(A1565,FIND("15",A1565,FIND("01",A1565)+16)+2,2)),VALUE(MID(A1565,FIND("15",A1565,FIND("01",A1565)+16)+4,2)),VALUE(MID(A1565,FIND("15",A1565,FIND("01",A1565)+16)+6,2))),"")</f>
        <v/>
      </c>
      <c r="F1565" s="5">
        <f>IFERROR(MID(A1565,FIND("10",A1565,FIND("15",A1565,FIND("01",A1565)+16)+8)+2,50),"")</f>
        <v/>
      </c>
      <c r="G1565" s="5" t="n"/>
    </row>
    <row r="1566">
      <c r="A1566" s="7" t="n"/>
      <c r="B1566" s="8">
        <f>IFERROR(MID(A1566,FIND("01",A1566)+2,14),"")</f>
        <v/>
      </c>
      <c r="C1566" s="7">
        <f>IF(A1566="","",IFERROR(VLOOKUP(B1566,TblArticles,2,FALSE),"GTIN inconnu"))</f>
        <v/>
      </c>
      <c r="D1566" s="8">
        <f>IF(A1566="","",IFERROR(VLOOKUP(B1566,TblArticles,3,FALSE),""))</f>
        <v/>
      </c>
      <c r="E1566" s="9">
        <f>IFERROR(DATE(2000+VALUE(MID(A1566,FIND("15",A1566,FIND("01",A1566)+16)+2,2)),VALUE(MID(A1566,FIND("15",A1566,FIND("01",A1566)+16)+4,2)),VALUE(MID(A1566,FIND("15",A1566,FIND("01",A1566)+16)+6,2))),"")</f>
        <v/>
      </c>
      <c r="F1566" s="8">
        <f>IFERROR(MID(A1566,FIND("10",A1566,FIND("15",A1566,FIND("01",A1566)+16)+8)+2,50),"")</f>
        <v/>
      </c>
      <c r="G1566" s="8" t="n"/>
    </row>
    <row r="1567">
      <c r="A1567" s="4" t="n"/>
      <c r="B1567" s="5">
        <f>IFERROR(MID(A1567,FIND("01",A1567)+2,14),"")</f>
        <v/>
      </c>
      <c r="C1567" s="4">
        <f>IF(A1567="","",IFERROR(VLOOKUP(B1567,TblArticles,2,FALSE),"GTIN inconnu"))</f>
        <v/>
      </c>
      <c r="D1567" s="5">
        <f>IF(A1567="","",IFERROR(VLOOKUP(B1567,TblArticles,3,FALSE),""))</f>
        <v/>
      </c>
      <c r="E1567" s="6">
        <f>IFERROR(DATE(2000+VALUE(MID(A1567,FIND("15",A1567,FIND("01",A1567)+16)+2,2)),VALUE(MID(A1567,FIND("15",A1567,FIND("01",A1567)+16)+4,2)),VALUE(MID(A1567,FIND("15",A1567,FIND("01",A1567)+16)+6,2))),"")</f>
        <v/>
      </c>
      <c r="F1567" s="5">
        <f>IFERROR(MID(A1567,FIND("10",A1567,FIND("15",A1567,FIND("01",A1567)+16)+8)+2,50),"")</f>
        <v/>
      </c>
      <c r="G1567" s="5" t="n"/>
    </row>
    <row r="1568">
      <c r="A1568" s="7" t="n"/>
      <c r="B1568" s="8">
        <f>IFERROR(MID(A1568,FIND("01",A1568)+2,14),"")</f>
        <v/>
      </c>
      <c r="C1568" s="7">
        <f>IF(A1568="","",IFERROR(VLOOKUP(B1568,TblArticles,2,FALSE),"GTIN inconnu"))</f>
        <v/>
      </c>
      <c r="D1568" s="8">
        <f>IF(A1568="","",IFERROR(VLOOKUP(B1568,TblArticles,3,FALSE),""))</f>
        <v/>
      </c>
      <c r="E1568" s="9">
        <f>IFERROR(DATE(2000+VALUE(MID(A1568,FIND("15",A1568,FIND("01",A1568)+16)+2,2)),VALUE(MID(A1568,FIND("15",A1568,FIND("01",A1568)+16)+4,2)),VALUE(MID(A1568,FIND("15",A1568,FIND("01",A1568)+16)+6,2))),"")</f>
        <v/>
      </c>
      <c r="F1568" s="8">
        <f>IFERROR(MID(A1568,FIND("10",A1568,FIND("15",A1568,FIND("01",A1568)+16)+8)+2,50),"")</f>
        <v/>
      </c>
      <c r="G1568" s="8" t="n"/>
    </row>
    <row r="1569">
      <c r="A1569" s="4" t="n"/>
      <c r="B1569" s="5">
        <f>IFERROR(MID(A1569,FIND("01",A1569)+2,14),"")</f>
        <v/>
      </c>
      <c r="C1569" s="4">
        <f>IF(A1569="","",IFERROR(VLOOKUP(B1569,TblArticles,2,FALSE),"GTIN inconnu"))</f>
        <v/>
      </c>
      <c r="D1569" s="5">
        <f>IF(A1569="","",IFERROR(VLOOKUP(B1569,TblArticles,3,FALSE),""))</f>
        <v/>
      </c>
      <c r="E1569" s="6">
        <f>IFERROR(DATE(2000+VALUE(MID(A1569,FIND("15",A1569,FIND("01",A1569)+16)+2,2)),VALUE(MID(A1569,FIND("15",A1569,FIND("01",A1569)+16)+4,2)),VALUE(MID(A1569,FIND("15",A1569,FIND("01",A1569)+16)+6,2))),"")</f>
        <v/>
      </c>
      <c r="F1569" s="5">
        <f>IFERROR(MID(A1569,FIND("10",A1569,FIND("15",A1569,FIND("01",A1569)+16)+8)+2,50),"")</f>
        <v/>
      </c>
      <c r="G1569" s="5" t="n"/>
    </row>
    <row r="1570">
      <c r="A1570" s="7" t="n"/>
      <c r="B1570" s="8">
        <f>IFERROR(MID(A1570,FIND("01",A1570)+2,14),"")</f>
        <v/>
      </c>
      <c r="C1570" s="7">
        <f>IF(A1570="","",IFERROR(VLOOKUP(B1570,TblArticles,2,FALSE),"GTIN inconnu"))</f>
        <v/>
      </c>
      <c r="D1570" s="8">
        <f>IF(A1570="","",IFERROR(VLOOKUP(B1570,TblArticles,3,FALSE),""))</f>
        <v/>
      </c>
      <c r="E1570" s="9">
        <f>IFERROR(DATE(2000+VALUE(MID(A1570,FIND("15",A1570,FIND("01",A1570)+16)+2,2)),VALUE(MID(A1570,FIND("15",A1570,FIND("01",A1570)+16)+4,2)),VALUE(MID(A1570,FIND("15",A1570,FIND("01",A1570)+16)+6,2))),"")</f>
        <v/>
      </c>
      <c r="F1570" s="8">
        <f>IFERROR(MID(A1570,FIND("10",A1570,FIND("15",A1570,FIND("01",A1570)+16)+8)+2,50),"")</f>
        <v/>
      </c>
      <c r="G1570" s="8" t="n"/>
    </row>
    <row r="1571">
      <c r="A1571" s="4" t="n"/>
      <c r="B1571" s="5">
        <f>IFERROR(MID(A1571,FIND("01",A1571)+2,14),"")</f>
        <v/>
      </c>
      <c r="C1571" s="4">
        <f>IF(A1571="","",IFERROR(VLOOKUP(B1571,TblArticles,2,FALSE),"GTIN inconnu"))</f>
        <v/>
      </c>
      <c r="D1571" s="5">
        <f>IF(A1571="","",IFERROR(VLOOKUP(B1571,TblArticles,3,FALSE),""))</f>
        <v/>
      </c>
      <c r="E1571" s="6">
        <f>IFERROR(DATE(2000+VALUE(MID(A1571,FIND("15",A1571,FIND("01",A1571)+16)+2,2)),VALUE(MID(A1571,FIND("15",A1571,FIND("01",A1571)+16)+4,2)),VALUE(MID(A1571,FIND("15",A1571,FIND("01",A1571)+16)+6,2))),"")</f>
        <v/>
      </c>
      <c r="F1571" s="5">
        <f>IFERROR(MID(A1571,FIND("10",A1571,FIND("15",A1571,FIND("01",A1571)+16)+8)+2,50),"")</f>
        <v/>
      </c>
      <c r="G1571" s="5" t="n"/>
    </row>
    <row r="1572">
      <c r="A1572" s="7" t="n"/>
      <c r="B1572" s="8">
        <f>IFERROR(MID(A1572,FIND("01",A1572)+2,14),"")</f>
        <v/>
      </c>
      <c r="C1572" s="7">
        <f>IF(A1572="","",IFERROR(VLOOKUP(B1572,TblArticles,2,FALSE),"GTIN inconnu"))</f>
        <v/>
      </c>
      <c r="D1572" s="8">
        <f>IF(A1572="","",IFERROR(VLOOKUP(B1572,TblArticles,3,FALSE),""))</f>
        <v/>
      </c>
      <c r="E1572" s="9">
        <f>IFERROR(DATE(2000+VALUE(MID(A1572,FIND("15",A1572,FIND("01",A1572)+16)+2,2)),VALUE(MID(A1572,FIND("15",A1572,FIND("01",A1572)+16)+4,2)),VALUE(MID(A1572,FIND("15",A1572,FIND("01",A1572)+16)+6,2))),"")</f>
        <v/>
      </c>
      <c r="F1572" s="8">
        <f>IFERROR(MID(A1572,FIND("10",A1572,FIND("15",A1572,FIND("01",A1572)+16)+8)+2,50),"")</f>
        <v/>
      </c>
      <c r="G1572" s="8" t="n"/>
    </row>
    <row r="1573">
      <c r="A1573" s="4" t="n"/>
      <c r="B1573" s="5">
        <f>IFERROR(MID(A1573,FIND("01",A1573)+2,14),"")</f>
        <v/>
      </c>
      <c r="C1573" s="4">
        <f>IF(A1573="","",IFERROR(VLOOKUP(B1573,TblArticles,2,FALSE),"GTIN inconnu"))</f>
        <v/>
      </c>
      <c r="D1573" s="5">
        <f>IF(A1573="","",IFERROR(VLOOKUP(B1573,TblArticles,3,FALSE),""))</f>
        <v/>
      </c>
      <c r="E1573" s="6">
        <f>IFERROR(DATE(2000+VALUE(MID(A1573,FIND("15",A1573,FIND("01",A1573)+16)+2,2)),VALUE(MID(A1573,FIND("15",A1573,FIND("01",A1573)+16)+4,2)),VALUE(MID(A1573,FIND("15",A1573,FIND("01",A1573)+16)+6,2))),"")</f>
        <v/>
      </c>
      <c r="F1573" s="5">
        <f>IFERROR(MID(A1573,FIND("10",A1573,FIND("15",A1573,FIND("01",A1573)+16)+8)+2,50),"")</f>
        <v/>
      </c>
      <c r="G1573" s="5" t="n"/>
    </row>
    <row r="1574">
      <c r="A1574" s="7" t="n"/>
      <c r="B1574" s="8">
        <f>IFERROR(MID(A1574,FIND("01",A1574)+2,14),"")</f>
        <v/>
      </c>
      <c r="C1574" s="7">
        <f>IF(A1574="","",IFERROR(VLOOKUP(B1574,TblArticles,2,FALSE),"GTIN inconnu"))</f>
        <v/>
      </c>
      <c r="D1574" s="8">
        <f>IF(A1574="","",IFERROR(VLOOKUP(B1574,TblArticles,3,FALSE),""))</f>
        <v/>
      </c>
      <c r="E1574" s="9">
        <f>IFERROR(DATE(2000+VALUE(MID(A1574,FIND("15",A1574,FIND("01",A1574)+16)+2,2)),VALUE(MID(A1574,FIND("15",A1574,FIND("01",A1574)+16)+4,2)),VALUE(MID(A1574,FIND("15",A1574,FIND("01",A1574)+16)+6,2))),"")</f>
        <v/>
      </c>
      <c r="F1574" s="8">
        <f>IFERROR(MID(A1574,FIND("10",A1574,FIND("15",A1574,FIND("01",A1574)+16)+8)+2,50),"")</f>
        <v/>
      </c>
      <c r="G1574" s="8" t="n"/>
    </row>
    <row r="1575">
      <c r="A1575" s="4" t="n"/>
      <c r="B1575" s="5">
        <f>IFERROR(MID(A1575,FIND("01",A1575)+2,14),"")</f>
        <v/>
      </c>
      <c r="C1575" s="4">
        <f>IF(A1575="","",IFERROR(VLOOKUP(B1575,TblArticles,2,FALSE),"GTIN inconnu"))</f>
        <v/>
      </c>
      <c r="D1575" s="5">
        <f>IF(A1575="","",IFERROR(VLOOKUP(B1575,TblArticles,3,FALSE),""))</f>
        <v/>
      </c>
      <c r="E1575" s="6">
        <f>IFERROR(DATE(2000+VALUE(MID(A1575,FIND("15",A1575,FIND("01",A1575)+16)+2,2)),VALUE(MID(A1575,FIND("15",A1575,FIND("01",A1575)+16)+4,2)),VALUE(MID(A1575,FIND("15",A1575,FIND("01",A1575)+16)+6,2))),"")</f>
        <v/>
      </c>
      <c r="F1575" s="5">
        <f>IFERROR(MID(A1575,FIND("10",A1575,FIND("15",A1575,FIND("01",A1575)+16)+8)+2,50),"")</f>
        <v/>
      </c>
      <c r="G1575" s="5" t="n"/>
    </row>
    <row r="1576">
      <c r="A1576" s="7" t="n"/>
      <c r="B1576" s="8">
        <f>IFERROR(MID(A1576,FIND("01",A1576)+2,14),"")</f>
        <v/>
      </c>
      <c r="C1576" s="7">
        <f>IF(A1576="","",IFERROR(VLOOKUP(B1576,TblArticles,2,FALSE),"GTIN inconnu"))</f>
        <v/>
      </c>
      <c r="D1576" s="8">
        <f>IF(A1576="","",IFERROR(VLOOKUP(B1576,TblArticles,3,FALSE),""))</f>
        <v/>
      </c>
      <c r="E1576" s="9">
        <f>IFERROR(DATE(2000+VALUE(MID(A1576,FIND("15",A1576,FIND("01",A1576)+16)+2,2)),VALUE(MID(A1576,FIND("15",A1576,FIND("01",A1576)+16)+4,2)),VALUE(MID(A1576,FIND("15",A1576,FIND("01",A1576)+16)+6,2))),"")</f>
        <v/>
      </c>
      <c r="F1576" s="8">
        <f>IFERROR(MID(A1576,FIND("10",A1576,FIND("15",A1576,FIND("01",A1576)+16)+8)+2,50),"")</f>
        <v/>
      </c>
      <c r="G1576" s="8" t="n"/>
    </row>
    <row r="1577">
      <c r="A1577" s="4" t="n"/>
      <c r="B1577" s="5">
        <f>IFERROR(MID(A1577,FIND("01",A1577)+2,14),"")</f>
        <v/>
      </c>
      <c r="C1577" s="4">
        <f>IF(A1577="","",IFERROR(VLOOKUP(B1577,TblArticles,2,FALSE),"GTIN inconnu"))</f>
        <v/>
      </c>
      <c r="D1577" s="5">
        <f>IF(A1577="","",IFERROR(VLOOKUP(B1577,TblArticles,3,FALSE),""))</f>
        <v/>
      </c>
      <c r="E1577" s="6">
        <f>IFERROR(DATE(2000+VALUE(MID(A1577,FIND("15",A1577,FIND("01",A1577)+16)+2,2)),VALUE(MID(A1577,FIND("15",A1577,FIND("01",A1577)+16)+4,2)),VALUE(MID(A1577,FIND("15",A1577,FIND("01",A1577)+16)+6,2))),"")</f>
        <v/>
      </c>
      <c r="F1577" s="5">
        <f>IFERROR(MID(A1577,FIND("10",A1577,FIND("15",A1577,FIND("01",A1577)+16)+8)+2,50),"")</f>
        <v/>
      </c>
      <c r="G1577" s="5" t="n"/>
    </row>
    <row r="1578">
      <c r="A1578" s="7" t="n"/>
      <c r="B1578" s="8">
        <f>IFERROR(MID(A1578,FIND("01",A1578)+2,14),"")</f>
        <v/>
      </c>
      <c r="C1578" s="7">
        <f>IF(A1578="","",IFERROR(VLOOKUP(B1578,TblArticles,2,FALSE),"GTIN inconnu"))</f>
        <v/>
      </c>
      <c r="D1578" s="8">
        <f>IF(A1578="","",IFERROR(VLOOKUP(B1578,TblArticles,3,FALSE),""))</f>
        <v/>
      </c>
      <c r="E1578" s="9">
        <f>IFERROR(DATE(2000+VALUE(MID(A1578,FIND("15",A1578,FIND("01",A1578)+16)+2,2)),VALUE(MID(A1578,FIND("15",A1578,FIND("01",A1578)+16)+4,2)),VALUE(MID(A1578,FIND("15",A1578,FIND("01",A1578)+16)+6,2))),"")</f>
        <v/>
      </c>
      <c r="F1578" s="8">
        <f>IFERROR(MID(A1578,FIND("10",A1578,FIND("15",A1578,FIND("01",A1578)+16)+8)+2,50),"")</f>
        <v/>
      </c>
      <c r="G1578" s="8" t="n"/>
    </row>
    <row r="1579">
      <c r="A1579" s="4" t="n"/>
      <c r="B1579" s="5">
        <f>IFERROR(MID(A1579,FIND("01",A1579)+2,14),"")</f>
        <v/>
      </c>
      <c r="C1579" s="4">
        <f>IF(A1579="","",IFERROR(VLOOKUP(B1579,TblArticles,2,FALSE),"GTIN inconnu"))</f>
        <v/>
      </c>
      <c r="D1579" s="5">
        <f>IF(A1579="","",IFERROR(VLOOKUP(B1579,TblArticles,3,FALSE),""))</f>
        <v/>
      </c>
      <c r="E1579" s="6">
        <f>IFERROR(DATE(2000+VALUE(MID(A1579,FIND("15",A1579,FIND("01",A1579)+16)+2,2)),VALUE(MID(A1579,FIND("15",A1579,FIND("01",A1579)+16)+4,2)),VALUE(MID(A1579,FIND("15",A1579,FIND("01",A1579)+16)+6,2))),"")</f>
        <v/>
      </c>
      <c r="F1579" s="5">
        <f>IFERROR(MID(A1579,FIND("10",A1579,FIND("15",A1579,FIND("01",A1579)+16)+8)+2,50),"")</f>
        <v/>
      </c>
      <c r="G1579" s="5" t="n"/>
    </row>
    <row r="1580">
      <c r="A1580" s="7" t="n"/>
      <c r="B1580" s="8">
        <f>IFERROR(MID(A1580,FIND("01",A1580)+2,14),"")</f>
        <v/>
      </c>
      <c r="C1580" s="7">
        <f>IF(A1580="","",IFERROR(VLOOKUP(B1580,TblArticles,2,FALSE),"GTIN inconnu"))</f>
        <v/>
      </c>
      <c r="D1580" s="8">
        <f>IF(A1580="","",IFERROR(VLOOKUP(B1580,TblArticles,3,FALSE),""))</f>
        <v/>
      </c>
      <c r="E1580" s="9">
        <f>IFERROR(DATE(2000+VALUE(MID(A1580,FIND("15",A1580,FIND("01",A1580)+16)+2,2)),VALUE(MID(A1580,FIND("15",A1580,FIND("01",A1580)+16)+4,2)),VALUE(MID(A1580,FIND("15",A1580,FIND("01",A1580)+16)+6,2))),"")</f>
        <v/>
      </c>
      <c r="F1580" s="8">
        <f>IFERROR(MID(A1580,FIND("10",A1580,FIND("15",A1580,FIND("01",A1580)+16)+8)+2,50),"")</f>
        <v/>
      </c>
      <c r="G1580" s="8" t="n"/>
    </row>
    <row r="1581">
      <c r="A1581" s="4" t="n"/>
      <c r="B1581" s="5">
        <f>IFERROR(MID(A1581,FIND("01",A1581)+2,14),"")</f>
        <v/>
      </c>
      <c r="C1581" s="4">
        <f>IF(A1581="","",IFERROR(VLOOKUP(B1581,TblArticles,2,FALSE),"GTIN inconnu"))</f>
        <v/>
      </c>
      <c r="D1581" s="5">
        <f>IF(A1581="","",IFERROR(VLOOKUP(B1581,TblArticles,3,FALSE),""))</f>
        <v/>
      </c>
      <c r="E1581" s="6">
        <f>IFERROR(DATE(2000+VALUE(MID(A1581,FIND("15",A1581,FIND("01",A1581)+16)+2,2)),VALUE(MID(A1581,FIND("15",A1581,FIND("01",A1581)+16)+4,2)),VALUE(MID(A1581,FIND("15",A1581,FIND("01",A1581)+16)+6,2))),"")</f>
        <v/>
      </c>
      <c r="F1581" s="5">
        <f>IFERROR(MID(A1581,FIND("10",A1581,FIND("15",A1581,FIND("01",A1581)+16)+8)+2,50),"")</f>
        <v/>
      </c>
      <c r="G1581" s="5" t="n"/>
    </row>
    <row r="1582">
      <c r="A1582" s="7" t="n"/>
      <c r="B1582" s="8">
        <f>IFERROR(MID(A1582,FIND("01",A1582)+2,14),"")</f>
        <v/>
      </c>
      <c r="C1582" s="7">
        <f>IF(A1582="","",IFERROR(VLOOKUP(B1582,TblArticles,2,FALSE),"GTIN inconnu"))</f>
        <v/>
      </c>
      <c r="D1582" s="8">
        <f>IF(A1582="","",IFERROR(VLOOKUP(B1582,TblArticles,3,FALSE),""))</f>
        <v/>
      </c>
      <c r="E1582" s="9">
        <f>IFERROR(DATE(2000+VALUE(MID(A1582,FIND("15",A1582,FIND("01",A1582)+16)+2,2)),VALUE(MID(A1582,FIND("15",A1582,FIND("01",A1582)+16)+4,2)),VALUE(MID(A1582,FIND("15",A1582,FIND("01",A1582)+16)+6,2))),"")</f>
        <v/>
      </c>
      <c r="F1582" s="8">
        <f>IFERROR(MID(A1582,FIND("10",A1582,FIND("15",A1582,FIND("01",A1582)+16)+8)+2,50),"")</f>
        <v/>
      </c>
      <c r="G1582" s="8" t="n"/>
    </row>
    <row r="1583">
      <c r="A1583" s="4" t="n"/>
      <c r="B1583" s="5">
        <f>IFERROR(MID(A1583,FIND("01",A1583)+2,14),"")</f>
        <v/>
      </c>
      <c r="C1583" s="4">
        <f>IF(A1583="","",IFERROR(VLOOKUP(B1583,TblArticles,2,FALSE),"GTIN inconnu"))</f>
        <v/>
      </c>
      <c r="D1583" s="5">
        <f>IF(A1583="","",IFERROR(VLOOKUP(B1583,TblArticles,3,FALSE),""))</f>
        <v/>
      </c>
      <c r="E1583" s="6">
        <f>IFERROR(DATE(2000+VALUE(MID(A1583,FIND("15",A1583,FIND("01",A1583)+16)+2,2)),VALUE(MID(A1583,FIND("15",A1583,FIND("01",A1583)+16)+4,2)),VALUE(MID(A1583,FIND("15",A1583,FIND("01",A1583)+16)+6,2))),"")</f>
        <v/>
      </c>
      <c r="F1583" s="5">
        <f>IFERROR(MID(A1583,FIND("10",A1583,FIND("15",A1583,FIND("01",A1583)+16)+8)+2,50),"")</f>
        <v/>
      </c>
      <c r="G1583" s="5" t="n"/>
    </row>
    <row r="1584">
      <c r="A1584" s="7" t="n"/>
      <c r="B1584" s="8">
        <f>IFERROR(MID(A1584,FIND("01",A1584)+2,14),"")</f>
        <v/>
      </c>
      <c r="C1584" s="7">
        <f>IF(A1584="","",IFERROR(VLOOKUP(B1584,TblArticles,2,FALSE),"GTIN inconnu"))</f>
        <v/>
      </c>
      <c r="D1584" s="8">
        <f>IF(A1584="","",IFERROR(VLOOKUP(B1584,TblArticles,3,FALSE),""))</f>
        <v/>
      </c>
      <c r="E1584" s="9">
        <f>IFERROR(DATE(2000+VALUE(MID(A1584,FIND("15",A1584,FIND("01",A1584)+16)+2,2)),VALUE(MID(A1584,FIND("15",A1584,FIND("01",A1584)+16)+4,2)),VALUE(MID(A1584,FIND("15",A1584,FIND("01",A1584)+16)+6,2))),"")</f>
        <v/>
      </c>
      <c r="F1584" s="8">
        <f>IFERROR(MID(A1584,FIND("10",A1584,FIND("15",A1584,FIND("01",A1584)+16)+8)+2,50),"")</f>
        <v/>
      </c>
      <c r="G1584" s="8" t="n"/>
    </row>
    <row r="1585">
      <c r="A1585" s="4" t="n"/>
      <c r="B1585" s="5">
        <f>IFERROR(MID(A1585,FIND("01",A1585)+2,14),"")</f>
        <v/>
      </c>
      <c r="C1585" s="4">
        <f>IF(A1585="","",IFERROR(VLOOKUP(B1585,TblArticles,2,FALSE),"GTIN inconnu"))</f>
        <v/>
      </c>
      <c r="D1585" s="5">
        <f>IF(A1585="","",IFERROR(VLOOKUP(B1585,TblArticles,3,FALSE),""))</f>
        <v/>
      </c>
      <c r="E1585" s="6">
        <f>IFERROR(DATE(2000+VALUE(MID(A1585,FIND("15",A1585,FIND("01",A1585)+16)+2,2)),VALUE(MID(A1585,FIND("15",A1585,FIND("01",A1585)+16)+4,2)),VALUE(MID(A1585,FIND("15",A1585,FIND("01",A1585)+16)+6,2))),"")</f>
        <v/>
      </c>
      <c r="F1585" s="5">
        <f>IFERROR(MID(A1585,FIND("10",A1585,FIND("15",A1585,FIND("01",A1585)+16)+8)+2,50),"")</f>
        <v/>
      </c>
      <c r="G1585" s="5" t="n"/>
    </row>
    <row r="1586">
      <c r="A1586" s="7" t="n"/>
      <c r="B1586" s="8">
        <f>IFERROR(MID(A1586,FIND("01",A1586)+2,14),"")</f>
        <v/>
      </c>
      <c r="C1586" s="7">
        <f>IF(A1586="","",IFERROR(VLOOKUP(B1586,TblArticles,2,FALSE),"GTIN inconnu"))</f>
        <v/>
      </c>
      <c r="D1586" s="8">
        <f>IF(A1586="","",IFERROR(VLOOKUP(B1586,TblArticles,3,FALSE),""))</f>
        <v/>
      </c>
      <c r="E1586" s="9">
        <f>IFERROR(DATE(2000+VALUE(MID(A1586,FIND("15",A1586,FIND("01",A1586)+16)+2,2)),VALUE(MID(A1586,FIND("15",A1586,FIND("01",A1586)+16)+4,2)),VALUE(MID(A1586,FIND("15",A1586,FIND("01",A1586)+16)+6,2))),"")</f>
        <v/>
      </c>
      <c r="F1586" s="8">
        <f>IFERROR(MID(A1586,FIND("10",A1586,FIND("15",A1586,FIND("01",A1586)+16)+8)+2,50),"")</f>
        <v/>
      </c>
      <c r="G1586" s="8" t="n"/>
    </row>
    <row r="1587">
      <c r="A1587" s="4" t="n"/>
      <c r="B1587" s="5">
        <f>IFERROR(MID(A1587,FIND("01",A1587)+2,14),"")</f>
        <v/>
      </c>
      <c r="C1587" s="4">
        <f>IF(A1587="","",IFERROR(VLOOKUP(B1587,TblArticles,2,FALSE),"GTIN inconnu"))</f>
        <v/>
      </c>
      <c r="D1587" s="5">
        <f>IF(A1587="","",IFERROR(VLOOKUP(B1587,TblArticles,3,FALSE),""))</f>
        <v/>
      </c>
      <c r="E1587" s="6">
        <f>IFERROR(DATE(2000+VALUE(MID(A1587,FIND("15",A1587,FIND("01",A1587)+16)+2,2)),VALUE(MID(A1587,FIND("15",A1587,FIND("01",A1587)+16)+4,2)),VALUE(MID(A1587,FIND("15",A1587,FIND("01",A1587)+16)+6,2))),"")</f>
        <v/>
      </c>
      <c r="F1587" s="5">
        <f>IFERROR(MID(A1587,FIND("10",A1587,FIND("15",A1587,FIND("01",A1587)+16)+8)+2,50),"")</f>
        <v/>
      </c>
      <c r="G1587" s="5" t="n"/>
    </row>
    <row r="1588">
      <c r="A1588" s="7" t="n"/>
      <c r="B1588" s="8">
        <f>IFERROR(MID(A1588,FIND("01",A1588)+2,14),"")</f>
        <v/>
      </c>
      <c r="C1588" s="7">
        <f>IF(A1588="","",IFERROR(VLOOKUP(B1588,TblArticles,2,FALSE),"GTIN inconnu"))</f>
        <v/>
      </c>
      <c r="D1588" s="8">
        <f>IF(A1588="","",IFERROR(VLOOKUP(B1588,TblArticles,3,FALSE),""))</f>
        <v/>
      </c>
      <c r="E1588" s="9">
        <f>IFERROR(DATE(2000+VALUE(MID(A1588,FIND("15",A1588,FIND("01",A1588)+16)+2,2)),VALUE(MID(A1588,FIND("15",A1588,FIND("01",A1588)+16)+4,2)),VALUE(MID(A1588,FIND("15",A1588,FIND("01",A1588)+16)+6,2))),"")</f>
        <v/>
      </c>
      <c r="F1588" s="8">
        <f>IFERROR(MID(A1588,FIND("10",A1588,FIND("15",A1588,FIND("01",A1588)+16)+8)+2,50),"")</f>
        <v/>
      </c>
      <c r="G1588" s="8" t="n"/>
    </row>
    <row r="1589">
      <c r="A1589" s="4" t="n"/>
      <c r="B1589" s="5">
        <f>IFERROR(MID(A1589,FIND("01",A1589)+2,14),"")</f>
        <v/>
      </c>
      <c r="C1589" s="4">
        <f>IF(A1589="","",IFERROR(VLOOKUP(B1589,TblArticles,2,FALSE),"GTIN inconnu"))</f>
        <v/>
      </c>
      <c r="D1589" s="5">
        <f>IF(A1589="","",IFERROR(VLOOKUP(B1589,TblArticles,3,FALSE),""))</f>
        <v/>
      </c>
      <c r="E1589" s="6">
        <f>IFERROR(DATE(2000+VALUE(MID(A1589,FIND("15",A1589,FIND("01",A1589)+16)+2,2)),VALUE(MID(A1589,FIND("15",A1589,FIND("01",A1589)+16)+4,2)),VALUE(MID(A1589,FIND("15",A1589,FIND("01",A1589)+16)+6,2))),"")</f>
        <v/>
      </c>
      <c r="F1589" s="5">
        <f>IFERROR(MID(A1589,FIND("10",A1589,FIND("15",A1589,FIND("01",A1589)+16)+8)+2,50),"")</f>
        <v/>
      </c>
      <c r="G1589" s="5" t="n"/>
    </row>
    <row r="1590">
      <c r="A1590" s="7" t="n"/>
      <c r="B1590" s="8">
        <f>IFERROR(MID(A1590,FIND("01",A1590)+2,14),"")</f>
        <v/>
      </c>
      <c r="C1590" s="7">
        <f>IF(A1590="","",IFERROR(VLOOKUP(B1590,TblArticles,2,FALSE),"GTIN inconnu"))</f>
        <v/>
      </c>
      <c r="D1590" s="8">
        <f>IF(A1590="","",IFERROR(VLOOKUP(B1590,TblArticles,3,FALSE),""))</f>
        <v/>
      </c>
      <c r="E1590" s="9">
        <f>IFERROR(DATE(2000+VALUE(MID(A1590,FIND("15",A1590,FIND("01",A1590)+16)+2,2)),VALUE(MID(A1590,FIND("15",A1590,FIND("01",A1590)+16)+4,2)),VALUE(MID(A1590,FIND("15",A1590,FIND("01",A1590)+16)+6,2))),"")</f>
        <v/>
      </c>
      <c r="F1590" s="8">
        <f>IFERROR(MID(A1590,FIND("10",A1590,FIND("15",A1590,FIND("01",A1590)+16)+8)+2,50),"")</f>
        <v/>
      </c>
      <c r="G1590" s="8" t="n"/>
    </row>
    <row r="1591">
      <c r="A1591" s="4" t="n"/>
      <c r="B1591" s="5">
        <f>IFERROR(MID(A1591,FIND("01",A1591)+2,14),"")</f>
        <v/>
      </c>
      <c r="C1591" s="4">
        <f>IF(A1591="","",IFERROR(VLOOKUP(B1591,TblArticles,2,FALSE),"GTIN inconnu"))</f>
        <v/>
      </c>
      <c r="D1591" s="5">
        <f>IF(A1591="","",IFERROR(VLOOKUP(B1591,TblArticles,3,FALSE),""))</f>
        <v/>
      </c>
      <c r="E1591" s="6">
        <f>IFERROR(DATE(2000+VALUE(MID(A1591,FIND("15",A1591,FIND("01",A1591)+16)+2,2)),VALUE(MID(A1591,FIND("15",A1591,FIND("01",A1591)+16)+4,2)),VALUE(MID(A1591,FIND("15",A1591,FIND("01",A1591)+16)+6,2))),"")</f>
        <v/>
      </c>
      <c r="F1591" s="5">
        <f>IFERROR(MID(A1591,FIND("10",A1591,FIND("15",A1591,FIND("01",A1591)+16)+8)+2,50),"")</f>
        <v/>
      </c>
      <c r="G1591" s="5" t="n"/>
    </row>
    <row r="1592">
      <c r="A1592" s="7" t="n"/>
      <c r="B1592" s="8">
        <f>IFERROR(MID(A1592,FIND("01",A1592)+2,14),"")</f>
        <v/>
      </c>
      <c r="C1592" s="7">
        <f>IF(A1592="","",IFERROR(VLOOKUP(B1592,TblArticles,2,FALSE),"GTIN inconnu"))</f>
        <v/>
      </c>
      <c r="D1592" s="8">
        <f>IF(A1592="","",IFERROR(VLOOKUP(B1592,TblArticles,3,FALSE),""))</f>
        <v/>
      </c>
      <c r="E1592" s="9">
        <f>IFERROR(DATE(2000+VALUE(MID(A1592,FIND("15",A1592,FIND("01",A1592)+16)+2,2)),VALUE(MID(A1592,FIND("15",A1592,FIND("01",A1592)+16)+4,2)),VALUE(MID(A1592,FIND("15",A1592,FIND("01",A1592)+16)+6,2))),"")</f>
        <v/>
      </c>
      <c r="F1592" s="8">
        <f>IFERROR(MID(A1592,FIND("10",A1592,FIND("15",A1592,FIND("01",A1592)+16)+8)+2,50),"")</f>
        <v/>
      </c>
      <c r="G1592" s="8" t="n"/>
    </row>
    <row r="1593">
      <c r="A1593" s="4" t="n"/>
      <c r="B1593" s="5">
        <f>IFERROR(MID(A1593,FIND("01",A1593)+2,14),"")</f>
        <v/>
      </c>
      <c r="C1593" s="4">
        <f>IF(A1593="","",IFERROR(VLOOKUP(B1593,TblArticles,2,FALSE),"GTIN inconnu"))</f>
        <v/>
      </c>
      <c r="D1593" s="5">
        <f>IF(A1593="","",IFERROR(VLOOKUP(B1593,TblArticles,3,FALSE),""))</f>
        <v/>
      </c>
      <c r="E1593" s="6">
        <f>IFERROR(DATE(2000+VALUE(MID(A1593,FIND("15",A1593,FIND("01",A1593)+16)+2,2)),VALUE(MID(A1593,FIND("15",A1593,FIND("01",A1593)+16)+4,2)),VALUE(MID(A1593,FIND("15",A1593,FIND("01",A1593)+16)+6,2))),"")</f>
        <v/>
      </c>
      <c r="F1593" s="5">
        <f>IFERROR(MID(A1593,FIND("10",A1593,FIND("15",A1593,FIND("01",A1593)+16)+8)+2,50),"")</f>
        <v/>
      </c>
      <c r="G1593" s="5" t="n"/>
    </row>
    <row r="1594">
      <c r="A1594" s="7" t="n"/>
      <c r="B1594" s="8">
        <f>IFERROR(MID(A1594,FIND("01",A1594)+2,14),"")</f>
        <v/>
      </c>
      <c r="C1594" s="7">
        <f>IF(A1594="","",IFERROR(VLOOKUP(B1594,TblArticles,2,FALSE),"GTIN inconnu"))</f>
        <v/>
      </c>
      <c r="D1594" s="8">
        <f>IF(A1594="","",IFERROR(VLOOKUP(B1594,TblArticles,3,FALSE),""))</f>
        <v/>
      </c>
      <c r="E1594" s="9">
        <f>IFERROR(DATE(2000+VALUE(MID(A1594,FIND("15",A1594,FIND("01",A1594)+16)+2,2)),VALUE(MID(A1594,FIND("15",A1594,FIND("01",A1594)+16)+4,2)),VALUE(MID(A1594,FIND("15",A1594,FIND("01",A1594)+16)+6,2))),"")</f>
        <v/>
      </c>
      <c r="F1594" s="8">
        <f>IFERROR(MID(A1594,FIND("10",A1594,FIND("15",A1594,FIND("01",A1594)+16)+8)+2,50),"")</f>
        <v/>
      </c>
      <c r="G1594" s="8" t="n"/>
    </row>
    <row r="1595">
      <c r="A1595" s="4" t="n"/>
      <c r="B1595" s="5">
        <f>IFERROR(MID(A1595,FIND("01",A1595)+2,14),"")</f>
        <v/>
      </c>
      <c r="C1595" s="4">
        <f>IF(A1595="","",IFERROR(VLOOKUP(B1595,TblArticles,2,FALSE),"GTIN inconnu"))</f>
        <v/>
      </c>
      <c r="D1595" s="5">
        <f>IF(A1595="","",IFERROR(VLOOKUP(B1595,TblArticles,3,FALSE),""))</f>
        <v/>
      </c>
      <c r="E1595" s="6">
        <f>IFERROR(DATE(2000+VALUE(MID(A1595,FIND("15",A1595,FIND("01",A1595)+16)+2,2)),VALUE(MID(A1595,FIND("15",A1595,FIND("01",A1595)+16)+4,2)),VALUE(MID(A1595,FIND("15",A1595,FIND("01",A1595)+16)+6,2))),"")</f>
        <v/>
      </c>
      <c r="F1595" s="5">
        <f>IFERROR(MID(A1595,FIND("10",A1595,FIND("15",A1595,FIND("01",A1595)+16)+8)+2,50),"")</f>
        <v/>
      </c>
      <c r="G1595" s="5" t="n"/>
    </row>
    <row r="1596">
      <c r="A1596" s="7" t="n"/>
      <c r="B1596" s="8">
        <f>IFERROR(MID(A1596,FIND("01",A1596)+2,14),"")</f>
        <v/>
      </c>
      <c r="C1596" s="7">
        <f>IF(A1596="","",IFERROR(VLOOKUP(B1596,TblArticles,2,FALSE),"GTIN inconnu"))</f>
        <v/>
      </c>
      <c r="D1596" s="8">
        <f>IF(A1596="","",IFERROR(VLOOKUP(B1596,TblArticles,3,FALSE),""))</f>
        <v/>
      </c>
      <c r="E1596" s="9">
        <f>IFERROR(DATE(2000+VALUE(MID(A1596,FIND("15",A1596,FIND("01",A1596)+16)+2,2)),VALUE(MID(A1596,FIND("15",A1596,FIND("01",A1596)+16)+4,2)),VALUE(MID(A1596,FIND("15",A1596,FIND("01",A1596)+16)+6,2))),"")</f>
        <v/>
      </c>
      <c r="F1596" s="8">
        <f>IFERROR(MID(A1596,FIND("10",A1596,FIND("15",A1596,FIND("01",A1596)+16)+8)+2,50),"")</f>
        <v/>
      </c>
      <c r="G1596" s="8" t="n"/>
    </row>
    <row r="1597">
      <c r="A1597" s="4" t="n"/>
      <c r="B1597" s="5">
        <f>IFERROR(MID(A1597,FIND("01",A1597)+2,14),"")</f>
        <v/>
      </c>
      <c r="C1597" s="4">
        <f>IF(A1597="","",IFERROR(VLOOKUP(B1597,TblArticles,2,FALSE),"GTIN inconnu"))</f>
        <v/>
      </c>
      <c r="D1597" s="5">
        <f>IF(A1597="","",IFERROR(VLOOKUP(B1597,TblArticles,3,FALSE),""))</f>
        <v/>
      </c>
      <c r="E1597" s="6">
        <f>IFERROR(DATE(2000+VALUE(MID(A1597,FIND("15",A1597,FIND("01",A1597)+16)+2,2)),VALUE(MID(A1597,FIND("15",A1597,FIND("01",A1597)+16)+4,2)),VALUE(MID(A1597,FIND("15",A1597,FIND("01",A1597)+16)+6,2))),"")</f>
        <v/>
      </c>
      <c r="F1597" s="5">
        <f>IFERROR(MID(A1597,FIND("10",A1597,FIND("15",A1597,FIND("01",A1597)+16)+8)+2,50),"")</f>
        <v/>
      </c>
      <c r="G1597" s="5" t="n"/>
    </row>
    <row r="1598">
      <c r="A1598" s="7" t="n"/>
      <c r="B1598" s="8">
        <f>IFERROR(MID(A1598,FIND("01",A1598)+2,14),"")</f>
        <v/>
      </c>
      <c r="C1598" s="7">
        <f>IF(A1598="","",IFERROR(VLOOKUP(B1598,TblArticles,2,FALSE),"GTIN inconnu"))</f>
        <v/>
      </c>
      <c r="D1598" s="8">
        <f>IF(A1598="","",IFERROR(VLOOKUP(B1598,TblArticles,3,FALSE),""))</f>
        <v/>
      </c>
      <c r="E1598" s="9">
        <f>IFERROR(DATE(2000+VALUE(MID(A1598,FIND("15",A1598,FIND("01",A1598)+16)+2,2)),VALUE(MID(A1598,FIND("15",A1598,FIND("01",A1598)+16)+4,2)),VALUE(MID(A1598,FIND("15",A1598,FIND("01",A1598)+16)+6,2))),"")</f>
        <v/>
      </c>
      <c r="F1598" s="8">
        <f>IFERROR(MID(A1598,FIND("10",A1598,FIND("15",A1598,FIND("01",A1598)+16)+8)+2,50),"")</f>
        <v/>
      </c>
      <c r="G1598" s="8" t="n"/>
    </row>
    <row r="1599">
      <c r="A1599" s="4" t="n"/>
      <c r="B1599" s="5">
        <f>IFERROR(MID(A1599,FIND("01",A1599)+2,14),"")</f>
        <v/>
      </c>
      <c r="C1599" s="4">
        <f>IF(A1599="","",IFERROR(VLOOKUP(B1599,TblArticles,2,FALSE),"GTIN inconnu"))</f>
        <v/>
      </c>
      <c r="D1599" s="5">
        <f>IF(A1599="","",IFERROR(VLOOKUP(B1599,TblArticles,3,FALSE),""))</f>
        <v/>
      </c>
      <c r="E1599" s="6">
        <f>IFERROR(DATE(2000+VALUE(MID(A1599,FIND("15",A1599,FIND("01",A1599)+16)+2,2)),VALUE(MID(A1599,FIND("15",A1599,FIND("01",A1599)+16)+4,2)),VALUE(MID(A1599,FIND("15",A1599,FIND("01",A1599)+16)+6,2))),"")</f>
        <v/>
      </c>
      <c r="F1599" s="5">
        <f>IFERROR(MID(A1599,FIND("10",A1599,FIND("15",A1599,FIND("01",A1599)+16)+8)+2,50),"")</f>
        <v/>
      </c>
      <c r="G1599" s="5" t="n"/>
    </row>
    <row r="1600">
      <c r="A1600" s="7" t="n"/>
      <c r="B1600" s="8">
        <f>IFERROR(MID(A1600,FIND("01",A1600)+2,14),"")</f>
        <v/>
      </c>
      <c r="C1600" s="7">
        <f>IF(A1600="","",IFERROR(VLOOKUP(B1600,TblArticles,2,FALSE),"GTIN inconnu"))</f>
        <v/>
      </c>
      <c r="D1600" s="8">
        <f>IF(A1600="","",IFERROR(VLOOKUP(B1600,TblArticles,3,FALSE),""))</f>
        <v/>
      </c>
      <c r="E1600" s="9">
        <f>IFERROR(DATE(2000+VALUE(MID(A1600,FIND("15",A1600,FIND("01",A1600)+16)+2,2)),VALUE(MID(A1600,FIND("15",A1600,FIND("01",A1600)+16)+4,2)),VALUE(MID(A1600,FIND("15",A1600,FIND("01",A1600)+16)+6,2))),"")</f>
        <v/>
      </c>
      <c r="F1600" s="8">
        <f>IFERROR(MID(A1600,FIND("10",A1600,FIND("15",A1600,FIND("01",A1600)+16)+8)+2,50),"")</f>
        <v/>
      </c>
      <c r="G1600" s="8" t="n"/>
    </row>
    <row r="1601">
      <c r="A1601" s="4" t="n"/>
      <c r="B1601" s="5">
        <f>IFERROR(MID(A1601,FIND("01",A1601)+2,14),"")</f>
        <v/>
      </c>
      <c r="C1601" s="4">
        <f>IF(A1601="","",IFERROR(VLOOKUP(B1601,TblArticles,2,FALSE),"GTIN inconnu"))</f>
        <v/>
      </c>
      <c r="D1601" s="5">
        <f>IF(A1601="","",IFERROR(VLOOKUP(B1601,TblArticles,3,FALSE),""))</f>
        <v/>
      </c>
      <c r="E1601" s="6">
        <f>IFERROR(DATE(2000+VALUE(MID(A1601,FIND("15",A1601,FIND("01",A1601)+16)+2,2)),VALUE(MID(A1601,FIND("15",A1601,FIND("01",A1601)+16)+4,2)),VALUE(MID(A1601,FIND("15",A1601,FIND("01",A1601)+16)+6,2))),"")</f>
        <v/>
      </c>
      <c r="F1601" s="5">
        <f>IFERROR(MID(A1601,FIND("10",A1601,FIND("15",A1601,FIND("01",A1601)+16)+8)+2,50),"")</f>
        <v/>
      </c>
      <c r="G1601" s="5" t="n"/>
    </row>
    <row r="1602">
      <c r="A1602" s="7" t="n"/>
      <c r="B1602" s="8">
        <f>IFERROR(MID(A1602,FIND("01",A1602)+2,14),"")</f>
        <v/>
      </c>
      <c r="C1602" s="7">
        <f>IF(A1602="","",IFERROR(VLOOKUP(B1602,TblArticles,2,FALSE),"GTIN inconnu"))</f>
        <v/>
      </c>
      <c r="D1602" s="8">
        <f>IF(A1602="","",IFERROR(VLOOKUP(B1602,TblArticles,3,FALSE),""))</f>
        <v/>
      </c>
      <c r="E1602" s="9">
        <f>IFERROR(DATE(2000+VALUE(MID(A1602,FIND("15",A1602,FIND("01",A1602)+16)+2,2)),VALUE(MID(A1602,FIND("15",A1602,FIND("01",A1602)+16)+4,2)),VALUE(MID(A1602,FIND("15",A1602,FIND("01",A1602)+16)+6,2))),"")</f>
        <v/>
      </c>
      <c r="F1602" s="8">
        <f>IFERROR(MID(A1602,FIND("10",A1602,FIND("15",A1602,FIND("01",A1602)+16)+8)+2,50),"")</f>
        <v/>
      </c>
      <c r="G1602" s="8" t="n"/>
    </row>
    <row r="1603">
      <c r="A1603" s="4" t="n"/>
      <c r="B1603" s="5">
        <f>IFERROR(MID(A1603,FIND("01",A1603)+2,14),"")</f>
        <v/>
      </c>
      <c r="C1603" s="4">
        <f>IF(A1603="","",IFERROR(VLOOKUP(B1603,TblArticles,2,FALSE),"GTIN inconnu"))</f>
        <v/>
      </c>
      <c r="D1603" s="5">
        <f>IF(A1603="","",IFERROR(VLOOKUP(B1603,TblArticles,3,FALSE),""))</f>
        <v/>
      </c>
      <c r="E1603" s="6">
        <f>IFERROR(DATE(2000+VALUE(MID(A1603,FIND("15",A1603,FIND("01",A1603)+16)+2,2)),VALUE(MID(A1603,FIND("15",A1603,FIND("01",A1603)+16)+4,2)),VALUE(MID(A1603,FIND("15",A1603,FIND("01",A1603)+16)+6,2))),"")</f>
        <v/>
      </c>
      <c r="F1603" s="5">
        <f>IFERROR(MID(A1603,FIND("10",A1603,FIND("15",A1603,FIND("01",A1603)+16)+8)+2,50),"")</f>
        <v/>
      </c>
      <c r="G1603" s="5" t="n"/>
    </row>
    <row r="1604">
      <c r="A1604" s="7" t="n"/>
      <c r="B1604" s="8">
        <f>IFERROR(MID(A1604,FIND("01",A1604)+2,14),"")</f>
        <v/>
      </c>
      <c r="C1604" s="7">
        <f>IF(A1604="","",IFERROR(VLOOKUP(B1604,TblArticles,2,FALSE),"GTIN inconnu"))</f>
        <v/>
      </c>
      <c r="D1604" s="8">
        <f>IF(A1604="","",IFERROR(VLOOKUP(B1604,TblArticles,3,FALSE),""))</f>
        <v/>
      </c>
      <c r="E1604" s="9">
        <f>IFERROR(DATE(2000+VALUE(MID(A1604,FIND("15",A1604,FIND("01",A1604)+16)+2,2)),VALUE(MID(A1604,FIND("15",A1604,FIND("01",A1604)+16)+4,2)),VALUE(MID(A1604,FIND("15",A1604,FIND("01",A1604)+16)+6,2))),"")</f>
        <v/>
      </c>
      <c r="F1604" s="8">
        <f>IFERROR(MID(A1604,FIND("10",A1604,FIND("15",A1604,FIND("01",A1604)+16)+8)+2,50),"")</f>
        <v/>
      </c>
      <c r="G1604" s="8" t="n"/>
    </row>
    <row r="1605">
      <c r="A1605" s="4" t="n"/>
      <c r="B1605" s="5">
        <f>IFERROR(MID(A1605,FIND("01",A1605)+2,14),"")</f>
        <v/>
      </c>
      <c r="C1605" s="4">
        <f>IF(A1605="","",IFERROR(VLOOKUP(B1605,TblArticles,2,FALSE),"GTIN inconnu"))</f>
        <v/>
      </c>
      <c r="D1605" s="5">
        <f>IF(A1605="","",IFERROR(VLOOKUP(B1605,TblArticles,3,FALSE),""))</f>
        <v/>
      </c>
      <c r="E1605" s="6">
        <f>IFERROR(DATE(2000+VALUE(MID(A1605,FIND("15",A1605,FIND("01",A1605)+16)+2,2)),VALUE(MID(A1605,FIND("15",A1605,FIND("01",A1605)+16)+4,2)),VALUE(MID(A1605,FIND("15",A1605,FIND("01",A1605)+16)+6,2))),"")</f>
        <v/>
      </c>
      <c r="F1605" s="5">
        <f>IFERROR(MID(A1605,FIND("10",A1605,FIND("15",A1605,FIND("01",A1605)+16)+8)+2,50),"")</f>
        <v/>
      </c>
      <c r="G1605" s="5" t="n"/>
    </row>
    <row r="1606">
      <c r="A1606" s="7" t="n"/>
      <c r="B1606" s="8">
        <f>IFERROR(MID(A1606,FIND("01",A1606)+2,14),"")</f>
        <v/>
      </c>
      <c r="C1606" s="7">
        <f>IF(A1606="","",IFERROR(VLOOKUP(B1606,TblArticles,2,FALSE),"GTIN inconnu"))</f>
        <v/>
      </c>
      <c r="D1606" s="8">
        <f>IF(A1606="","",IFERROR(VLOOKUP(B1606,TblArticles,3,FALSE),""))</f>
        <v/>
      </c>
      <c r="E1606" s="9">
        <f>IFERROR(DATE(2000+VALUE(MID(A1606,FIND("15",A1606,FIND("01",A1606)+16)+2,2)),VALUE(MID(A1606,FIND("15",A1606,FIND("01",A1606)+16)+4,2)),VALUE(MID(A1606,FIND("15",A1606,FIND("01",A1606)+16)+6,2))),"")</f>
        <v/>
      </c>
      <c r="F1606" s="8">
        <f>IFERROR(MID(A1606,FIND("10",A1606,FIND("15",A1606,FIND("01",A1606)+16)+8)+2,50),"")</f>
        <v/>
      </c>
      <c r="G1606" s="8" t="n"/>
    </row>
    <row r="1607">
      <c r="A1607" s="4" t="n"/>
      <c r="B1607" s="5">
        <f>IFERROR(MID(A1607,FIND("01",A1607)+2,14),"")</f>
        <v/>
      </c>
      <c r="C1607" s="4">
        <f>IF(A1607="","",IFERROR(VLOOKUP(B1607,TblArticles,2,FALSE),"GTIN inconnu"))</f>
        <v/>
      </c>
      <c r="D1607" s="5">
        <f>IF(A1607="","",IFERROR(VLOOKUP(B1607,TblArticles,3,FALSE),""))</f>
        <v/>
      </c>
      <c r="E1607" s="6">
        <f>IFERROR(DATE(2000+VALUE(MID(A1607,FIND("15",A1607,FIND("01",A1607)+16)+2,2)),VALUE(MID(A1607,FIND("15",A1607,FIND("01",A1607)+16)+4,2)),VALUE(MID(A1607,FIND("15",A1607,FIND("01",A1607)+16)+6,2))),"")</f>
        <v/>
      </c>
      <c r="F1607" s="5">
        <f>IFERROR(MID(A1607,FIND("10",A1607,FIND("15",A1607,FIND("01",A1607)+16)+8)+2,50),"")</f>
        <v/>
      </c>
      <c r="G1607" s="5" t="n"/>
    </row>
    <row r="1608">
      <c r="A1608" s="7" t="n"/>
      <c r="B1608" s="8">
        <f>IFERROR(MID(A1608,FIND("01",A1608)+2,14),"")</f>
        <v/>
      </c>
      <c r="C1608" s="7">
        <f>IF(A1608="","",IFERROR(VLOOKUP(B1608,TblArticles,2,FALSE),"GTIN inconnu"))</f>
        <v/>
      </c>
      <c r="D1608" s="8">
        <f>IF(A1608="","",IFERROR(VLOOKUP(B1608,TblArticles,3,FALSE),""))</f>
        <v/>
      </c>
      <c r="E1608" s="9">
        <f>IFERROR(DATE(2000+VALUE(MID(A1608,FIND("15",A1608,FIND("01",A1608)+16)+2,2)),VALUE(MID(A1608,FIND("15",A1608,FIND("01",A1608)+16)+4,2)),VALUE(MID(A1608,FIND("15",A1608,FIND("01",A1608)+16)+6,2))),"")</f>
        <v/>
      </c>
      <c r="F1608" s="8">
        <f>IFERROR(MID(A1608,FIND("10",A1608,FIND("15",A1608,FIND("01",A1608)+16)+8)+2,50),"")</f>
        <v/>
      </c>
      <c r="G1608" s="8" t="n"/>
    </row>
    <row r="1609">
      <c r="A1609" s="4" t="n"/>
      <c r="B1609" s="5">
        <f>IFERROR(MID(A1609,FIND("01",A1609)+2,14),"")</f>
        <v/>
      </c>
      <c r="C1609" s="4">
        <f>IF(A1609="","",IFERROR(VLOOKUP(B1609,TblArticles,2,FALSE),"GTIN inconnu"))</f>
        <v/>
      </c>
      <c r="D1609" s="5">
        <f>IF(A1609="","",IFERROR(VLOOKUP(B1609,TblArticles,3,FALSE),""))</f>
        <v/>
      </c>
      <c r="E1609" s="6">
        <f>IFERROR(DATE(2000+VALUE(MID(A1609,FIND("15",A1609,FIND("01",A1609)+16)+2,2)),VALUE(MID(A1609,FIND("15",A1609,FIND("01",A1609)+16)+4,2)),VALUE(MID(A1609,FIND("15",A1609,FIND("01",A1609)+16)+6,2))),"")</f>
        <v/>
      </c>
      <c r="F1609" s="5">
        <f>IFERROR(MID(A1609,FIND("10",A1609,FIND("15",A1609,FIND("01",A1609)+16)+8)+2,50),"")</f>
        <v/>
      </c>
      <c r="G1609" s="5" t="n"/>
    </row>
    <row r="1610">
      <c r="A1610" s="7" t="n"/>
      <c r="B1610" s="8">
        <f>IFERROR(MID(A1610,FIND("01",A1610)+2,14),"")</f>
        <v/>
      </c>
      <c r="C1610" s="7">
        <f>IF(A1610="","",IFERROR(VLOOKUP(B1610,TblArticles,2,FALSE),"GTIN inconnu"))</f>
        <v/>
      </c>
      <c r="D1610" s="8">
        <f>IF(A1610="","",IFERROR(VLOOKUP(B1610,TblArticles,3,FALSE),""))</f>
        <v/>
      </c>
      <c r="E1610" s="9">
        <f>IFERROR(DATE(2000+VALUE(MID(A1610,FIND("15",A1610,FIND("01",A1610)+16)+2,2)),VALUE(MID(A1610,FIND("15",A1610,FIND("01",A1610)+16)+4,2)),VALUE(MID(A1610,FIND("15",A1610,FIND("01",A1610)+16)+6,2))),"")</f>
        <v/>
      </c>
      <c r="F1610" s="8">
        <f>IFERROR(MID(A1610,FIND("10",A1610,FIND("15",A1610,FIND("01",A1610)+16)+8)+2,50),"")</f>
        <v/>
      </c>
      <c r="G1610" s="8" t="n"/>
    </row>
    <row r="1611">
      <c r="A1611" s="4" t="n"/>
      <c r="B1611" s="5">
        <f>IFERROR(MID(A1611,FIND("01",A1611)+2,14),"")</f>
        <v/>
      </c>
      <c r="C1611" s="4">
        <f>IF(A1611="","",IFERROR(VLOOKUP(B1611,TblArticles,2,FALSE),"GTIN inconnu"))</f>
        <v/>
      </c>
      <c r="D1611" s="5">
        <f>IF(A1611="","",IFERROR(VLOOKUP(B1611,TblArticles,3,FALSE),""))</f>
        <v/>
      </c>
      <c r="E1611" s="6">
        <f>IFERROR(DATE(2000+VALUE(MID(A1611,FIND("15",A1611,FIND("01",A1611)+16)+2,2)),VALUE(MID(A1611,FIND("15",A1611,FIND("01",A1611)+16)+4,2)),VALUE(MID(A1611,FIND("15",A1611,FIND("01",A1611)+16)+6,2))),"")</f>
        <v/>
      </c>
      <c r="F1611" s="5">
        <f>IFERROR(MID(A1611,FIND("10",A1611,FIND("15",A1611,FIND("01",A1611)+16)+8)+2,50),"")</f>
        <v/>
      </c>
      <c r="G1611" s="5" t="n"/>
    </row>
    <row r="1612">
      <c r="A1612" s="7" t="n"/>
      <c r="B1612" s="8">
        <f>IFERROR(MID(A1612,FIND("01",A1612)+2,14),"")</f>
        <v/>
      </c>
      <c r="C1612" s="7">
        <f>IF(A1612="","",IFERROR(VLOOKUP(B1612,TblArticles,2,FALSE),"GTIN inconnu"))</f>
        <v/>
      </c>
      <c r="D1612" s="8">
        <f>IF(A1612="","",IFERROR(VLOOKUP(B1612,TblArticles,3,FALSE),""))</f>
        <v/>
      </c>
      <c r="E1612" s="9">
        <f>IFERROR(DATE(2000+VALUE(MID(A1612,FIND("15",A1612,FIND("01",A1612)+16)+2,2)),VALUE(MID(A1612,FIND("15",A1612,FIND("01",A1612)+16)+4,2)),VALUE(MID(A1612,FIND("15",A1612,FIND("01",A1612)+16)+6,2))),"")</f>
        <v/>
      </c>
      <c r="F1612" s="8">
        <f>IFERROR(MID(A1612,FIND("10",A1612,FIND("15",A1612,FIND("01",A1612)+16)+8)+2,50),"")</f>
        <v/>
      </c>
      <c r="G1612" s="8" t="n"/>
    </row>
    <row r="1613">
      <c r="A1613" s="4" t="n"/>
      <c r="B1613" s="5">
        <f>IFERROR(MID(A1613,FIND("01",A1613)+2,14),"")</f>
        <v/>
      </c>
      <c r="C1613" s="4">
        <f>IF(A1613="","",IFERROR(VLOOKUP(B1613,TblArticles,2,FALSE),"GTIN inconnu"))</f>
        <v/>
      </c>
      <c r="D1613" s="5">
        <f>IF(A1613="","",IFERROR(VLOOKUP(B1613,TblArticles,3,FALSE),""))</f>
        <v/>
      </c>
      <c r="E1613" s="6">
        <f>IFERROR(DATE(2000+VALUE(MID(A1613,FIND("15",A1613,FIND("01",A1613)+16)+2,2)),VALUE(MID(A1613,FIND("15",A1613,FIND("01",A1613)+16)+4,2)),VALUE(MID(A1613,FIND("15",A1613,FIND("01",A1613)+16)+6,2))),"")</f>
        <v/>
      </c>
      <c r="F1613" s="5">
        <f>IFERROR(MID(A1613,FIND("10",A1613,FIND("15",A1613,FIND("01",A1613)+16)+8)+2,50),"")</f>
        <v/>
      </c>
      <c r="G1613" s="5" t="n"/>
    </row>
    <row r="1614">
      <c r="A1614" s="7" t="n"/>
      <c r="B1614" s="8">
        <f>IFERROR(MID(A1614,FIND("01",A1614)+2,14),"")</f>
        <v/>
      </c>
      <c r="C1614" s="7">
        <f>IF(A1614="","",IFERROR(VLOOKUP(B1614,TblArticles,2,FALSE),"GTIN inconnu"))</f>
        <v/>
      </c>
      <c r="D1614" s="8">
        <f>IF(A1614="","",IFERROR(VLOOKUP(B1614,TblArticles,3,FALSE),""))</f>
        <v/>
      </c>
      <c r="E1614" s="9">
        <f>IFERROR(DATE(2000+VALUE(MID(A1614,FIND("15",A1614,FIND("01",A1614)+16)+2,2)),VALUE(MID(A1614,FIND("15",A1614,FIND("01",A1614)+16)+4,2)),VALUE(MID(A1614,FIND("15",A1614,FIND("01",A1614)+16)+6,2))),"")</f>
        <v/>
      </c>
      <c r="F1614" s="8">
        <f>IFERROR(MID(A1614,FIND("10",A1614,FIND("15",A1614,FIND("01",A1614)+16)+8)+2,50),"")</f>
        <v/>
      </c>
      <c r="G1614" s="8" t="n"/>
    </row>
    <row r="1615">
      <c r="A1615" s="4" t="n"/>
      <c r="B1615" s="5">
        <f>IFERROR(MID(A1615,FIND("01",A1615)+2,14),"")</f>
        <v/>
      </c>
      <c r="C1615" s="4">
        <f>IF(A1615="","",IFERROR(VLOOKUP(B1615,TblArticles,2,FALSE),"GTIN inconnu"))</f>
        <v/>
      </c>
      <c r="D1615" s="5">
        <f>IF(A1615="","",IFERROR(VLOOKUP(B1615,TblArticles,3,FALSE),""))</f>
        <v/>
      </c>
      <c r="E1615" s="6">
        <f>IFERROR(DATE(2000+VALUE(MID(A1615,FIND("15",A1615,FIND("01",A1615)+16)+2,2)),VALUE(MID(A1615,FIND("15",A1615,FIND("01",A1615)+16)+4,2)),VALUE(MID(A1615,FIND("15",A1615,FIND("01",A1615)+16)+6,2))),"")</f>
        <v/>
      </c>
      <c r="F1615" s="5">
        <f>IFERROR(MID(A1615,FIND("10",A1615,FIND("15",A1615,FIND("01",A1615)+16)+8)+2,50),"")</f>
        <v/>
      </c>
      <c r="G1615" s="5" t="n"/>
    </row>
    <row r="1616">
      <c r="A1616" s="7" t="n"/>
      <c r="B1616" s="8">
        <f>IFERROR(MID(A1616,FIND("01",A1616)+2,14),"")</f>
        <v/>
      </c>
      <c r="C1616" s="7">
        <f>IF(A1616="","",IFERROR(VLOOKUP(B1616,TblArticles,2,FALSE),"GTIN inconnu"))</f>
        <v/>
      </c>
      <c r="D1616" s="8">
        <f>IF(A1616="","",IFERROR(VLOOKUP(B1616,TblArticles,3,FALSE),""))</f>
        <v/>
      </c>
      <c r="E1616" s="9">
        <f>IFERROR(DATE(2000+VALUE(MID(A1616,FIND("15",A1616,FIND("01",A1616)+16)+2,2)),VALUE(MID(A1616,FIND("15",A1616,FIND("01",A1616)+16)+4,2)),VALUE(MID(A1616,FIND("15",A1616,FIND("01",A1616)+16)+6,2))),"")</f>
        <v/>
      </c>
      <c r="F1616" s="8">
        <f>IFERROR(MID(A1616,FIND("10",A1616,FIND("15",A1616,FIND("01",A1616)+16)+8)+2,50),"")</f>
        <v/>
      </c>
      <c r="G1616" s="8" t="n"/>
    </row>
    <row r="1617">
      <c r="A1617" s="4" t="n"/>
      <c r="B1617" s="5">
        <f>IFERROR(MID(A1617,FIND("01",A1617)+2,14),"")</f>
        <v/>
      </c>
      <c r="C1617" s="4">
        <f>IF(A1617="","",IFERROR(VLOOKUP(B1617,TblArticles,2,FALSE),"GTIN inconnu"))</f>
        <v/>
      </c>
      <c r="D1617" s="5">
        <f>IF(A1617="","",IFERROR(VLOOKUP(B1617,TblArticles,3,FALSE),""))</f>
        <v/>
      </c>
      <c r="E1617" s="6">
        <f>IFERROR(DATE(2000+VALUE(MID(A1617,FIND("15",A1617,FIND("01",A1617)+16)+2,2)),VALUE(MID(A1617,FIND("15",A1617,FIND("01",A1617)+16)+4,2)),VALUE(MID(A1617,FIND("15",A1617,FIND("01",A1617)+16)+6,2))),"")</f>
        <v/>
      </c>
      <c r="F1617" s="5">
        <f>IFERROR(MID(A1617,FIND("10",A1617,FIND("15",A1617,FIND("01",A1617)+16)+8)+2,50),"")</f>
        <v/>
      </c>
      <c r="G1617" s="5" t="n"/>
    </row>
    <row r="1618">
      <c r="A1618" s="7" t="n"/>
      <c r="B1618" s="8">
        <f>IFERROR(MID(A1618,FIND("01",A1618)+2,14),"")</f>
        <v/>
      </c>
      <c r="C1618" s="7">
        <f>IF(A1618="","",IFERROR(VLOOKUP(B1618,TblArticles,2,FALSE),"GTIN inconnu"))</f>
        <v/>
      </c>
      <c r="D1618" s="8">
        <f>IF(A1618="","",IFERROR(VLOOKUP(B1618,TblArticles,3,FALSE),""))</f>
        <v/>
      </c>
      <c r="E1618" s="9">
        <f>IFERROR(DATE(2000+VALUE(MID(A1618,FIND("15",A1618,FIND("01",A1618)+16)+2,2)),VALUE(MID(A1618,FIND("15",A1618,FIND("01",A1618)+16)+4,2)),VALUE(MID(A1618,FIND("15",A1618,FIND("01",A1618)+16)+6,2))),"")</f>
        <v/>
      </c>
      <c r="F1618" s="8">
        <f>IFERROR(MID(A1618,FIND("10",A1618,FIND("15",A1618,FIND("01",A1618)+16)+8)+2,50),"")</f>
        <v/>
      </c>
      <c r="G1618" s="8" t="n"/>
    </row>
    <row r="1619">
      <c r="A1619" s="4" t="n"/>
      <c r="B1619" s="5">
        <f>IFERROR(MID(A1619,FIND("01",A1619)+2,14),"")</f>
        <v/>
      </c>
      <c r="C1619" s="4">
        <f>IF(A1619="","",IFERROR(VLOOKUP(B1619,TblArticles,2,FALSE),"GTIN inconnu"))</f>
        <v/>
      </c>
      <c r="D1619" s="5">
        <f>IF(A1619="","",IFERROR(VLOOKUP(B1619,TblArticles,3,FALSE),""))</f>
        <v/>
      </c>
      <c r="E1619" s="6">
        <f>IFERROR(DATE(2000+VALUE(MID(A1619,FIND("15",A1619,FIND("01",A1619)+16)+2,2)),VALUE(MID(A1619,FIND("15",A1619,FIND("01",A1619)+16)+4,2)),VALUE(MID(A1619,FIND("15",A1619,FIND("01",A1619)+16)+6,2))),"")</f>
        <v/>
      </c>
      <c r="F1619" s="5">
        <f>IFERROR(MID(A1619,FIND("10",A1619,FIND("15",A1619,FIND("01",A1619)+16)+8)+2,50),"")</f>
        <v/>
      </c>
      <c r="G1619" s="5" t="n"/>
    </row>
    <row r="1620">
      <c r="A1620" s="7" t="n"/>
      <c r="B1620" s="8">
        <f>IFERROR(MID(A1620,FIND("01",A1620)+2,14),"")</f>
        <v/>
      </c>
      <c r="C1620" s="7">
        <f>IF(A1620="","",IFERROR(VLOOKUP(B1620,TblArticles,2,FALSE),"GTIN inconnu"))</f>
        <v/>
      </c>
      <c r="D1620" s="8">
        <f>IF(A1620="","",IFERROR(VLOOKUP(B1620,TblArticles,3,FALSE),""))</f>
        <v/>
      </c>
      <c r="E1620" s="9">
        <f>IFERROR(DATE(2000+VALUE(MID(A1620,FIND("15",A1620,FIND("01",A1620)+16)+2,2)),VALUE(MID(A1620,FIND("15",A1620,FIND("01",A1620)+16)+4,2)),VALUE(MID(A1620,FIND("15",A1620,FIND("01",A1620)+16)+6,2))),"")</f>
        <v/>
      </c>
      <c r="F1620" s="8">
        <f>IFERROR(MID(A1620,FIND("10",A1620,FIND("15",A1620,FIND("01",A1620)+16)+8)+2,50),"")</f>
        <v/>
      </c>
      <c r="G1620" s="8" t="n"/>
    </row>
    <row r="1621">
      <c r="A1621" s="4" t="n"/>
      <c r="B1621" s="5">
        <f>IFERROR(MID(A1621,FIND("01",A1621)+2,14),"")</f>
        <v/>
      </c>
      <c r="C1621" s="4">
        <f>IF(A1621="","",IFERROR(VLOOKUP(B1621,TblArticles,2,FALSE),"GTIN inconnu"))</f>
        <v/>
      </c>
      <c r="D1621" s="5">
        <f>IF(A1621="","",IFERROR(VLOOKUP(B1621,TblArticles,3,FALSE),""))</f>
        <v/>
      </c>
      <c r="E1621" s="6">
        <f>IFERROR(DATE(2000+VALUE(MID(A1621,FIND("15",A1621,FIND("01",A1621)+16)+2,2)),VALUE(MID(A1621,FIND("15",A1621,FIND("01",A1621)+16)+4,2)),VALUE(MID(A1621,FIND("15",A1621,FIND("01",A1621)+16)+6,2))),"")</f>
        <v/>
      </c>
      <c r="F1621" s="5">
        <f>IFERROR(MID(A1621,FIND("10",A1621,FIND("15",A1621,FIND("01",A1621)+16)+8)+2,50),"")</f>
        <v/>
      </c>
      <c r="G1621" s="5" t="n"/>
    </row>
    <row r="1622">
      <c r="A1622" s="7" t="n"/>
      <c r="B1622" s="8">
        <f>IFERROR(MID(A1622,FIND("01",A1622)+2,14),"")</f>
        <v/>
      </c>
      <c r="C1622" s="7">
        <f>IF(A1622="","",IFERROR(VLOOKUP(B1622,TblArticles,2,FALSE),"GTIN inconnu"))</f>
        <v/>
      </c>
      <c r="D1622" s="8">
        <f>IF(A1622="","",IFERROR(VLOOKUP(B1622,TblArticles,3,FALSE),""))</f>
        <v/>
      </c>
      <c r="E1622" s="9">
        <f>IFERROR(DATE(2000+VALUE(MID(A1622,FIND("15",A1622,FIND("01",A1622)+16)+2,2)),VALUE(MID(A1622,FIND("15",A1622,FIND("01",A1622)+16)+4,2)),VALUE(MID(A1622,FIND("15",A1622,FIND("01",A1622)+16)+6,2))),"")</f>
        <v/>
      </c>
      <c r="F1622" s="8">
        <f>IFERROR(MID(A1622,FIND("10",A1622,FIND("15",A1622,FIND("01",A1622)+16)+8)+2,50),"")</f>
        <v/>
      </c>
      <c r="G1622" s="8" t="n"/>
    </row>
    <row r="1623">
      <c r="A1623" s="4" t="n"/>
      <c r="B1623" s="5">
        <f>IFERROR(MID(A1623,FIND("01",A1623)+2,14),"")</f>
        <v/>
      </c>
      <c r="C1623" s="4">
        <f>IF(A1623="","",IFERROR(VLOOKUP(B1623,TblArticles,2,FALSE),"GTIN inconnu"))</f>
        <v/>
      </c>
      <c r="D1623" s="5">
        <f>IF(A1623="","",IFERROR(VLOOKUP(B1623,TblArticles,3,FALSE),""))</f>
        <v/>
      </c>
      <c r="E1623" s="6">
        <f>IFERROR(DATE(2000+VALUE(MID(A1623,FIND("15",A1623,FIND("01",A1623)+16)+2,2)),VALUE(MID(A1623,FIND("15",A1623,FIND("01",A1623)+16)+4,2)),VALUE(MID(A1623,FIND("15",A1623,FIND("01",A1623)+16)+6,2))),"")</f>
        <v/>
      </c>
      <c r="F1623" s="5">
        <f>IFERROR(MID(A1623,FIND("10",A1623,FIND("15",A1623,FIND("01",A1623)+16)+8)+2,50),"")</f>
        <v/>
      </c>
      <c r="G1623" s="5" t="n"/>
    </row>
    <row r="1624">
      <c r="A1624" s="7" t="n"/>
      <c r="B1624" s="8">
        <f>IFERROR(MID(A1624,FIND("01",A1624)+2,14),"")</f>
        <v/>
      </c>
      <c r="C1624" s="7">
        <f>IF(A1624="","",IFERROR(VLOOKUP(B1624,TblArticles,2,FALSE),"GTIN inconnu"))</f>
        <v/>
      </c>
      <c r="D1624" s="8">
        <f>IF(A1624="","",IFERROR(VLOOKUP(B1624,TblArticles,3,FALSE),""))</f>
        <v/>
      </c>
      <c r="E1624" s="9">
        <f>IFERROR(DATE(2000+VALUE(MID(A1624,FIND("15",A1624,FIND("01",A1624)+16)+2,2)),VALUE(MID(A1624,FIND("15",A1624,FIND("01",A1624)+16)+4,2)),VALUE(MID(A1624,FIND("15",A1624,FIND("01",A1624)+16)+6,2))),"")</f>
        <v/>
      </c>
      <c r="F1624" s="8">
        <f>IFERROR(MID(A1624,FIND("10",A1624,FIND("15",A1624,FIND("01",A1624)+16)+8)+2,50),"")</f>
        <v/>
      </c>
      <c r="G1624" s="8" t="n"/>
    </row>
    <row r="1625">
      <c r="A1625" s="4" t="n"/>
      <c r="B1625" s="5">
        <f>IFERROR(MID(A1625,FIND("01",A1625)+2,14),"")</f>
        <v/>
      </c>
      <c r="C1625" s="4">
        <f>IF(A1625="","",IFERROR(VLOOKUP(B1625,TblArticles,2,FALSE),"GTIN inconnu"))</f>
        <v/>
      </c>
      <c r="D1625" s="5">
        <f>IF(A1625="","",IFERROR(VLOOKUP(B1625,TblArticles,3,FALSE),""))</f>
        <v/>
      </c>
      <c r="E1625" s="6">
        <f>IFERROR(DATE(2000+VALUE(MID(A1625,FIND("15",A1625,FIND("01",A1625)+16)+2,2)),VALUE(MID(A1625,FIND("15",A1625,FIND("01",A1625)+16)+4,2)),VALUE(MID(A1625,FIND("15",A1625,FIND("01",A1625)+16)+6,2))),"")</f>
        <v/>
      </c>
      <c r="F1625" s="5">
        <f>IFERROR(MID(A1625,FIND("10",A1625,FIND("15",A1625,FIND("01",A1625)+16)+8)+2,50),"")</f>
        <v/>
      </c>
      <c r="G1625" s="5" t="n"/>
    </row>
    <row r="1626">
      <c r="A1626" s="7" t="n"/>
      <c r="B1626" s="8">
        <f>IFERROR(MID(A1626,FIND("01",A1626)+2,14),"")</f>
        <v/>
      </c>
      <c r="C1626" s="7">
        <f>IF(A1626="","",IFERROR(VLOOKUP(B1626,TblArticles,2,FALSE),"GTIN inconnu"))</f>
        <v/>
      </c>
      <c r="D1626" s="8">
        <f>IF(A1626="","",IFERROR(VLOOKUP(B1626,TblArticles,3,FALSE),""))</f>
        <v/>
      </c>
      <c r="E1626" s="9">
        <f>IFERROR(DATE(2000+VALUE(MID(A1626,FIND("15",A1626,FIND("01",A1626)+16)+2,2)),VALUE(MID(A1626,FIND("15",A1626,FIND("01",A1626)+16)+4,2)),VALUE(MID(A1626,FIND("15",A1626,FIND("01",A1626)+16)+6,2))),"")</f>
        <v/>
      </c>
      <c r="F1626" s="8">
        <f>IFERROR(MID(A1626,FIND("10",A1626,FIND("15",A1626,FIND("01",A1626)+16)+8)+2,50),"")</f>
        <v/>
      </c>
      <c r="G1626" s="8" t="n"/>
    </row>
    <row r="1627">
      <c r="A1627" s="4" t="n"/>
      <c r="B1627" s="5">
        <f>IFERROR(MID(A1627,FIND("01",A1627)+2,14),"")</f>
        <v/>
      </c>
      <c r="C1627" s="4">
        <f>IF(A1627="","",IFERROR(VLOOKUP(B1627,TblArticles,2,FALSE),"GTIN inconnu"))</f>
        <v/>
      </c>
      <c r="D1627" s="5">
        <f>IF(A1627="","",IFERROR(VLOOKUP(B1627,TblArticles,3,FALSE),""))</f>
        <v/>
      </c>
      <c r="E1627" s="6">
        <f>IFERROR(DATE(2000+VALUE(MID(A1627,FIND("15",A1627,FIND("01",A1627)+16)+2,2)),VALUE(MID(A1627,FIND("15",A1627,FIND("01",A1627)+16)+4,2)),VALUE(MID(A1627,FIND("15",A1627,FIND("01",A1627)+16)+6,2))),"")</f>
        <v/>
      </c>
      <c r="F1627" s="5">
        <f>IFERROR(MID(A1627,FIND("10",A1627,FIND("15",A1627,FIND("01",A1627)+16)+8)+2,50),"")</f>
        <v/>
      </c>
      <c r="G1627" s="5" t="n"/>
    </row>
    <row r="1628">
      <c r="A1628" s="7" t="n"/>
      <c r="B1628" s="8">
        <f>IFERROR(MID(A1628,FIND("01",A1628)+2,14),"")</f>
        <v/>
      </c>
      <c r="C1628" s="7">
        <f>IF(A1628="","",IFERROR(VLOOKUP(B1628,TblArticles,2,FALSE),"GTIN inconnu"))</f>
        <v/>
      </c>
      <c r="D1628" s="8">
        <f>IF(A1628="","",IFERROR(VLOOKUP(B1628,TblArticles,3,FALSE),""))</f>
        <v/>
      </c>
      <c r="E1628" s="9">
        <f>IFERROR(DATE(2000+VALUE(MID(A1628,FIND("15",A1628,FIND("01",A1628)+16)+2,2)),VALUE(MID(A1628,FIND("15",A1628,FIND("01",A1628)+16)+4,2)),VALUE(MID(A1628,FIND("15",A1628,FIND("01",A1628)+16)+6,2))),"")</f>
        <v/>
      </c>
      <c r="F1628" s="8">
        <f>IFERROR(MID(A1628,FIND("10",A1628,FIND("15",A1628,FIND("01",A1628)+16)+8)+2,50),"")</f>
        <v/>
      </c>
      <c r="G1628" s="8" t="n"/>
    </row>
    <row r="1629">
      <c r="A1629" s="4" t="n"/>
      <c r="B1629" s="5">
        <f>IFERROR(MID(A1629,FIND("01",A1629)+2,14),"")</f>
        <v/>
      </c>
      <c r="C1629" s="4">
        <f>IF(A1629="","",IFERROR(VLOOKUP(B1629,TblArticles,2,FALSE),"GTIN inconnu"))</f>
        <v/>
      </c>
      <c r="D1629" s="5">
        <f>IF(A1629="","",IFERROR(VLOOKUP(B1629,TblArticles,3,FALSE),""))</f>
        <v/>
      </c>
      <c r="E1629" s="6">
        <f>IFERROR(DATE(2000+VALUE(MID(A1629,FIND("15",A1629,FIND("01",A1629)+16)+2,2)),VALUE(MID(A1629,FIND("15",A1629,FIND("01",A1629)+16)+4,2)),VALUE(MID(A1629,FIND("15",A1629,FIND("01",A1629)+16)+6,2))),"")</f>
        <v/>
      </c>
      <c r="F1629" s="5">
        <f>IFERROR(MID(A1629,FIND("10",A1629,FIND("15",A1629,FIND("01",A1629)+16)+8)+2,50),"")</f>
        <v/>
      </c>
      <c r="G1629" s="5" t="n"/>
    </row>
    <row r="1630">
      <c r="A1630" s="7" t="n"/>
      <c r="B1630" s="8">
        <f>IFERROR(MID(A1630,FIND("01",A1630)+2,14),"")</f>
        <v/>
      </c>
      <c r="C1630" s="7">
        <f>IF(A1630="","",IFERROR(VLOOKUP(B1630,TblArticles,2,FALSE),"GTIN inconnu"))</f>
        <v/>
      </c>
      <c r="D1630" s="8">
        <f>IF(A1630="","",IFERROR(VLOOKUP(B1630,TblArticles,3,FALSE),""))</f>
        <v/>
      </c>
      <c r="E1630" s="9">
        <f>IFERROR(DATE(2000+VALUE(MID(A1630,FIND("15",A1630,FIND("01",A1630)+16)+2,2)),VALUE(MID(A1630,FIND("15",A1630,FIND("01",A1630)+16)+4,2)),VALUE(MID(A1630,FIND("15",A1630,FIND("01",A1630)+16)+6,2))),"")</f>
        <v/>
      </c>
      <c r="F1630" s="8">
        <f>IFERROR(MID(A1630,FIND("10",A1630,FIND("15",A1630,FIND("01",A1630)+16)+8)+2,50),"")</f>
        <v/>
      </c>
      <c r="G1630" s="8" t="n"/>
    </row>
    <row r="1631">
      <c r="A1631" s="4" t="n"/>
      <c r="B1631" s="5">
        <f>IFERROR(MID(A1631,FIND("01",A1631)+2,14),"")</f>
        <v/>
      </c>
      <c r="C1631" s="4">
        <f>IF(A1631="","",IFERROR(VLOOKUP(B1631,TblArticles,2,FALSE),"GTIN inconnu"))</f>
        <v/>
      </c>
      <c r="D1631" s="5">
        <f>IF(A1631="","",IFERROR(VLOOKUP(B1631,TblArticles,3,FALSE),""))</f>
        <v/>
      </c>
      <c r="E1631" s="6">
        <f>IFERROR(DATE(2000+VALUE(MID(A1631,FIND("15",A1631,FIND("01",A1631)+16)+2,2)),VALUE(MID(A1631,FIND("15",A1631,FIND("01",A1631)+16)+4,2)),VALUE(MID(A1631,FIND("15",A1631,FIND("01",A1631)+16)+6,2))),"")</f>
        <v/>
      </c>
      <c r="F1631" s="5">
        <f>IFERROR(MID(A1631,FIND("10",A1631,FIND("15",A1631,FIND("01",A1631)+16)+8)+2,50),"")</f>
        <v/>
      </c>
      <c r="G1631" s="5" t="n"/>
    </row>
    <row r="1632">
      <c r="A1632" s="7" t="n"/>
      <c r="B1632" s="8">
        <f>IFERROR(MID(A1632,FIND("01",A1632)+2,14),"")</f>
        <v/>
      </c>
      <c r="C1632" s="7">
        <f>IF(A1632="","",IFERROR(VLOOKUP(B1632,TblArticles,2,FALSE),"GTIN inconnu"))</f>
        <v/>
      </c>
      <c r="D1632" s="8">
        <f>IF(A1632="","",IFERROR(VLOOKUP(B1632,TblArticles,3,FALSE),""))</f>
        <v/>
      </c>
      <c r="E1632" s="9">
        <f>IFERROR(DATE(2000+VALUE(MID(A1632,FIND("15",A1632,FIND("01",A1632)+16)+2,2)),VALUE(MID(A1632,FIND("15",A1632,FIND("01",A1632)+16)+4,2)),VALUE(MID(A1632,FIND("15",A1632,FIND("01",A1632)+16)+6,2))),"")</f>
        <v/>
      </c>
      <c r="F1632" s="8">
        <f>IFERROR(MID(A1632,FIND("10",A1632,FIND("15",A1632,FIND("01",A1632)+16)+8)+2,50),"")</f>
        <v/>
      </c>
      <c r="G1632" s="8" t="n"/>
    </row>
    <row r="1633">
      <c r="A1633" s="4" t="n"/>
      <c r="B1633" s="5">
        <f>IFERROR(MID(A1633,FIND("01",A1633)+2,14),"")</f>
        <v/>
      </c>
      <c r="C1633" s="4">
        <f>IF(A1633="","",IFERROR(VLOOKUP(B1633,TblArticles,2,FALSE),"GTIN inconnu"))</f>
        <v/>
      </c>
      <c r="D1633" s="5">
        <f>IF(A1633="","",IFERROR(VLOOKUP(B1633,TblArticles,3,FALSE),""))</f>
        <v/>
      </c>
      <c r="E1633" s="6">
        <f>IFERROR(DATE(2000+VALUE(MID(A1633,FIND("15",A1633,FIND("01",A1633)+16)+2,2)),VALUE(MID(A1633,FIND("15",A1633,FIND("01",A1633)+16)+4,2)),VALUE(MID(A1633,FIND("15",A1633,FIND("01",A1633)+16)+6,2))),"")</f>
        <v/>
      </c>
      <c r="F1633" s="5">
        <f>IFERROR(MID(A1633,FIND("10",A1633,FIND("15",A1633,FIND("01",A1633)+16)+8)+2,50),"")</f>
        <v/>
      </c>
      <c r="G1633" s="5" t="n"/>
    </row>
    <row r="1634">
      <c r="A1634" s="7" t="n"/>
      <c r="B1634" s="8">
        <f>IFERROR(MID(A1634,FIND("01",A1634)+2,14),"")</f>
        <v/>
      </c>
      <c r="C1634" s="7">
        <f>IF(A1634="","",IFERROR(VLOOKUP(B1634,TblArticles,2,FALSE),"GTIN inconnu"))</f>
        <v/>
      </c>
      <c r="D1634" s="8">
        <f>IF(A1634="","",IFERROR(VLOOKUP(B1634,TblArticles,3,FALSE),""))</f>
        <v/>
      </c>
      <c r="E1634" s="9">
        <f>IFERROR(DATE(2000+VALUE(MID(A1634,FIND("15",A1634,FIND("01",A1634)+16)+2,2)),VALUE(MID(A1634,FIND("15",A1634,FIND("01",A1634)+16)+4,2)),VALUE(MID(A1634,FIND("15",A1634,FIND("01",A1634)+16)+6,2))),"")</f>
        <v/>
      </c>
      <c r="F1634" s="8">
        <f>IFERROR(MID(A1634,FIND("10",A1634,FIND("15",A1634,FIND("01",A1634)+16)+8)+2,50),"")</f>
        <v/>
      </c>
      <c r="G1634" s="8" t="n"/>
    </row>
    <row r="1635">
      <c r="A1635" s="4" t="n"/>
      <c r="B1635" s="5">
        <f>IFERROR(MID(A1635,FIND("01",A1635)+2,14),"")</f>
        <v/>
      </c>
      <c r="C1635" s="4">
        <f>IF(A1635="","",IFERROR(VLOOKUP(B1635,TblArticles,2,FALSE),"GTIN inconnu"))</f>
        <v/>
      </c>
      <c r="D1635" s="5">
        <f>IF(A1635="","",IFERROR(VLOOKUP(B1635,TblArticles,3,FALSE),""))</f>
        <v/>
      </c>
      <c r="E1635" s="6">
        <f>IFERROR(DATE(2000+VALUE(MID(A1635,FIND("15",A1635,FIND("01",A1635)+16)+2,2)),VALUE(MID(A1635,FIND("15",A1635,FIND("01",A1635)+16)+4,2)),VALUE(MID(A1635,FIND("15",A1635,FIND("01",A1635)+16)+6,2))),"")</f>
        <v/>
      </c>
      <c r="F1635" s="5">
        <f>IFERROR(MID(A1635,FIND("10",A1635,FIND("15",A1635,FIND("01",A1635)+16)+8)+2,50),"")</f>
        <v/>
      </c>
      <c r="G1635" s="5" t="n"/>
    </row>
    <row r="1636">
      <c r="A1636" s="7" t="n"/>
      <c r="B1636" s="8">
        <f>IFERROR(MID(A1636,FIND("01",A1636)+2,14),"")</f>
        <v/>
      </c>
      <c r="C1636" s="7">
        <f>IF(A1636="","",IFERROR(VLOOKUP(B1636,TblArticles,2,FALSE),"GTIN inconnu"))</f>
        <v/>
      </c>
      <c r="D1636" s="8">
        <f>IF(A1636="","",IFERROR(VLOOKUP(B1636,TblArticles,3,FALSE),""))</f>
        <v/>
      </c>
      <c r="E1636" s="9">
        <f>IFERROR(DATE(2000+VALUE(MID(A1636,FIND("15",A1636,FIND("01",A1636)+16)+2,2)),VALUE(MID(A1636,FIND("15",A1636,FIND("01",A1636)+16)+4,2)),VALUE(MID(A1636,FIND("15",A1636,FIND("01",A1636)+16)+6,2))),"")</f>
        <v/>
      </c>
      <c r="F1636" s="8">
        <f>IFERROR(MID(A1636,FIND("10",A1636,FIND("15",A1636,FIND("01",A1636)+16)+8)+2,50),"")</f>
        <v/>
      </c>
      <c r="G1636" s="8" t="n"/>
    </row>
    <row r="1637">
      <c r="A1637" s="4" t="n"/>
      <c r="B1637" s="5">
        <f>IFERROR(MID(A1637,FIND("01",A1637)+2,14),"")</f>
        <v/>
      </c>
      <c r="C1637" s="4">
        <f>IF(A1637="","",IFERROR(VLOOKUP(B1637,TblArticles,2,FALSE),"GTIN inconnu"))</f>
        <v/>
      </c>
      <c r="D1637" s="5">
        <f>IF(A1637="","",IFERROR(VLOOKUP(B1637,TblArticles,3,FALSE),""))</f>
        <v/>
      </c>
      <c r="E1637" s="6">
        <f>IFERROR(DATE(2000+VALUE(MID(A1637,FIND("15",A1637,FIND("01",A1637)+16)+2,2)),VALUE(MID(A1637,FIND("15",A1637,FIND("01",A1637)+16)+4,2)),VALUE(MID(A1637,FIND("15",A1637,FIND("01",A1637)+16)+6,2))),"")</f>
        <v/>
      </c>
      <c r="F1637" s="5">
        <f>IFERROR(MID(A1637,FIND("10",A1637,FIND("15",A1637,FIND("01",A1637)+16)+8)+2,50),"")</f>
        <v/>
      </c>
      <c r="G1637" s="5" t="n"/>
    </row>
    <row r="1638">
      <c r="A1638" s="7" t="n"/>
      <c r="B1638" s="8">
        <f>IFERROR(MID(A1638,FIND("01",A1638)+2,14),"")</f>
        <v/>
      </c>
      <c r="C1638" s="7">
        <f>IF(A1638="","",IFERROR(VLOOKUP(B1638,TblArticles,2,FALSE),"GTIN inconnu"))</f>
        <v/>
      </c>
      <c r="D1638" s="8">
        <f>IF(A1638="","",IFERROR(VLOOKUP(B1638,TblArticles,3,FALSE),""))</f>
        <v/>
      </c>
      <c r="E1638" s="9">
        <f>IFERROR(DATE(2000+VALUE(MID(A1638,FIND("15",A1638,FIND("01",A1638)+16)+2,2)),VALUE(MID(A1638,FIND("15",A1638,FIND("01",A1638)+16)+4,2)),VALUE(MID(A1638,FIND("15",A1638,FIND("01",A1638)+16)+6,2))),"")</f>
        <v/>
      </c>
      <c r="F1638" s="8">
        <f>IFERROR(MID(A1638,FIND("10",A1638,FIND("15",A1638,FIND("01",A1638)+16)+8)+2,50),"")</f>
        <v/>
      </c>
      <c r="G1638" s="8" t="n"/>
    </row>
    <row r="1639">
      <c r="A1639" s="4" t="n"/>
      <c r="B1639" s="5">
        <f>IFERROR(MID(A1639,FIND("01",A1639)+2,14),"")</f>
        <v/>
      </c>
      <c r="C1639" s="4">
        <f>IF(A1639="","",IFERROR(VLOOKUP(B1639,TblArticles,2,FALSE),"GTIN inconnu"))</f>
        <v/>
      </c>
      <c r="D1639" s="5">
        <f>IF(A1639="","",IFERROR(VLOOKUP(B1639,TblArticles,3,FALSE),""))</f>
        <v/>
      </c>
      <c r="E1639" s="6">
        <f>IFERROR(DATE(2000+VALUE(MID(A1639,FIND("15",A1639,FIND("01",A1639)+16)+2,2)),VALUE(MID(A1639,FIND("15",A1639,FIND("01",A1639)+16)+4,2)),VALUE(MID(A1639,FIND("15",A1639,FIND("01",A1639)+16)+6,2))),"")</f>
        <v/>
      </c>
      <c r="F1639" s="5">
        <f>IFERROR(MID(A1639,FIND("10",A1639,FIND("15",A1639,FIND("01",A1639)+16)+8)+2,50),"")</f>
        <v/>
      </c>
      <c r="G1639" s="5" t="n"/>
    </row>
    <row r="1640">
      <c r="A1640" s="7" t="n"/>
      <c r="B1640" s="8">
        <f>IFERROR(MID(A1640,FIND("01",A1640)+2,14),"")</f>
        <v/>
      </c>
      <c r="C1640" s="7">
        <f>IF(A1640="","",IFERROR(VLOOKUP(B1640,TblArticles,2,FALSE),"GTIN inconnu"))</f>
        <v/>
      </c>
      <c r="D1640" s="8">
        <f>IF(A1640="","",IFERROR(VLOOKUP(B1640,TblArticles,3,FALSE),""))</f>
        <v/>
      </c>
      <c r="E1640" s="9">
        <f>IFERROR(DATE(2000+VALUE(MID(A1640,FIND("15",A1640,FIND("01",A1640)+16)+2,2)),VALUE(MID(A1640,FIND("15",A1640,FIND("01",A1640)+16)+4,2)),VALUE(MID(A1640,FIND("15",A1640,FIND("01",A1640)+16)+6,2))),"")</f>
        <v/>
      </c>
      <c r="F1640" s="8">
        <f>IFERROR(MID(A1640,FIND("10",A1640,FIND("15",A1640,FIND("01",A1640)+16)+8)+2,50),"")</f>
        <v/>
      </c>
      <c r="G1640" s="8" t="n"/>
    </row>
    <row r="1641">
      <c r="A1641" s="4" t="n"/>
      <c r="B1641" s="5">
        <f>IFERROR(MID(A1641,FIND("01",A1641)+2,14),"")</f>
        <v/>
      </c>
      <c r="C1641" s="4">
        <f>IF(A1641="","",IFERROR(VLOOKUP(B1641,TblArticles,2,FALSE),"GTIN inconnu"))</f>
        <v/>
      </c>
      <c r="D1641" s="5">
        <f>IF(A1641="","",IFERROR(VLOOKUP(B1641,TblArticles,3,FALSE),""))</f>
        <v/>
      </c>
      <c r="E1641" s="6">
        <f>IFERROR(DATE(2000+VALUE(MID(A1641,FIND("15",A1641,FIND("01",A1641)+16)+2,2)),VALUE(MID(A1641,FIND("15",A1641,FIND("01",A1641)+16)+4,2)),VALUE(MID(A1641,FIND("15",A1641,FIND("01",A1641)+16)+6,2))),"")</f>
        <v/>
      </c>
      <c r="F1641" s="5">
        <f>IFERROR(MID(A1641,FIND("10",A1641,FIND("15",A1641,FIND("01",A1641)+16)+8)+2,50),"")</f>
        <v/>
      </c>
      <c r="G1641" s="5" t="n"/>
    </row>
    <row r="1642">
      <c r="A1642" s="7" t="n"/>
      <c r="B1642" s="8">
        <f>IFERROR(MID(A1642,FIND("01",A1642)+2,14),"")</f>
        <v/>
      </c>
      <c r="C1642" s="7">
        <f>IF(A1642="","",IFERROR(VLOOKUP(B1642,TblArticles,2,FALSE),"GTIN inconnu"))</f>
        <v/>
      </c>
      <c r="D1642" s="8">
        <f>IF(A1642="","",IFERROR(VLOOKUP(B1642,TblArticles,3,FALSE),""))</f>
        <v/>
      </c>
      <c r="E1642" s="9">
        <f>IFERROR(DATE(2000+VALUE(MID(A1642,FIND("15",A1642,FIND("01",A1642)+16)+2,2)),VALUE(MID(A1642,FIND("15",A1642,FIND("01",A1642)+16)+4,2)),VALUE(MID(A1642,FIND("15",A1642,FIND("01",A1642)+16)+6,2))),"")</f>
        <v/>
      </c>
      <c r="F1642" s="8">
        <f>IFERROR(MID(A1642,FIND("10",A1642,FIND("15",A1642,FIND("01",A1642)+16)+8)+2,50),"")</f>
        <v/>
      </c>
      <c r="G1642" s="8" t="n"/>
    </row>
    <row r="1643">
      <c r="A1643" s="4" t="n"/>
      <c r="B1643" s="5">
        <f>IFERROR(MID(A1643,FIND("01",A1643)+2,14),"")</f>
        <v/>
      </c>
      <c r="C1643" s="4">
        <f>IF(A1643="","",IFERROR(VLOOKUP(B1643,TblArticles,2,FALSE),"GTIN inconnu"))</f>
        <v/>
      </c>
      <c r="D1643" s="5">
        <f>IF(A1643="","",IFERROR(VLOOKUP(B1643,TblArticles,3,FALSE),""))</f>
        <v/>
      </c>
      <c r="E1643" s="6">
        <f>IFERROR(DATE(2000+VALUE(MID(A1643,FIND("15",A1643,FIND("01",A1643)+16)+2,2)),VALUE(MID(A1643,FIND("15",A1643,FIND("01",A1643)+16)+4,2)),VALUE(MID(A1643,FIND("15",A1643,FIND("01",A1643)+16)+6,2))),"")</f>
        <v/>
      </c>
      <c r="F1643" s="5">
        <f>IFERROR(MID(A1643,FIND("10",A1643,FIND("15",A1643,FIND("01",A1643)+16)+8)+2,50),"")</f>
        <v/>
      </c>
      <c r="G1643" s="5" t="n"/>
    </row>
    <row r="1644">
      <c r="A1644" s="7" t="n"/>
      <c r="B1644" s="8">
        <f>IFERROR(MID(A1644,FIND("01",A1644)+2,14),"")</f>
        <v/>
      </c>
      <c r="C1644" s="7">
        <f>IF(A1644="","",IFERROR(VLOOKUP(B1644,TblArticles,2,FALSE),"GTIN inconnu"))</f>
        <v/>
      </c>
      <c r="D1644" s="8">
        <f>IF(A1644="","",IFERROR(VLOOKUP(B1644,TblArticles,3,FALSE),""))</f>
        <v/>
      </c>
      <c r="E1644" s="9">
        <f>IFERROR(DATE(2000+VALUE(MID(A1644,FIND("15",A1644,FIND("01",A1644)+16)+2,2)),VALUE(MID(A1644,FIND("15",A1644,FIND("01",A1644)+16)+4,2)),VALUE(MID(A1644,FIND("15",A1644,FIND("01",A1644)+16)+6,2))),"")</f>
        <v/>
      </c>
      <c r="F1644" s="8">
        <f>IFERROR(MID(A1644,FIND("10",A1644,FIND("15",A1644,FIND("01",A1644)+16)+8)+2,50),"")</f>
        <v/>
      </c>
      <c r="G1644" s="8" t="n"/>
    </row>
    <row r="1645">
      <c r="A1645" s="4" t="n"/>
      <c r="B1645" s="5">
        <f>IFERROR(MID(A1645,FIND("01",A1645)+2,14),"")</f>
        <v/>
      </c>
      <c r="C1645" s="4">
        <f>IF(A1645="","",IFERROR(VLOOKUP(B1645,TblArticles,2,FALSE),"GTIN inconnu"))</f>
        <v/>
      </c>
      <c r="D1645" s="5">
        <f>IF(A1645="","",IFERROR(VLOOKUP(B1645,TblArticles,3,FALSE),""))</f>
        <v/>
      </c>
      <c r="E1645" s="6">
        <f>IFERROR(DATE(2000+VALUE(MID(A1645,FIND("15",A1645,FIND("01",A1645)+16)+2,2)),VALUE(MID(A1645,FIND("15",A1645,FIND("01",A1645)+16)+4,2)),VALUE(MID(A1645,FIND("15",A1645,FIND("01",A1645)+16)+6,2))),"")</f>
        <v/>
      </c>
      <c r="F1645" s="5">
        <f>IFERROR(MID(A1645,FIND("10",A1645,FIND("15",A1645,FIND("01",A1645)+16)+8)+2,50),"")</f>
        <v/>
      </c>
      <c r="G1645" s="5" t="n"/>
    </row>
    <row r="1646">
      <c r="A1646" s="7" t="n"/>
      <c r="B1646" s="8">
        <f>IFERROR(MID(A1646,FIND("01",A1646)+2,14),"")</f>
        <v/>
      </c>
      <c r="C1646" s="7">
        <f>IF(A1646="","",IFERROR(VLOOKUP(B1646,TblArticles,2,FALSE),"GTIN inconnu"))</f>
        <v/>
      </c>
      <c r="D1646" s="8">
        <f>IF(A1646="","",IFERROR(VLOOKUP(B1646,TblArticles,3,FALSE),""))</f>
        <v/>
      </c>
      <c r="E1646" s="9">
        <f>IFERROR(DATE(2000+VALUE(MID(A1646,FIND("15",A1646,FIND("01",A1646)+16)+2,2)),VALUE(MID(A1646,FIND("15",A1646,FIND("01",A1646)+16)+4,2)),VALUE(MID(A1646,FIND("15",A1646,FIND("01",A1646)+16)+6,2))),"")</f>
        <v/>
      </c>
      <c r="F1646" s="8">
        <f>IFERROR(MID(A1646,FIND("10",A1646,FIND("15",A1646,FIND("01",A1646)+16)+8)+2,50),"")</f>
        <v/>
      </c>
      <c r="G1646" s="8" t="n"/>
    </row>
    <row r="1647">
      <c r="A1647" s="4" t="n"/>
      <c r="B1647" s="5">
        <f>IFERROR(MID(A1647,FIND("01",A1647)+2,14),"")</f>
        <v/>
      </c>
      <c r="C1647" s="4">
        <f>IF(A1647="","",IFERROR(VLOOKUP(B1647,TblArticles,2,FALSE),"GTIN inconnu"))</f>
        <v/>
      </c>
      <c r="D1647" s="5">
        <f>IF(A1647="","",IFERROR(VLOOKUP(B1647,TblArticles,3,FALSE),""))</f>
        <v/>
      </c>
      <c r="E1647" s="6">
        <f>IFERROR(DATE(2000+VALUE(MID(A1647,FIND("15",A1647,FIND("01",A1647)+16)+2,2)),VALUE(MID(A1647,FIND("15",A1647,FIND("01",A1647)+16)+4,2)),VALUE(MID(A1647,FIND("15",A1647,FIND("01",A1647)+16)+6,2))),"")</f>
        <v/>
      </c>
      <c r="F1647" s="5">
        <f>IFERROR(MID(A1647,FIND("10",A1647,FIND("15",A1647,FIND("01",A1647)+16)+8)+2,50),"")</f>
        <v/>
      </c>
      <c r="G1647" s="5" t="n"/>
    </row>
    <row r="1648">
      <c r="A1648" s="7" t="n"/>
      <c r="B1648" s="8">
        <f>IFERROR(MID(A1648,FIND("01",A1648)+2,14),"")</f>
        <v/>
      </c>
      <c r="C1648" s="7">
        <f>IF(A1648="","",IFERROR(VLOOKUP(B1648,TblArticles,2,FALSE),"GTIN inconnu"))</f>
        <v/>
      </c>
      <c r="D1648" s="8">
        <f>IF(A1648="","",IFERROR(VLOOKUP(B1648,TblArticles,3,FALSE),""))</f>
        <v/>
      </c>
      <c r="E1648" s="9">
        <f>IFERROR(DATE(2000+VALUE(MID(A1648,FIND("15",A1648,FIND("01",A1648)+16)+2,2)),VALUE(MID(A1648,FIND("15",A1648,FIND("01",A1648)+16)+4,2)),VALUE(MID(A1648,FIND("15",A1648,FIND("01",A1648)+16)+6,2))),"")</f>
        <v/>
      </c>
      <c r="F1648" s="8">
        <f>IFERROR(MID(A1648,FIND("10",A1648,FIND("15",A1648,FIND("01",A1648)+16)+8)+2,50),"")</f>
        <v/>
      </c>
      <c r="G1648" s="8" t="n"/>
    </row>
    <row r="1649">
      <c r="A1649" s="4" t="n"/>
      <c r="B1649" s="5">
        <f>IFERROR(MID(A1649,FIND("01",A1649)+2,14),"")</f>
        <v/>
      </c>
      <c r="C1649" s="4">
        <f>IF(A1649="","",IFERROR(VLOOKUP(B1649,TblArticles,2,FALSE),"GTIN inconnu"))</f>
        <v/>
      </c>
      <c r="D1649" s="5">
        <f>IF(A1649="","",IFERROR(VLOOKUP(B1649,TblArticles,3,FALSE),""))</f>
        <v/>
      </c>
      <c r="E1649" s="6">
        <f>IFERROR(DATE(2000+VALUE(MID(A1649,FIND("15",A1649,FIND("01",A1649)+16)+2,2)),VALUE(MID(A1649,FIND("15",A1649,FIND("01",A1649)+16)+4,2)),VALUE(MID(A1649,FIND("15",A1649,FIND("01",A1649)+16)+6,2))),"")</f>
        <v/>
      </c>
      <c r="F1649" s="5">
        <f>IFERROR(MID(A1649,FIND("10",A1649,FIND("15",A1649,FIND("01",A1649)+16)+8)+2,50),"")</f>
        <v/>
      </c>
      <c r="G1649" s="5" t="n"/>
    </row>
    <row r="1650">
      <c r="A1650" s="7" t="n"/>
      <c r="B1650" s="8">
        <f>IFERROR(MID(A1650,FIND("01",A1650)+2,14),"")</f>
        <v/>
      </c>
      <c r="C1650" s="7">
        <f>IF(A1650="","",IFERROR(VLOOKUP(B1650,TblArticles,2,FALSE),"GTIN inconnu"))</f>
        <v/>
      </c>
      <c r="D1650" s="8">
        <f>IF(A1650="","",IFERROR(VLOOKUP(B1650,TblArticles,3,FALSE),""))</f>
        <v/>
      </c>
      <c r="E1650" s="9">
        <f>IFERROR(DATE(2000+VALUE(MID(A1650,FIND("15",A1650,FIND("01",A1650)+16)+2,2)),VALUE(MID(A1650,FIND("15",A1650,FIND("01",A1650)+16)+4,2)),VALUE(MID(A1650,FIND("15",A1650,FIND("01",A1650)+16)+6,2))),"")</f>
        <v/>
      </c>
      <c r="F1650" s="8">
        <f>IFERROR(MID(A1650,FIND("10",A1650,FIND("15",A1650,FIND("01",A1650)+16)+8)+2,50),"")</f>
        <v/>
      </c>
      <c r="G1650" s="8" t="n"/>
    </row>
    <row r="1651">
      <c r="A1651" s="4" t="n"/>
      <c r="B1651" s="5">
        <f>IFERROR(MID(A1651,FIND("01",A1651)+2,14),"")</f>
        <v/>
      </c>
      <c r="C1651" s="4">
        <f>IF(A1651="","",IFERROR(VLOOKUP(B1651,TblArticles,2,FALSE),"GTIN inconnu"))</f>
        <v/>
      </c>
      <c r="D1651" s="5">
        <f>IF(A1651="","",IFERROR(VLOOKUP(B1651,TblArticles,3,FALSE),""))</f>
        <v/>
      </c>
      <c r="E1651" s="6">
        <f>IFERROR(DATE(2000+VALUE(MID(A1651,FIND("15",A1651,FIND("01",A1651)+16)+2,2)),VALUE(MID(A1651,FIND("15",A1651,FIND("01",A1651)+16)+4,2)),VALUE(MID(A1651,FIND("15",A1651,FIND("01",A1651)+16)+6,2))),"")</f>
        <v/>
      </c>
      <c r="F1651" s="5">
        <f>IFERROR(MID(A1651,FIND("10",A1651,FIND("15",A1651,FIND("01",A1651)+16)+8)+2,50),"")</f>
        <v/>
      </c>
      <c r="G1651" s="5" t="n"/>
    </row>
    <row r="1652">
      <c r="A1652" s="7" t="n"/>
      <c r="B1652" s="8">
        <f>IFERROR(MID(A1652,FIND("01",A1652)+2,14),"")</f>
        <v/>
      </c>
      <c r="C1652" s="7">
        <f>IF(A1652="","",IFERROR(VLOOKUP(B1652,TblArticles,2,FALSE),"GTIN inconnu"))</f>
        <v/>
      </c>
      <c r="D1652" s="8">
        <f>IF(A1652="","",IFERROR(VLOOKUP(B1652,TblArticles,3,FALSE),""))</f>
        <v/>
      </c>
      <c r="E1652" s="9">
        <f>IFERROR(DATE(2000+VALUE(MID(A1652,FIND("15",A1652,FIND("01",A1652)+16)+2,2)),VALUE(MID(A1652,FIND("15",A1652,FIND("01",A1652)+16)+4,2)),VALUE(MID(A1652,FIND("15",A1652,FIND("01",A1652)+16)+6,2))),"")</f>
        <v/>
      </c>
      <c r="F1652" s="8">
        <f>IFERROR(MID(A1652,FIND("10",A1652,FIND("15",A1652,FIND("01",A1652)+16)+8)+2,50),"")</f>
        <v/>
      </c>
      <c r="G1652" s="8" t="n"/>
    </row>
    <row r="1653">
      <c r="A1653" s="4" t="n"/>
      <c r="B1653" s="5">
        <f>IFERROR(MID(A1653,FIND("01",A1653)+2,14),"")</f>
        <v/>
      </c>
      <c r="C1653" s="4">
        <f>IF(A1653="","",IFERROR(VLOOKUP(B1653,TblArticles,2,FALSE),"GTIN inconnu"))</f>
        <v/>
      </c>
      <c r="D1653" s="5">
        <f>IF(A1653="","",IFERROR(VLOOKUP(B1653,TblArticles,3,FALSE),""))</f>
        <v/>
      </c>
      <c r="E1653" s="6">
        <f>IFERROR(DATE(2000+VALUE(MID(A1653,FIND("15",A1653,FIND("01",A1653)+16)+2,2)),VALUE(MID(A1653,FIND("15",A1653,FIND("01",A1653)+16)+4,2)),VALUE(MID(A1653,FIND("15",A1653,FIND("01",A1653)+16)+6,2))),"")</f>
        <v/>
      </c>
      <c r="F1653" s="5">
        <f>IFERROR(MID(A1653,FIND("10",A1653,FIND("15",A1653,FIND("01",A1653)+16)+8)+2,50),"")</f>
        <v/>
      </c>
      <c r="G1653" s="5" t="n"/>
    </row>
    <row r="1654">
      <c r="A1654" s="7" t="n"/>
      <c r="B1654" s="8">
        <f>IFERROR(MID(A1654,FIND("01",A1654)+2,14),"")</f>
        <v/>
      </c>
      <c r="C1654" s="7">
        <f>IF(A1654="","",IFERROR(VLOOKUP(B1654,TblArticles,2,FALSE),"GTIN inconnu"))</f>
        <v/>
      </c>
      <c r="D1654" s="8">
        <f>IF(A1654="","",IFERROR(VLOOKUP(B1654,TblArticles,3,FALSE),""))</f>
        <v/>
      </c>
      <c r="E1654" s="9">
        <f>IFERROR(DATE(2000+VALUE(MID(A1654,FIND("15",A1654,FIND("01",A1654)+16)+2,2)),VALUE(MID(A1654,FIND("15",A1654,FIND("01",A1654)+16)+4,2)),VALUE(MID(A1654,FIND("15",A1654,FIND("01",A1654)+16)+6,2))),"")</f>
        <v/>
      </c>
      <c r="F1654" s="8">
        <f>IFERROR(MID(A1654,FIND("10",A1654,FIND("15",A1654,FIND("01",A1654)+16)+8)+2,50),"")</f>
        <v/>
      </c>
      <c r="G1654" s="8" t="n"/>
    </row>
    <row r="1655">
      <c r="A1655" s="4" t="n"/>
      <c r="B1655" s="5">
        <f>IFERROR(MID(A1655,FIND("01",A1655)+2,14),"")</f>
        <v/>
      </c>
      <c r="C1655" s="4">
        <f>IF(A1655="","",IFERROR(VLOOKUP(B1655,TblArticles,2,FALSE),"GTIN inconnu"))</f>
        <v/>
      </c>
      <c r="D1655" s="5">
        <f>IF(A1655="","",IFERROR(VLOOKUP(B1655,TblArticles,3,FALSE),""))</f>
        <v/>
      </c>
      <c r="E1655" s="6">
        <f>IFERROR(DATE(2000+VALUE(MID(A1655,FIND("15",A1655,FIND("01",A1655)+16)+2,2)),VALUE(MID(A1655,FIND("15",A1655,FIND("01",A1655)+16)+4,2)),VALUE(MID(A1655,FIND("15",A1655,FIND("01",A1655)+16)+6,2))),"")</f>
        <v/>
      </c>
      <c r="F1655" s="5">
        <f>IFERROR(MID(A1655,FIND("10",A1655,FIND("15",A1655,FIND("01",A1655)+16)+8)+2,50),"")</f>
        <v/>
      </c>
      <c r="G1655" s="5" t="n"/>
    </row>
    <row r="1656">
      <c r="A1656" s="7" t="n"/>
      <c r="B1656" s="8">
        <f>IFERROR(MID(A1656,FIND("01",A1656)+2,14),"")</f>
        <v/>
      </c>
      <c r="C1656" s="7">
        <f>IF(A1656="","",IFERROR(VLOOKUP(B1656,TblArticles,2,FALSE),"GTIN inconnu"))</f>
        <v/>
      </c>
      <c r="D1656" s="8">
        <f>IF(A1656="","",IFERROR(VLOOKUP(B1656,TblArticles,3,FALSE),""))</f>
        <v/>
      </c>
      <c r="E1656" s="9">
        <f>IFERROR(DATE(2000+VALUE(MID(A1656,FIND("15",A1656,FIND("01",A1656)+16)+2,2)),VALUE(MID(A1656,FIND("15",A1656,FIND("01",A1656)+16)+4,2)),VALUE(MID(A1656,FIND("15",A1656,FIND("01",A1656)+16)+6,2))),"")</f>
        <v/>
      </c>
      <c r="F1656" s="8">
        <f>IFERROR(MID(A1656,FIND("10",A1656,FIND("15",A1656,FIND("01",A1656)+16)+8)+2,50),"")</f>
        <v/>
      </c>
      <c r="G1656" s="8" t="n"/>
    </row>
    <row r="1657">
      <c r="A1657" s="4" t="n"/>
      <c r="B1657" s="5">
        <f>IFERROR(MID(A1657,FIND("01",A1657)+2,14),"")</f>
        <v/>
      </c>
      <c r="C1657" s="4">
        <f>IF(A1657="","",IFERROR(VLOOKUP(B1657,TblArticles,2,FALSE),"GTIN inconnu"))</f>
        <v/>
      </c>
      <c r="D1657" s="5">
        <f>IF(A1657="","",IFERROR(VLOOKUP(B1657,TblArticles,3,FALSE),""))</f>
        <v/>
      </c>
      <c r="E1657" s="6">
        <f>IFERROR(DATE(2000+VALUE(MID(A1657,FIND("15",A1657,FIND("01",A1657)+16)+2,2)),VALUE(MID(A1657,FIND("15",A1657,FIND("01",A1657)+16)+4,2)),VALUE(MID(A1657,FIND("15",A1657,FIND("01",A1657)+16)+6,2))),"")</f>
        <v/>
      </c>
      <c r="F1657" s="5">
        <f>IFERROR(MID(A1657,FIND("10",A1657,FIND("15",A1657,FIND("01",A1657)+16)+8)+2,50),"")</f>
        <v/>
      </c>
      <c r="G1657" s="5" t="n"/>
    </row>
    <row r="1658">
      <c r="A1658" s="7" t="n"/>
      <c r="B1658" s="8">
        <f>IFERROR(MID(A1658,FIND("01",A1658)+2,14),"")</f>
        <v/>
      </c>
      <c r="C1658" s="7">
        <f>IF(A1658="","",IFERROR(VLOOKUP(B1658,TblArticles,2,FALSE),"GTIN inconnu"))</f>
        <v/>
      </c>
      <c r="D1658" s="8">
        <f>IF(A1658="","",IFERROR(VLOOKUP(B1658,TblArticles,3,FALSE),""))</f>
        <v/>
      </c>
      <c r="E1658" s="9">
        <f>IFERROR(DATE(2000+VALUE(MID(A1658,FIND("15",A1658,FIND("01",A1658)+16)+2,2)),VALUE(MID(A1658,FIND("15",A1658,FIND("01",A1658)+16)+4,2)),VALUE(MID(A1658,FIND("15",A1658,FIND("01",A1658)+16)+6,2))),"")</f>
        <v/>
      </c>
      <c r="F1658" s="8">
        <f>IFERROR(MID(A1658,FIND("10",A1658,FIND("15",A1658,FIND("01",A1658)+16)+8)+2,50),"")</f>
        <v/>
      </c>
      <c r="G1658" s="8" t="n"/>
    </row>
    <row r="1659">
      <c r="A1659" s="4" t="n"/>
      <c r="B1659" s="5">
        <f>IFERROR(MID(A1659,FIND("01",A1659)+2,14),"")</f>
        <v/>
      </c>
      <c r="C1659" s="4">
        <f>IF(A1659="","",IFERROR(VLOOKUP(B1659,TblArticles,2,FALSE),"GTIN inconnu"))</f>
        <v/>
      </c>
      <c r="D1659" s="5">
        <f>IF(A1659="","",IFERROR(VLOOKUP(B1659,TblArticles,3,FALSE),""))</f>
        <v/>
      </c>
      <c r="E1659" s="6">
        <f>IFERROR(DATE(2000+VALUE(MID(A1659,FIND("15",A1659,FIND("01",A1659)+16)+2,2)),VALUE(MID(A1659,FIND("15",A1659,FIND("01",A1659)+16)+4,2)),VALUE(MID(A1659,FIND("15",A1659,FIND("01",A1659)+16)+6,2))),"")</f>
        <v/>
      </c>
      <c r="F1659" s="5">
        <f>IFERROR(MID(A1659,FIND("10",A1659,FIND("15",A1659,FIND("01",A1659)+16)+8)+2,50),"")</f>
        <v/>
      </c>
      <c r="G1659" s="5" t="n"/>
    </row>
    <row r="1660">
      <c r="A1660" s="7" t="n"/>
      <c r="B1660" s="8">
        <f>IFERROR(MID(A1660,FIND("01",A1660)+2,14),"")</f>
        <v/>
      </c>
      <c r="C1660" s="7">
        <f>IF(A1660="","",IFERROR(VLOOKUP(B1660,TblArticles,2,FALSE),"GTIN inconnu"))</f>
        <v/>
      </c>
      <c r="D1660" s="8">
        <f>IF(A1660="","",IFERROR(VLOOKUP(B1660,TblArticles,3,FALSE),""))</f>
        <v/>
      </c>
      <c r="E1660" s="9">
        <f>IFERROR(DATE(2000+VALUE(MID(A1660,FIND("15",A1660,FIND("01",A1660)+16)+2,2)),VALUE(MID(A1660,FIND("15",A1660,FIND("01",A1660)+16)+4,2)),VALUE(MID(A1660,FIND("15",A1660,FIND("01",A1660)+16)+6,2))),"")</f>
        <v/>
      </c>
      <c r="F1660" s="8">
        <f>IFERROR(MID(A1660,FIND("10",A1660,FIND("15",A1660,FIND("01",A1660)+16)+8)+2,50),"")</f>
        <v/>
      </c>
      <c r="G1660" s="8" t="n"/>
    </row>
    <row r="1661">
      <c r="A1661" s="4" t="n"/>
      <c r="B1661" s="5">
        <f>IFERROR(MID(A1661,FIND("01",A1661)+2,14),"")</f>
        <v/>
      </c>
      <c r="C1661" s="4">
        <f>IF(A1661="","",IFERROR(VLOOKUP(B1661,TblArticles,2,FALSE),"GTIN inconnu"))</f>
        <v/>
      </c>
      <c r="D1661" s="5">
        <f>IF(A1661="","",IFERROR(VLOOKUP(B1661,TblArticles,3,FALSE),""))</f>
        <v/>
      </c>
      <c r="E1661" s="6">
        <f>IFERROR(DATE(2000+VALUE(MID(A1661,FIND("15",A1661,FIND("01",A1661)+16)+2,2)),VALUE(MID(A1661,FIND("15",A1661,FIND("01",A1661)+16)+4,2)),VALUE(MID(A1661,FIND("15",A1661,FIND("01",A1661)+16)+6,2))),"")</f>
        <v/>
      </c>
      <c r="F1661" s="5">
        <f>IFERROR(MID(A1661,FIND("10",A1661,FIND("15",A1661,FIND("01",A1661)+16)+8)+2,50),"")</f>
        <v/>
      </c>
      <c r="G1661" s="5" t="n"/>
    </row>
    <row r="1662">
      <c r="A1662" s="7" t="n"/>
      <c r="B1662" s="8">
        <f>IFERROR(MID(A1662,FIND("01",A1662)+2,14),"")</f>
        <v/>
      </c>
      <c r="C1662" s="7">
        <f>IF(A1662="","",IFERROR(VLOOKUP(B1662,TblArticles,2,FALSE),"GTIN inconnu"))</f>
        <v/>
      </c>
      <c r="D1662" s="8">
        <f>IF(A1662="","",IFERROR(VLOOKUP(B1662,TblArticles,3,FALSE),""))</f>
        <v/>
      </c>
      <c r="E1662" s="9">
        <f>IFERROR(DATE(2000+VALUE(MID(A1662,FIND("15",A1662,FIND("01",A1662)+16)+2,2)),VALUE(MID(A1662,FIND("15",A1662,FIND("01",A1662)+16)+4,2)),VALUE(MID(A1662,FIND("15",A1662,FIND("01",A1662)+16)+6,2))),"")</f>
        <v/>
      </c>
      <c r="F1662" s="8">
        <f>IFERROR(MID(A1662,FIND("10",A1662,FIND("15",A1662,FIND("01",A1662)+16)+8)+2,50),"")</f>
        <v/>
      </c>
      <c r="G1662" s="8" t="n"/>
    </row>
    <row r="1663">
      <c r="A1663" s="4" t="n"/>
      <c r="B1663" s="5">
        <f>IFERROR(MID(A1663,FIND("01",A1663)+2,14),"")</f>
        <v/>
      </c>
      <c r="C1663" s="4">
        <f>IF(A1663="","",IFERROR(VLOOKUP(B1663,TblArticles,2,FALSE),"GTIN inconnu"))</f>
        <v/>
      </c>
      <c r="D1663" s="5">
        <f>IF(A1663="","",IFERROR(VLOOKUP(B1663,TblArticles,3,FALSE),""))</f>
        <v/>
      </c>
      <c r="E1663" s="6">
        <f>IFERROR(DATE(2000+VALUE(MID(A1663,FIND("15",A1663,FIND("01",A1663)+16)+2,2)),VALUE(MID(A1663,FIND("15",A1663,FIND("01",A1663)+16)+4,2)),VALUE(MID(A1663,FIND("15",A1663,FIND("01",A1663)+16)+6,2))),"")</f>
        <v/>
      </c>
      <c r="F1663" s="5">
        <f>IFERROR(MID(A1663,FIND("10",A1663,FIND("15",A1663,FIND("01",A1663)+16)+8)+2,50),"")</f>
        <v/>
      </c>
      <c r="G1663" s="5" t="n"/>
    </row>
    <row r="1664">
      <c r="A1664" s="7" t="n"/>
      <c r="B1664" s="8">
        <f>IFERROR(MID(A1664,FIND("01",A1664)+2,14),"")</f>
        <v/>
      </c>
      <c r="C1664" s="7">
        <f>IF(A1664="","",IFERROR(VLOOKUP(B1664,TblArticles,2,FALSE),"GTIN inconnu"))</f>
        <v/>
      </c>
      <c r="D1664" s="8">
        <f>IF(A1664="","",IFERROR(VLOOKUP(B1664,TblArticles,3,FALSE),""))</f>
        <v/>
      </c>
      <c r="E1664" s="9">
        <f>IFERROR(DATE(2000+VALUE(MID(A1664,FIND("15",A1664,FIND("01",A1664)+16)+2,2)),VALUE(MID(A1664,FIND("15",A1664,FIND("01",A1664)+16)+4,2)),VALUE(MID(A1664,FIND("15",A1664,FIND("01",A1664)+16)+6,2))),"")</f>
        <v/>
      </c>
      <c r="F1664" s="8">
        <f>IFERROR(MID(A1664,FIND("10",A1664,FIND("15",A1664,FIND("01",A1664)+16)+8)+2,50),"")</f>
        <v/>
      </c>
      <c r="G1664" s="8" t="n"/>
    </row>
    <row r="1665">
      <c r="A1665" s="4" t="n"/>
      <c r="B1665" s="5">
        <f>IFERROR(MID(A1665,FIND("01",A1665)+2,14),"")</f>
        <v/>
      </c>
      <c r="C1665" s="4">
        <f>IF(A1665="","",IFERROR(VLOOKUP(B1665,TblArticles,2,FALSE),"GTIN inconnu"))</f>
        <v/>
      </c>
      <c r="D1665" s="5">
        <f>IF(A1665="","",IFERROR(VLOOKUP(B1665,TblArticles,3,FALSE),""))</f>
        <v/>
      </c>
      <c r="E1665" s="6">
        <f>IFERROR(DATE(2000+VALUE(MID(A1665,FIND("15",A1665,FIND("01",A1665)+16)+2,2)),VALUE(MID(A1665,FIND("15",A1665,FIND("01",A1665)+16)+4,2)),VALUE(MID(A1665,FIND("15",A1665,FIND("01",A1665)+16)+6,2))),"")</f>
        <v/>
      </c>
      <c r="F1665" s="5">
        <f>IFERROR(MID(A1665,FIND("10",A1665,FIND("15",A1665,FIND("01",A1665)+16)+8)+2,50),"")</f>
        <v/>
      </c>
      <c r="G1665" s="5" t="n"/>
    </row>
    <row r="1666">
      <c r="A1666" s="7" t="n"/>
      <c r="B1666" s="8">
        <f>IFERROR(MID(A1666,FIND("01",A1666)+2,14),"")</f>
        <v/>
      </c>
      <c r="C1666" s="7">
        <f>IF(A1666="","",IFERROR(VLOOKUP(B1666,TblArticles,2,FALSE),"GTIN inconnu"))</f>
        <v/>
      </c>
      <c r="D1666" s="8">
        <f>IF(A1666="","",IFERROR(VLOOKUP(B1666,TblArticles,3,FALSE),""))</f>
        <v/>
      </c>
      <c r="E1666" s="9">
        <f>IFERROR(DATE(2000+VALUE(MID(A1666,FIND("15",A1666,FIND("01",A1666)+16)+2,2)),VALUE(MID(A1666,FIND("15",A1666,FIND("01",A1666)+16)+4,2)),VALUE(MID(A1666,FIND("15",A1666,FIND("01",A1666)+16)+6,2))),"")</f>
        <v/>
      </c>
      <c r="F1666" s="8">
        <f>IFERROR(MID(A1666,FIND("10",A1666,FIND("15",A1666,FIND("01",A1666)+16)+8)+2,50),"")</f>
        <v/>
      </c>
      <c r="G1666" s="8" t="n"/>
    </row>
    <row r="1667">
      <c r="A1667" s="4" t="n"/>
      <c r="B1667" s="5">
        <f>IFERROR(MID(A1667,FIND("01",A1667)+2,14),"")</f>
        <v/>
      </c>
      <c r="C1667" s="4">
        <f>IF(A1667="","",IFERROR(VLOOKUP(B1667,TblArticles,2,FALSE),"GTIN inconnu"))</f>
        <v/>
      </c>
      <c r="D1667" s="5">
        <f>IF(A1667="","",IFERROR(VLOOKUP(B1667,TblArticles,3,FALSE),""))</f>
        <v/>
      </c>
      <c r="E1667" s="6">
        <f>IFERROR(DATE(2000+VALUE(MID(A1667,FIND("15",A1667,FIND("01",A1667)+16)+2,2)),VALUE(MID(A1667,FIND("15",A1667,FIND("01",A1667)+16)+4,2)),VALUE(MID(A1667,FIND("15",A1667,FIND("01",A1667)+16)+6,2))),"")</f>
        <v/>
      </c>
      <c r="F1667" s="5">
        <f>IFERROR(MID(A1667,FIND("10",A1667,FIND("15",A1667,FIND("01",A1667)+16)+8)+2,50),"")</f>
        <v/>
      </c>
      <c r="G1667" s="5" t="n"/>
    </row>
    <row r="1668">
      <c r="A1668" s="7" t="n"/>
      <c r="B1668" s="8">
        <f>IFERROR(MID(A1668,FIND("01",A1668)+2,14),"")</f>
        <v/>
      </c>
      <c r="C1668" s="7">
        <f>IF(A1668="","",IFERROR(VLOOKUP(B1668,TblArticles,2,FALSE),"GTIN inconnu"))</f>
        <v/>
      </c>
      <c r="D1668" s="8">
        <f>IF(A1668="","",IFERROR(VLOOKUP(B1668,TblArticles,3,FALSE),""))</f>
        <v/>
      </c>
      <c r="E1668" s="9">
        <f>IFERROR(DATE(2000+VALUE(MID(A1668,FIND("15",A1668,FIND("01",A1668)+16)+2,2)),VALUE(MID(A1668,FIND("15",A1668,FIND("01",A1668)+16)+4,2)),VALUE(MID(A1668,FIND("15",A1668,FIND("01",A1668)+16)+6,2))),"")</f>
        <v/>
      </c>
      <c r="F1668" s="8">
        <f>IFERROR(MID(A1668,FIND("10",A1668,FIND("15",A1668,FIND("01",A1668)+16)+8)+2,50),"")</f>
        <v/>
      </c>
      <c r="G1668" s="8" t="n"/>
    </row>
    <row r="1669">
      <c r="A1669" s="4" t="n"/>
      <c r="B1669" s="5">
        <f>IFERROR(MID(A1669,FIND("01",A1669)+2,14),"")</f>
        <v/>
      </c>
      <c r="C1669" s="4">
        <f>IF(A1669="","",IFERROR(VLOOKUP(B1669,TblArticles,2,FALSE),"GTIN inconnu"))</f>
        <v/>
      </c>
      <c r="D1669" s="5">
        <f>IF(A1669="","",IFERROR(VLOOKUP(B1669,TblArticles,3,FALSE),""))</f>
        <v/>
      </c>
      <c r="E1669" s="6">
        <f>IFERROR(DATE(2000+VALUE(MID(A1669,FIND("15",A1669,FIND("01",A1669)+16)+2,2)),VALUE(MID(A1669,FIND("15",A1669,FIND("01",A1669)+16)+4,2)),VALUE(MID(A1669,FIND("15",A1669,FIND("01",A1669)+16)+6,2))),"")</f>
        <v/>
      </c>
      <c r="F1669" s="5">
        <f>IFERROR(MID(A1669,FIND("10",A1669,FIND("15",A1669,FIND("01",A1669)+16)+8)+2,50),"")</f>
        <v/>
      </c>
      <c r="G1669" s="5" t="n"/>
    </row>
    <row r="1670">
      <c r="A1670" s="7" t="n"/>
      <c r="B1670" s="8">
        <f>IFERROR(MID(A1670,FIND("01",A1670)+2,14),"")</f>
        <v/>
      </c>
      <c r="C1670" s="7">
        <f>IF(A1670="","",IFERROR(VLOOKUP(B1670,TblArticles,2,FALSE),"GTIN inconnu"))</f>
        <v/>
      </c>
      <c r="D1670" s="8">
        <f>IF(A1670="","",IFERROR(VLOOKUP(B1670,TblArticles,3,FALSE),""))</f>
        <v/>
      </c>
      <c r="E1670" s="9">
        <f>IFERROR(DATE(2000+VALUE(MID(A1670,FIND("15",A1670,FIND("01",A1670)+16)+2,2)),VALUE(MID(A1670,FIND("15",A1670,FIND("01",A1670)+16)+4,2)),VALUE(MID(A1670,FIND("15",A1670,FIND("01",A1670)+16)+6,2))),"")</f>
        <v/>
      </c>
      <c r="F1670" s="8">
        <f>IFERROR(MID(A1670,FIND("10",A1670,FIND("15",A1670,FIND("01",A1670)+16)+8)+2,50),"")</f>
        <v/>
      </c>
      <c r="G1670" s="8" t="n"/>
    </row>
    <row r="1671">
      <c r="A1671" s="4" t="n"/>
      <c r="B1671" s="5">
        <f>IFERROR(MID(A1671,FIND("01",A1671)+2,14),"")</f>
        <v/>
      </c>
      <c r="C1671" s="4">
        <f>IF(A1671="","",IFERROR(VLOOKUP(B1671,TblArticles,2,FALSE),"GTIN inconnu"))</f>
        <v/>
      </c>
      <c r="D1671" s="5">
        <f>IF(A1671="","",IFERROR(VLOOKUP(B1671,TblArticles,3,FALSE),""))</f>
        <v/>
      </c>
      <c r="E1671" s="6">
        <f>IFERROR(DATE(2000+VALUE(MID(A1671,FIND("15",A1671,FIND("01",A1671)+16)+2,2)),VALUE(MID(A1671,FIND("15",A1671,FIND("01",A1671)+16)+4,2)),VALUE(MID(A1671,FIND("15",A1671,FIND("01",A1671)+16)+6,2))),"")</f>
        <v/>
      </c>
      <c r="F1671" s="5">
        <f>IFERROR(MID(A1671,FIND("10",A1671,FIND("15",A1671,FIND("01",A1671)+16)+8)+2,50),"")</f>
        <v/>
      </c>
      <c r="G1671" s="5" t="n"/>
    </row>
    <row r="1672">
      <c r="A1672" s="7" t="n"/>
      <c r="B1672" s="8">
        <f>IFERROR(MID(A1672,FIND("01",A1672)+2,14),"")</f>
        <v/>
      </c>
      <c r="C1672" s="7">
        <f>IF(A1672="","",IFERROR(VLOOKUP(B1672,TblArticles,2,FALSE),"GTIN inconnu"))</f>
        <v/>
      </c>
      <c r="D1672" s="8">
        <f>IF(A1672="","",IFERROR(VLOOKUP(B1672,TblArticles,3,FALSE),""))</f>
        <v/>
      </c>
      <c r="E1672" s="9">
        <f>IFERROR(DATE(2000+VALUE(MID(A1672,FIND("15",A1672,FIND("01",A1672)+16)+2,2)),VALUE(MID(A1672,FIND("15",A1672,FIND("01",A1672)+16)+4,2)),VALUE(MID(A1672,FIND("15",A1672,FIND("01",A1672)+16)+6,2))),"")</f>
        <v/>
      </c>
      <c r="F1672" s="8">
        <f>IFERROR(MID(A1672,FIND("10",A1672,FIND("15",A1672,FIND("01",A1672)+16)+8)+2,50),"")</f>
        <v/>
      </c>
      <c r="G1672" s="8" t="n"/>
    </row>
    <row r="1673">
      <c r="A1673" s="4" t="n"/>
      <c r="B1673" s="5">
        <f>IFERROR(MID(A1673,FIND("01",A1673)+2,14),"")</f>
        <v/>
      </c>
      <c r="C1673" s="4">
        <f>IF(A1673="","",IFERROR(VLOOKUP(B1673,TblArticles,2,FALSE),"GTIN inconnu"))</f>
        <v/>
      </c>
      <c r="D1673" s="5">
        <f>IF(A1673="","",IFERROR(VLOOKUP(B1673,TblArticles,3,FALSE),""))</f>
        <v/>
      </c>
      <c r="E1673" s="6">
        <f>IFERROR(DATE(2000+VALUE(MID(A1673,FIND("15",A1673,FIND("01",A1673)+16)+2,2)),VALUE(MID(A1673,FIND("15",A1673,FIND("01",A1673)+16)+4,2)),VALUE(MID(A1673,FIND("15",A1673,FIND("01",A1673)+16)+6,2))),"")</f>
        <v/>
      </c>
      <c r="F1673" s="5">
        <f>IFERROR(MID(A1673,FIND("10",A1673,FIND("15",A1673,FIND("01",A1673)+16)+8)+2,50),"")</f>
        <v/>
      </c>
      <c r="G1673" s="5" t="n"/>
    </row>
    <row r="1674">
      <c r="A1674" s="7" t="n"/>
      <c r="B1674" s="8">
        <f>IFERROR(MID(A1674,FIND("01",A1674)+2,14),"")</f>
        <v/>
      </c>
      <c r="C1674" s="7">
        <f>IF(A1674="","",IFERROR(VLOOKUP(B1674,TblArticles,2,FALSE),"GTIN inconnu"))</f>
        <v/>
      </c>
      <c r="D1674" s="8">
        <f>IF(A1674="","",IFERROR(VLOOKUP(B1674,TblArticles,3,FALSE),""))</f>
        <v/>
      </c>
      <c r="E1674" s="9">
        <f>IFERROR(DATE(2000+VALUE(MID(A1674,FIND("15",A1674,FIND("01",A1674)+16)+2,2)),VALUE(MID(A1674,FIND("15",A1674,FIND("01",A1674)+16)+4,2)),VALUE(MID(A1674,FIND("15",A1674,FIND("01",A1674)+16)+6,2))),"")</f>
        <v/>
      </c>
      <c r="F1674" s="8">
        <f>IFERROR(MID(A1674,FIND("10",A1674,FIND("15",A1674,FIND("01",A1674)+16)+8)+2,50),"")</f>
        <v/>
      </c>
      <c r="G1674" s="8" t="n"/>
    </row>
    <row r="1675">
      <c r="A1675" s="4" t="n"/>
      <c r="B1675" s="5">
        <f>IFERROR(MID(A1675,FIND("01",A1675)+2,14),"")</f>
        <v/>
      </c>
      <c r="C1675" s="4">
        <f>IF(A1675="","",IFERROR(VLOOKUP(B1675,TblArticles,2,FALSE),"GTIN inconnu"))</f>
        <v/>
      </c>
      <c r="D1675" s="5">
        <f>IF(A1675="","",IFERROR(VLOOKUP(B1675,TblArticles,3,FALSE),""))</f>
        <v/>
      </c>
      <c r="E1675" s="6">
        <f>IFERROR(DATE(2000+VALUE(MID(A1675,FIND("15",A1675,FIND("01",A1675)+16)+2,2)),VALUE(MID(A1675,FIND("15",A1675,FIND("01",A1675)+16)+4,2)),VALUE(MID(A1675,FIND("15",A1675,FIND("01",A1675)+16)+6,2))),"")</f>
        <v/>
      </c>
      <c r="F1675" s="5">
        <f>IFERROR(MID(A1675,FIND("10",A1675,FIND("15",A1675,FIND("01",A1675)+16)+8)+2,50),"")</f>
        <v/>
      </c>
      <c r="G1675" s="5" t="n"/>
    </row>
    <row r="1676">
      <c r="A1676" s="7" t="n"/>
      <c r="B1676" s="8">
        <f>IFERROR(MID(A1676,FIND("01",A1676)+2,14),"")</f>
        <v/>
      </c>
      <c r="C1676" s="7">
        <f>IF(A1676="","",IFERROR(VLOOKUP(B1676,TblArticles,2,FALSE),"GTIN inconnu"))</f>
        <v/>
      </c>
      <c r="D1676" s="8">
        <f>IF(A1676="","",IFERROR(VLOOKUP(B1676,TblArticles,3,FALSE),""))</f>
        <v/>
      </c>
      <c r="E1676" s="9">
        <f>IFERROR(DATE(2000+VALUE(MID(A1676,FIND("15",A1676,FIND("01",A1676)+16)+2,2)),VALUE(MID(A1676,FIND("15",A1676,FIND("01",A1676)+16)+4,2)),VALUE(MID(A1676,FIND("15",A1676,FIND("01",A1676)+16)+6,2))),"")</f>
        <v/>
      </c>
      <c r="F1676" s="8">
        <f>IFERROR(MID(A1676,FIND("10",A1676,FIND("15",A1676,FIND("01",A1676)+16)+8)+2,50),"")</f>
        <v/>
      </c>
      <c r="G1676" s="8" t="n"/>
    </row>
    <row r="1677">
      <c r="A1677" s="4" t="n"/>
      <c r="B1677" s="5">
        <f>IFERROR(MID(A1677,FIND("01",A1677)+2,14),"")</f>
        <v/>
      </c>
      <c r="C1677" s="4">
        <f>IF(A1677="","",IFERROR(VLOOKUP(B1677,TblArticles,2,FALSE),"GTIN inconnu"))</f>
        <v/>
      </c>
      <c r="D1677" s="5">
        <f>IF(A1677="","",IFERROR(VLOOKUP(B1677,TblArticles,3,FALSE),""))</f>
        <v/>
      </c>
      <c r="E1677" s="6">
        <f>IFERROR(DATE(2000+VALUE(MID(A1677,FIND("15",A1677,FIND("01",A1677)+16)+2,2)),VALUE(MID(A1677,FIND("15",A1677,FIND("01",A1677)+16)+4,2)),VALUE(MID(A1677,FIND("15",A1677,FIND("01",A1677)+16)+6,2))),"")</f>
        <v/>
      </c>
      <c r="F1677" s="5">
        <f>IFERROR(MID(A1677,FIND("10",A1677,FIND("15",A1677,FIND("01",A1677)+16)+8)+2,50),"")</f>
        <v/>
      </c>
      <c r="G1677" s="5" t="n"/>
    </row>
    <row r="1678">
      <c r="A1678" s="7" t="n"/>
      <c r="B1678" s="8">
        <f>IFERROR(MID(A1678,FIND("01",A1678)+2,14),"")</f>
        <v/>
      </c>
      <c r="C1678" s="7">
        <f>IF(A1678="","",IFERROR(VLOOKUP(B1678,TblArticles,2,FALSE),"GTIN inconnu"))</f>
        <v/>
      </c>
      <c r="D1678" s="8">
        <f>IF(A1678="","",IFERROR(VLOOKUP(B1678,TblArticles,3,FALSE),""))</f>
        <v/>
      </c>
      <c r="E1678" s="9">
        <f>IFERROR(DATE(2000+VALUE(MID(A1678,FIND("15",A1678,FIND("01",A1678)+16)+2,2)),VALUE(MID(A1678,FIND("15",A1678,FIND("01",A1678)+16)+4,2)),VALUE(MID(A1678,FIND("15",A1678,FIND("01",A1678)+16)+6,2))),"")</f>
        <v/>
      </c>
      <c r="F1678" s="8">
        <f>IFERROR(MID(A1678,FIND("10",A1678,FIND("15",A1678,FIND("01",A1678)+16)+8)+2,50),"")</f>
        <v/>
      </c>
      <c r="G1678" s="8" t="n"/>
    </row>
    <row r="1679">
      <c r="A1679" s="4" t="n"/>
      <c r="B1679" s="5">
        <f>IFERROR(MID(A1679,FIND("01",A1679)+2,14),"")</f>
        <v/>
      </c>
      <c r="C1679" s="4">
        <f>IF(A1679="","",IFERROR(VLOOKUP(B1679,TblArticles,2,FALSE),"GTIN inconnu"))</f>
        <v/>
      </c>
      <c r="D1679" s="5">
        <f>IF(A1679="","",IFERROR(VLOOKUP(B1679,TblArticles,3,FALSE),""))</f>
        <v/>
      </c>
      <c r="E1679" s="6">
        <f>IFERROR(DATE(2000+VALUE(MID(A1679,FIND("15",A1679,FIND("01",A1679)+16)+2,2)),VALUE(MID(A1679,FIND("15",A1679,FIND("01",A1679)+16)+4,2)),VALUE(MID(A1679,FIND("15",A1679,FIND("01",A1679)+16)+6,2))),"")</f>
        <v/>
      </c>
      <c r="F1679" s="5">
        <f>IFERROR(MID(A1679,FIND("10",A1679,FIND("15",A1679,FIND("01",A1679)+16)+8)+2,50),"")</f>
        <v/>
      </c>
      <c r="G1679" s="5" t="n"/>
    </row>
    <row r="1680">
      <c r="A1680" s="7" t="n"/>
      <c r="B1680" s="8">
        <f>IFERROR(MID(A1680,FIND("01",A1680)+2,14),"")</f>
        <v/>
      </c>
      <c r="C1680" s="7">
        <f>IF(A1680="","",IFERROR(VLOOKUP(B1680,TblArticles,2,FALSE),"GTIN inconnu"))</f>
        <v/>
      </c>
      <c r="D1680" s="8">
        <f>IF(A1680="","",IFERROR(VLOOKUP(B1680,TblArticles,3,FALSE),""))</f>
        <v/>
      </c>
      <c r="E1680" s="9">
        <f>IFERROR(DATE(2000+VALUE(MID(A1680,FIND("15",A1680,FIND("01",A1680)+16)+2,2)),VALUE(MID(A1680,FIND("15",A1680,FIND("01",A1680)+16)+4,2)),VALUE(MID(A1680,FIND("15",A1680,FIND("01",A1680)+16)+6,2))),"")</f>
        <v/>
      </c>
      <c r="F1680" s="8">
        <f>IFERROR(MID(A1680,FIND("10",A1680,FIND("15",A1680,FIND("01",A1680)+16)+8)+2,50),"")</f>
        <v/>
      </c>
      <c r="G1680" s="8" t="n"/>
    </row>
    <row r="1681">
      <c r="A1681" s="4" t="n"/>
      <c r="B1681" s="5">
        <f>IFERROR(MID(A1681,FIND("01",A1681)+2,14),"")</f>
        <v/>
      </c>
      <c r="C1681" s="4">
        <f>IF(A1681="","",IFERROR(VLOOKUP(B1681,TblArticles,2,FALSE),"GTIN inconnu"))</f>
        <v/>
      </c>
      <c r="D1681" s="5">
        <f>IF(A1681="","",IFERROR(VLOOKUP(B1681,TblArticles,3,FALSE),""))</f>
        <v/>
      </c>
      <c r="E1681" s="6">
        <f>IFERROR(DATE(2000+VALUE(MID(A1681,FIND("15",A1681,FIND("01",A1681)+16)+2,2)),VALUE(MID(A1681,FIND("15",A1681,FIND("01",A1681)+16)+4,2)),VALUE(MID(A1681,FIND("15",A1681,FIND("01",A1681)+16)+6,2))),"")</f>
        <v/>
      </c>
      <c r="F1681" s="5">
        <f>IFERROR(MID(A1681,FIND("10",A1681,FIND("15",A1681,FIND("01",A1681)+16)+8)+2,50),"")</f>
        <v/>
      </c>
      <c r="G1681" s="5" t="n"/>
    </row>
    <row r="1682">
      <c r="A1682" s="7" t="n"/>
      <c r="B1682" s="8">
        <f>IFERROR(MID(A1682,FIND("01",A1682)+2,14),"")</f>
        <v/>
      </c>
      <c r="C1682" s="7">
        <f>IF(A1682="","",IFERROR(VLOOKUP(B1682,TblArticles,2,FALSE),"GTIN inconnu"))</f>
        <v/>
      </c>
      <c r="D1682" s="8">
        <f>IF(A1682="","",IFERROR(VLOOKUP(B1682,TblArticles,3,FALSE),""))</f>
        <v/>
      </c>
      <c r="E1682" s="9">
        <f>IFERROR(DATE(2000+VALUE(MID(A1682,FIND("15",A1682,FIND("01",A1682)+16)+2,2)),VALUE(MID(A1682,FIND("15",A1682,FIND("01",A1682)+16)+4,2)),VALUE(MID(A1682,FIND("15",A1682,FIND("01",A1682)+16)+6,2))),"")</f>
        <v/>
      </c>
      <c r="F1682" s="8">
        <f>IFERROR(MID(A1682,FIND("10",A1682,FIND("15",A1682,FIND("01",A1682)+16)+8)+2,50),"")</f>
        <v/>
      </c>
      <c r="G1682" s="8" t="n"/>
    </row>
    <row r="1683">
      <c r="A1683" s="4" t="n"/>
      <c r="B1683" s="5">
        <f>IFERROR(MID(A1683,FIND("01",A1683)+2,14),"")</f>
        <v/>
      </c>
      <c r="C1683" s="4">
        <f>IF(A1683="","",IFERROR(VLOOKUP(B1683,TblArticles,2,FALSE),"GTIN inconnu"))</f>
        <v/>
      </c>
      <c r="D1683" s="5">
        <f>IF(A1683="","",IFERROR(VLOOKUP(B1683,TblArticles,3,FALSE),""))</f>
        <v/>
      </c>
      <c r="E1683" s="6">
        <f>IFERROR(DATE(2000+VALUE(MID(A1683,FIND("15",A1683,FIND("01",A1683)+16)+2,2)),VALUE(MID(A1683,FIND("15",A1683,FIND("01",A1683)+16)+4,2)),VALUE(MID(A1683,FIND("15",A1683,FIND("01",A1683)+16)+6,2))),"")</f>
        <v/>
      </c>
      <c r="F1683" s="5">
        <f>IFERROR(MID(A1683,FIND("10",A1683,FIND("15",A1683,FIND("01",A1683)+16)+8)+2,50),"")</f>
        <v/>
      </c>
      <c r="G1683" s="5" t="n"/>
    </row>
    <row r="1684">
      <c r="A1684" s="7" t="n"/>
      <c r="B1684" s="8">
        <f>IFERROR(MID(A1684,FIND("01",A1684)+2,14),"")</f>
        <v/>
      </c>
      <c r="C1684" s="7">
        <f>IF(A1684="","",IFERROR(VLOOKUP(B1684,TblArticles,2,FALSE),"GTIN inconnu"))</f>
        <v/>
      </c>
      <c r="D1684" s="8">
        <f>IF(A1684="","",IFERROR(VLOOKUP(B1684,TblArticles,3,FALSE),""))</f>
        <v/>
      </c>
      <c r="E1684" s="9">
        <f>IFERROR(DATE(2000+VALUE(MID(A1684,FIND("15",A1684,FIND("01",A1684)+16)+2,2)),VALUE(MID(A1684,FIND("15",A1684,FIND("01",A1684)+16)+4,2)),VALUE(MID(A1684,FIND("15",A1684,FIND("01",A1684)+16)+6,2))),"")</f>
        <v/>
      </c>
      <c r="F1684" s="8">
        <f>IFERROR(MID(A1684,FIND("10",A1684,FIND("15",A1684,FIND("01",A1684)+16)+8)+2,50),"")</f>
        <v/>
      </c>
      <c r="G1684" s="8" t="n"/>
    </row>
    <row r="1685">
      <c r="A1685" s="4" t="n"/>
      <c r="B1685" s="5">
        <f>IFERROR(MID(A1685,FIND("01",A1685)+2,14),"")</f>
        <v/>
      </c>
      <c r="C1685" s="4">
        <f>IF(A1685="","",IFERROR(VLOOKUP(B1685,TblArticles,2,FALSE),"GTIN inconnu"))</f>
        <v/>
      </c>
      <c r="D1685" s="5">
        <f>IF(A1685="","",IFERROR(VLOOKUP(B1685,TblArticles,3,FALSE),""))</f>
        <v/>
      </c>
      <c r="E1685" s="6">
        <f>IFERROR(DATE(2000+VALUE(MID(A1685,FIND("15",A1685,FIND("01",A1685)+16)+2,2)),VALUE(MID(A1685,FIND("15",A1685,FIND("01",A1685)+16)+4,2)),VALUE(MID(A1685,FIND("15",A1685,FIND("01",A1685)+16)+6,2))),"")</f>
        <v/>
      </c>
      <c r="F1685" s="5">
        <f>IFERROR(MID(A1685,FIND("10",A1685,FIND("15",A1685,FIND("01",A1685)+16)+8)+2,50),"")</f>
        <v/>
      </c>
      <c r="G1685" s="5" t="n"/>
    </row>
    <row r="1686">
      <c r="A1686" s="7" t="n"/>
      <c r="B1686" s="8">
        <f>IFERROR(MID(A1686,FIND("01",A1686)+2,14),"")</f>
        <v/>
      </c>
      <c r="C1686" s="7">
        <f>IF(A1686="","",IFERROR(VLOOKUP(B1686,TblArticles,2,FALSE),"GTIN inconnu"))</f>
        <v/>
      </c>
      <c r="D1686" s="8">
        <f>IF(A1686="","",IFERROR(VLOOKUP(B1686,TblArticles,3,FALSE),""))</f>
        <v/>
      </c>
      <c r="E1686" s="9">
        <f>IFERROR(DATE(2000+VALUE(MID(A1686,FIND("15",A1686,FIND("01",A1686)+16)+2,2)),VALUE(MID(A1686,FIND("15",A1686,FIND("01",A1686)+16)+4,2)),VALUE(MID(A1686,FIND("15",A1686,FIND("01",A1686)+16)+6,2))),"")</f>
        <v/>
      </c>
      <c r="F1686" s="8">
        <f>IFERROR(MID(A1686,FIND("10",A1686,FIND("15",A1686,FIND("01",A1686)+16)+8)+2,50),"")</f>
        <v/>
      </c>
      <c r="G1686" s="8" t="n"/>
    </row>
    <row r="1687">
      <c r="A1687" s="4" t="n"/>
      <c r="B1687" s="5">
        <f>IFERROR(MID(A1687,FIND("01",A1687)+2,14),"")</f>
        <v/>
      </c>
      <c r="C1687" s="4">
        <f>IF(A1687="","",IFERROR(VLOOKUP(B1687,TblArticles,2,FALSE),"GTIN inconnu"))</f>
        <v/>
      </c>
      <c r="D1687" s="5">
        <f>IF(A1687="","",IFERROR(VLOOKUP(B1687,TblArticles,3,FALSE),""))</f>
        <v/>
      </c>
      <c r="E1687" s="6">
        <f>IFERROR(DATE(2000+VALUE(MID(A1687,FIND("15",A1687,FIND("01",A1687)+16)+2,2)),VALUE(MID(A1687,FIND("15",A1687,FIND("01",A1687)+16)+4,2)),VALUE(MID(A1687,FIND("15",A1687,FIND("01",A1687)+16)+6,2))),"")</f>
        <v/>
      </c>
      <c r="F1687" s="5">
        <f>IFERROR(MID(A1687,FIND("10",A1687,FIND("15",A1687,FIND("01",A1687)+16)+8)+2,50),"")</f>
        <v/>
      </c>
      <c r="G1687" s="5" t="n"/>
    </row>
    <row r="1688">
      <c r="A1688" s="7" t="n"/>
      <c r="B1688" s="8">
        <f>IFERROR(MID(A1688,FIND("01",A1688)+2,14),"")</f>
        <v/>
      </c>
      <c r="C1688" s="7">
        <f>IF(A1688="","",IFERROR(VLOOKUP(B1688,TblArticles,2,FALSE),"GTIN inconnu"))</f>
        <v/>
      </c>
      <c r="D1688" s="8">
        <f>IF(A1688="","",IFERROR(VLOOKUP(B1688,TblArticles,3,FALSE),""))</f>
        <v/>
      </c>
      <c r="E1688" s="9">
        <f>IFERROR(DATE(2000+VALUE(MID(A1688,FIND("15",A1688,FIND("01",A1688)+16)+2,2)),VALUE(MID(A1688,FIND("15",A1688,FIND("01",A1688)+16)+4,2)),VALUE(MID(A1688,FIND("15",A1688,FIND("01",A1688)+16)+6,2))),"")</f>
        <v/>
      </c>
      <c r="F1688" s="8">
        <f>IFERROR(MID(A1688,FIND("10",A1688,FIND("15",A1688,FIND("01",A1688)+16)+8)+2,50),"")</f>
        <v/>
      </c>
      <c r="G1688" s="8" t="n"/>
    </row>
    <row r="1689">
      <c r="A1689" s="4" t="n"/>
      <c r="B1689" s="5">
        <f>IFERROR(MID(A1689,FIND("01",A1689)+2,14),"")</f>
        <v/>
      </c>
      <c r="C1689" s="4">
        <f>IF(A1689="","",IFERROR(VLOOKUP(B1689,TblArticles,2,FALSE),"GTIN inconnu"))</f>
        <v/>
      </c>
      <c r="D1689" s="5">
        <f>IF(A1689="","",IFERROR(VLOOKUP(B1689,TblArticles,3,FALSE),""))</f>
        <v/>
      </c>
      <c r="E1689" s="6">
        <f>IFERROR(DATE(2000+VALUE(MID(A1689,FIND("15",A1689,FIND("01",A1689)+16)+2,2)),VALUE(MID(A1689,FIND("15",A1689,FIND("01",A1689)+16)+4,2)),VALUE(MID(A1689,FIND("15",A1689,FIND("01",A1689)+16)+6,2))),"")</f>
        <v/>
      </c>
      <c r="F1689" s="5">
        <f>IFERROR(MID(A1689,FIND("10",A1689,FIND("15",A1689,FIND("01",A1689)+16)+8)+2,50),"")</f>
        <v/>
      </c>
      <c r="G1689" s="5" t="n"/>
    </row>
    <row r="1690">
      <c r="A1690" s="7" t="n"/>
      <c r="B1690" s="8">
        <f>IFERROR(MID(A1690,FIND("01",A1690)+2,14),"")</f>
        <v/>
      </c>
      <c r="C1690" s="7">
        <f>IF(A1690="","",IFERROR(VLOOKUP(B1690,TblArticles,2,FALSE),"GTIN inconnu"))</f>
        <v/>
      </c>
      <c r="D1690" s="8">
        <f>IF(A1690="","",IFERROR(VLOOKUP(B1690,TblArticles,3,FALSE),""))</f>
        <v/>
      </c>
      <c r="E1690" s="9">
        <f>IFERROR(DATE(2000+VALUE(MID(A1690,FIND("15",A1690,FIND("01",A1690)+16)+2,2)),VALUE(MID(A1690,FIND("15",A1690,FIND("01",A1690)+16)+4,2)),VALUE(MID(A1690,FIND("15",A1690,FIND("01",A1690)+16)+6,2))),"")</f>
        <v/>
      </c>
      <c r="F1690" s="8">
        <f>IFERROR(MID(A1690,FIND("10",A1690,FIND("15",A1690,FIND("01",A1690)+16)+8)+2,50),"")</f>
        <v/>
      </c>
      <c r="G1690" s="8" t="n"/>
    </row>
    <row r="1691">
      <c r="A1691" s="4" t="n"/>
      <c r="B1691" s="5">
        <f>IFERROR(MID(A1691,FIND("01",A1691)+2,14),"")</f>
        <v/>
      </c>
      <c r="C1691" s="4">
        <f>IF(A1691="","",IFERROR(VLOOKUP(B1691,TblArticles,2,FALSE),"GTIN inconnu"))</f>
        <v/>
      </c>
      <c r="D1691" s="5">
        <f>IF(A1691="","",IFERROR(VLOOKUP(B1691,TblArticles,3,FALSE),""))</f>
        <v/>
      </c>
      <c r="E1691" s="6">
        <f>IFERROR(DATE(2000+VALUE(MID(A1691,FIND("15",A1691,FIND("01",A1691)+16)+2,2)),VALUE(MID(A1691,FIND("15",A1691,FIND("01",A1691)+16)+4,2)),VALUE(MID(A1691,FIND("15",A1691,FIND("01",A1691)+16)+6,2))),"")</f>
        <v/>
      </c>
      <c r="F1691" s="5">
        <f>IFERROR(MID(A1691,FIND("10",A1691,FIND("15",A1691,FIND("01",A1691)+16)+8)+2,50),"")</f>
        <v/>
      </c>
      <c r="G1691" s="5" t="n"/>
    </row>
    <row r="1692">
      <c r="A1692" s="7" t="n"/>
      <c r="B1692" s="8">
        <f>IFERROR(MID(A1692,FIND("01",A1692)+2,14),"")</f>
        <v/>
      </c>
      <c r="C1692" s="7">
        <f>IF(A1692="","",IFERROR(VLOOKUP(B1692,TblArticles,2,FALSE),"GTIN inconnu"))</f>
        <v/>
      </c>
      <c r="D1692" s="8">
        <f>IF(A1692="","",IFERROR(VLOOKUP(B1692,TblArticles,3,FALSE),""))</f>
        <v/>
      </c>
      <c r="E1692" s="9">
        <f>IFERROR(DATE(2000+VALUE(MID(A1692,FIND("15",A1692,FIND("01",A1692)+16)+2,2)),VALUE(MID(A1692,FIND("15",A1692,FIND("01",A1692)+16)+4,2)),VALUE(MID(A1692,FIND("15",A1692,FIND("01",A1692)+16)+6,2))),"")</f>
        <v/>
      </c>
      <c r="F1692" s="8">
        <f>IFERROR(MID(A1692,FIND("10",A1692,FIND("15",A1692,FIND("01",A1692)+16)+8)+2,50),"")</f>
        <v/>
      </c>
      <c r="G1692" s="8" t="n"/>
    </row>
    <row r="1693">
      <c r="A1693" s="4" t="n"/>
      <c r="B1693" s="5">
        <f>IFERROR(MID(A1693,FIND("01",A1693)+2,14),"")</f>
        <v/>
      </c>
      <c r="C1693" s="4">
        <f>IF(A1693="","",IFERROR(VLOOKUP(B1693,TblArticles,2,FALSE),"GTIN inconnu"))</f>
        <v/>
      </c>
      <c r="D1693" s="5">
        <f>IF(A1693="","",IFERROR(VLOOKUP(B1693,TblArticles,3,FALSE),""))</f>
        <v/>
      </c>
      <c r="E1693" s="6">
        <f>IFERROR(DATE(2000+VALUE(MID(A1693,FIND("15",A1693,FIND("01",A1693)+16)+2,2)),VALUE(MID(A1693,FIND("15",A1693,FIND("01",A1693)+16)+4,2)),VALUE(MID(A1693,FIND("15",A1693,FIND("01",A1693)+16)+6,2))),"")</f>
        <v/>
      </c>
      <c r="F1693" s="5">
        <f>IFERROR(MID(A1693,FIND("10",A1693,FIND("15",A1693,FIND("01",A1693)+16)+8)+2,50),"")</f>
        <v/>
      </c>
      <c r="G1693" s="5" t="n"/>
    </row>
    <row r="1694">
      <c r="A1694" s="7" t="n"/>
      <c r="B1694" s="8">
        <f>IFERROR(MID(A1694,FIND("01",A1694)+2,14),"")</f>
        <v/>
      </c>
      <c r="C1694" s="7">
        <f>IF(A1694="","",IFERROR(VLOOKUP(B1694,TblArticles,2,FALSE),"GTIN inconnu"))</f>
        <v/>
      </c>
      <c r="D1694" s="8">
        <f>IF(A1694="","",IFERROR(VLOOKUP(B1694,TblArticles,3,FALSE),""))</f>
        <v/>
      </c>
      <c r="E1694" s="9">
        <f>IFERROR(DATE(2000+VALUE(MID(A1694,FIND("15",A1694,FIND("01",A1694)+16)+2,2)),VALUE(MID(A1694,FIND("15",A1694,FIND("01",A1694)+16)+4,2)),VALUE(MID(A1694,FIND("15",A1694,FIND("01",A1694)+16)+6,2))),"")</f>
        <v/>
      </c>
      <c r="F1694" s="8">
        <f>IFERROR(MID(A1694,FIND("10",A1694,FIND("15",A1694,FIND("01",A1694)+16)+8)+2,50),"")</f>
        <v/>
      </c>
      <c r="G1694" s="8" t="n"/>
    </row>
    <row r="1695">
      <c r="A1695" s="4" t="n"/>
      <c r="B1695" s="5">
        <f>IFERROR(MID(A1695,FIND("01",A1695)+2,14),"")</f>
        <v/>
      </c>
      <c r="C1695" s="4">
        <f>IF(A1695="","",IFERROR(VLOOKUP(B1695,TblArticles,2,FALSE),"GTIN inconnu"))</f>
        <v/>
      </c>
      <c r="D1695" s="5">
        <f>IF(A1695="","",IFERROR(VLOOKUP(B1695,TblArticles,3,FALSE),""))</f>
        <v/>
      </c>
      <c r="E1695" s="6">
        <f>IFERROR(DATE(2000+VALUE(MID(A1695,FIND("15",A1695,FIND("01",A1695)+16)+2,2)),VALUE(MID(A1695,FIND("15",A1695,FIND("01",A1695)+16)+4,2)),VALUE(MID(A1695,FIND("15",A1695,FIND("01",A1695)+16)+6,2))),"")</f>
        <v/>
      </c>
      <c r="F1695" s="5">
        <f>IFERROR(MID(A1695,FIND("10",A1695,FIND("15",A1695,FIND("01",A1695)+16)+8)+2,50),"")</f>
        <v/>
      </c>
      <c r="G1695" s="5" t="n"/>
    </row>
    <row r="1696">
      <c r="A1696" s="7" t="n"/>
      <c r="B1696" s="8">
        <f>IFERROR(MID(A1696,FIND("01",A1696)+2,14),"")</f>
        <v/>
      </c>
      <c r="C1696" s="7">
        <f>IF(A1696="","",IFERROR(VLOOKUP(B1696,TblArticles,2,FALSE),"GTIN inconnu"))</f>
        <v/>
      </c>
      <c r="D1696" s="8">
        <f>IF(A1696="","",IFERROR(VLOOKUP(B1696,TblArticles,3,FALSE),""))</f>
        <v/>
      </c>
      <c r="E1696" s="9">
        <f>IFERROR(DATE(2000+VALUE(MID(A1696,FIND("15",A1696,FIND("01",A1696)+16)+2,2)),VALUE(MID(A1696,FIND("15",A1696,FIND("01",A1696)+16)+4,2)),VALUE(MID(A1696,FIND("15",A1696,FIND("01",A1696)+16)+6,2))),"")</f>
        <v/>
      </c>
      <c r="F1696" s="8">
        <f>IFERROR(MID(A1696,FIND("10",A1696,FIND("15",A1696,FIND("01",A1696)+16)+8)+2,50),"")</f>
        <v/>
      </c>
      <c r="G1696" s="8" t="n"/>
    </row>
    <row r="1697">
      <c r="A1697" s="4" t="n"/>
      <c r="B1697" s="5">
        <f>IFERROR(MID(A1697,FIND("01",A1697)+2,14),"")</f>
        <v/>
      </c>
      <c r="C1697" s="4">
        <f>IF(A1697="","",IFERROR(VLOOKUP(B1697,TblArticles,2,FALSE),"GTIN inconnu"))</f>
        <v/>
      </c>
      <c r="D1697" s="5">
        <f>IF(A1697="","",IFERROR(VLOOKUP(B1697,TblArticles,3,FALSE),""))</f>
        <v/>
      </c>
      <c r="E1697" s="6">
        <f>IFERROR(DATE(2000+VALUE(MID(A1697,FIND("15",A1697,FIND("01",A1697)+16)+2,2)),VALUE(MID(A1697,FIND("15",A1697,FIND("01",A1697)+16)+4,2)),VALUE(MID(A1697,FIND("15",A1697,FIND("01",A1697)+16)+6,2))),"")</f>
        <v/>
      </c>
      <c r="F1697" s="5">
        <f>IFERROR(MID(A1697,FIND("10",A1697,FIND("15",A1697,FIND("01",A1697)+16)+8)+2,50),"")</f>
        <v/>
      </c>
      <c r="G1697" s="5" t="n"/>
    </row>
    <row r="1698">
      <c r="A1698" s="7" t="n"/>
      <c r="B1698" s="8">
        <f>IFERROR(MID(A1698,FIND("01",A1698)+2,14),"")</f>
        <v/>
      </c>
      <c r="C1698" s="7">
        <f>IF(A1698="","",IFERROR(VLOOKUP(B1698,TblArticles,2,FALSE),"GTIN inconnu"))</f>
        <v/>
      </c>
      <c r="D1698" s="8">
        <f>IF(A1698="","",IFERROR(VLOOKUP(B1698,TblArticles,3,FALSE),""))</f>
        <v/>
      </c>
      <c r="E1698" s="9">
        <f>IFERROR(DATE(2000+VALUE(MID(A1698,FIND("15",A1698,FIND("01",A1698)+16)+2,2)),VALUE(MID(A1698,FIND("15",A1698,FIND("01",A1698)+16)+4,2)),VALUE(MID(A1698,FIND("15",A1698,FIND("01",A1698)+16)+6,2))),"")</f>
        <v/>
      </c>
      <c r="F1698" s="8">
        <f>IFERROR(MID(A1698,FIND("10",A1698,FIND("15",A1698,FIND("01",A1698)+16)+8)+2,50),"")</f>
        <v/>
      </c>
      <c r="G1698" s="8" t="n"/>
    </row>
    <row r="1699">
      <c r="A1699" s="4" t="n"/>
      <c r="B1699" s="5">
        <f>IFERROR(MID(A1699,FIND("01",A1699)+2,14),"")</f>
        <v/>
      </c>
      <c r="C1699" s="4">
        <f>IF(A1699="","",IFERROR(VLOOKUP(B1699,TblArticles,2,FALSE),"GTIN inconnu"))</f>
        <v/>
      </c>
      <c r="D1699" s="5">
        <f>IF(A1699="","",IFERROR(VLOOKUP(B1699,TblArticles,3,FALSE),""))</f>
        <v/>
      </c>
      <c r="E1699" s="6">
        <f>IFERROR(DATE(2000+VALUE(MID(A1699,FIND("15",A1699,FIND("01",A1699)+16)+2,2)),VALUE(MID(A1699,FIND("15",A1699,FIND("01",A1699)+16)+4,2)),VALUE(MID(A1699,FIND("15",A1699,FIND("01",A1699)+16)+6,2))),"")</f>
        <v/>
      </c>
      <c r="F1699" s="5">
        <f>IFERROR(MID(A1699,FIND("10",A1699,FIND("15",A1699,FIND("01",A1699)+16)+8)+2,50),"")</f>
        <v/>
      </c>
      <c r="G1699" s="5" t="n"/>
    </row>
    <row r="1700">
      <c r="A1700" s="7" t="n"/>
      <c r="B1700" s="8">
        <f>IFERROR(MID(A1700,FIND("01",A1700)+2,14),"")</f>
        <v/>
      </c>
      <c r="C1700" s="7">
        <f>IF(A1700="","",IFERROR(VLOOKUP(B1700,TblArticles,2,FALSE),"GTIN inconnu"))</f>
        <v/>
      </c>
      <c r="D1700" s="8">
        <f>IF(A1700="","",IFERROR(VLOOKUP(B1700,TblArticles,3,FALSE),""))</f>
        <v/>
      </c>
      <c r="E1700" s="9">
        <f>IFERROR(DATE(2000+VALUE(MID(A1700,FIND("15",A1700,FIND("01",A1700)+16)+2,2)),VALUE(MID(A1700,FIND("15",A1700,FIND("01",A1700)+16)+4,2)),VALUE(MID(A1700,FIND("15",A1700,FIND("01",A1700)+16)+6,2))),"")</f>
        <v/>
      </c>
      <c r="F1700" s="8">
        <f>IFERROR(MID(A1700,FIND("10",A1700,FIND("15",A1700,FIND("01",A1700)+16)+8)+2,50),"")</f>
        <v/>
      </c>
      <c r="G1700" s="8" t="n"/>
    </row>
    <row r="1701">
      <c r="A1701" s="4" t="n"/>
      <c r="B1701" s="5">
        <f>IFERROR(MID(A1701,FIND("01",A1701)+2,14),"")</f>
        <v/>
      </c>
      <c r="C1701" s="4">
        <f>IF(A1701="","",IFERROR(VLOOKUP(B1701,TblArticles,2,FALSE),"GTIN inconnu"))</f>
        <v/>
      </c>
      <c r="D1701" s="5">
        <f>IF(A1701="","",IFERROR(VLOOKUP(B1701,TblArticles,3,FALSE),""))</f>
        <v/>
      </c>
      <c r="E1701" s="6">
        <f>IFERROR(DATE(2000+VALUE(MID(A1701,FIND("15",A1701,FIND("01",A1701)+16)+2,2)),VALUE(MID(A1701,FIND("15",A1701,FIND("01",A1701)+16)+4,2)),VALUE(MID(A1701,FIND("15",A1701,FIND("01",A1701)+16)+6,2))),"")</f>
        <v/>
      </c>
      <c r="F1701" s="5">
        <f>IFERROR(MID(A1701,FIND("10",A1701,FIND("15",A1701,FIND("01",A1701)+16)+8)+2,50),"")</f>
        <v/>
      </c>
      <c r="G1701" s="5" t="n"/>
    </row>
    <row r="1702">
      <c r="A1702" s="7" t="n"/>
      <c r="B1702" s="8">
        <f>IFERROR(MID(A1702,FIND("01",A1702)+2,14),"")</f>
        <v/>
      </c>
      <c r="C1702" s="7">
        <f>IF(A1702="","",IFERROR(VLOOKUP(B1702,TblArticles,2,FALSE),"GTIN inconnu"))</f>
        <v/>
      </c>
      <c r="D1702" s="8">
        <f>IF(A1702="","",IFERROR(VLOOKUP(B1702,TblArticles,3,FALSE),""))</f>
        <v/>
      </c>
      <c r="E1702" s="9">
        <f>IFERROR(DATE(2000+VALUE(MID(A1702,FIND("15",A1702,FIND("01",A1702)+16)+2,2)),VALUE(MID(A1702,FIND("15",A1702,FIND("01",A1702)+16)+4,2)),VALUE(MID(A1702,FIND("15",A1702,FIND("01",A1702)+16)+6,2))),"")</f>
        <v/>
      </c>
      <c r="F1702" s="8">
        <f>IFERROR(MID(A1702,FIND("10",A1702,FIND("15",A1702,FIND("01",A1702)+16)+8)+2,50),"")</f>
        <v/>
      </c>
      <c r="G1702" s="8" t="n"/>
    </row>
    <row r="1703">
      <c r="A1703" s="4" t="n"/>
      <c r="B1703" s="5">
        <f>IFERROR(MID(A1703,FIND("01",A1703)+2,14),"")</f>
        <v/>
      </c>
      <c r="C1703" s="4">
        <f>IF(A1703="","",IFERROR(VLOOKUP(B1703,TblArticles,2,FALSE),"GTIN inconnu"))</f>
        <v/>
      </c>
      <c r="D1703" s="5">
        <f>IF(A1703="","",IFERROR(VLOOKUP(B1703,TblArticles,3,FALSE),""))</f>
        <v/>
      </c>
      <c r="E1703" s="6">
        <f>IFERROR(DATE(2000+VALUE(MID(A1703,FIND("15",A1703,FIND("01",A1703)+16)+2,2)),VALUE(MID(A1703,FIND("15",A1703,FIND("01",A1703)+16)+4,2)),VALUE(MID(A1703,FIND("15",A1703,FIND("01",A1703)+16)+6,2))),"")</f>
        <v/>
      </c>
      <c r="F1703" s="5">
        <f>IFERROR(MID(A1703,FIND("10",A1703,FIND("15",A1703,FIND("01",A1703)+16)+8)+2,50),"")</f>
        <v/>
      </c>
      <c r="G1703" s="5" t="n"/>
    </row>
    <row r="1704">
      <c r="A1704" s="7" t="n"/>
      <c r="B1704" s="8">
        <f>IFERROR(MID(A1704,FIND("01",A1704)+2,14),"")</f>
        <v/>
      </c>
      <c r="C1704" s="7">
        <f>IF(A1704="","",IFERROR(VLOOKUP(B1704,TblArticles,2,FALSE),"GTIN inconnu"))</f>
        <v/>
      </c>
      <c r="D1704" s="8">
        <f>IF(A1704="","",IFERROR(VLOOKUP(B1704,TblArticles,3,FALSE),""))</f>
        <v/>
      </c>
      <c r="E1704" s="9">
        <f>IFERROR(DATE(2000+VALUE(MID(A1704,FIND("15",A1704,FIND("01",A1704)+16)+2,2)),VALUE(MID(A1704,FIND("15",A1704,FIND("01",A1704)+16)+4,2)),VALUE(MID(A1704,FIND("15",A1704,FIND("01",A1704)+16)+6,2))),"")</f>
        <v/>
      </c>
      <c r="F1704" s="8">
        <f>IFERROR(MID(A1704,FIND("10",A1704,FIND("15",A1704,FIND("01",A1704)+16)+8)+2,50),"")</f>
        <v/>
      </c>
      <c r="G1704" s="8" t="n"/>
    </row>
    <row r="1705">
      <c r="A1705" s="4" t="n"/>
      <c r="B1705" s="5">
        <f>IFERROR(MID(A1705,FIND("01",A1705)+2,14),"")</f>
        <v/>
      </c>
      <c r="C1705" s="4">
        <f>IF(A1705="","",IFERROR(VLOOKUP(B1705,TblArticles,2,FALSE),"GTIN inconnu"))</f>
        <v/>
      </c>
      <c r="D1705" s="5">
        <f>IF(A1705="","",IFERROR(VLOOKUP(B1705,TblArticles,3,FALSE),""))</f>
        <v/>
      </c>
      <c r="E1705" s="6">
        <f>IFERROR(DATE(2000+VALUE(MID(A1705,FIND("15",A1705,FIND("01",A1705)+16)+2,2)),VALUE(MID(A1705,FIND("15",A1705,FIND("01",A1705)+16)+4,2)),VALUE(MID(A1705,FIND("15",A1705,FIND("01",A1705)+16)+6,2))),"")</f>
        <v/>
      </c>
      <c r="F1705" s="5">
        <f>IFERROR(MID(A1705,FIND("10",A1705,FIND("15",A1705,FIND("01",A1705)+16)+8)+2,50),"")</f>
        <v/>
      </c>
      <c r="G1705" s="5" t="n"/>
    </row>
    <row r="1706">
      <c r="A1706" s="7" t="n"/>
      <c r="B1706" s="8">
        <f>IFERROR(MID(A1706,FIND("01",A1706)+2,14),"")</f>
        <v/>
      </c>
      <c r="C1706" s="7">
        <f>IF(A1706="","",IFERROR(VLOOKUP(B1706,TblArticles,2,FALSE),"GTIN inconnu"))</f>
        <v/>
      </c>
      <c r="D1706" s="8">
        <f>IF(A1706="","",IFERROR(VLOOKUP(B1706,TblArticles,3,FALSE),""))</f>
        <v/>
      </c>
      <c r="E1706" s="9">
        <f>IFERROR(DATE(2000+VALUE(MID(A1706,FIND("15",A1706,FIND("01",A1706)+16)+2,2)),VALUE(MID(A1706,FIND("15",A1706,FIND("01",A1706)+16)+4,2)),VALUE(MID(A1706,FIND("15",A1706,FIND("01",A1706)+16)+6,2))),"")</f>
        <v/>
      </c>
      <c r="F1706" s="8">
        <f>IFERROR(MID(A1706,FIND("10",A1706,FIND("15",A1706,FIND("01",A1706)+16)+8)+2,50),"")</f>
        <v/>
      </c>
      <c r="G1706" s="8" t="n"/>
    </row>
    <row r="1707">
      <c r="A1707" s="4" t="n"/>
      <c r="B1707" s="5">
        <f>IFERROR(MID(A1707,FIND("01",A1707)+2,14),"")</f>
        <v/>
      </c>
      <c r="C1707" s="4">
        <f>IF(A1707="","",IFERROR(VLOOKUP(B1707,TblArticles,2,FALSE),"GTIN inconnu"))</f>
        <v/>
      </c>
      <c r="D1707" s="5">
        <f>IF(A1707="","",IFERROR(VLOOKUP(B1707,TblArticles,3,FALSE),""))</f>
        <v/>
      </c>
      <c r="E1707" s="6">
        <f>IFERROR(DATE(2000+VALUE(MID(A1707,FIND("15",A1707,FIND("01",A1707)+16)+2,2)),VALUE(MID(A1707,FIND("15",A1707,FIND("01",A1707)+16)+4,2)),VALUE(MID(A1707,FIND("15",A1707,FIND("01",A1707)+16)+6,2))),"")</f>
        <v/>
      </c>
      <c r="F1707" s="5">
        <f>IFERROR(MID(A1707,FIND("10",A1707,FIND("15",A1707,FIND("01",A1707)+16)+8)+2,50),"")</f>
        <v/>
      </c>
      <c r="G1707" s="5" t="n"/>
    </row>
    <row r="1708">
      <c r="A1708" s="7" t="n"/>
      <c r="B1708" s="8">
        <f>IFERROR(MID(A1708,FIND("01",A1708)+2,14),"")</f>
        <v/>
      </c>
      <c r="C1708" s="7">
        <f>IF(A1708="","",IFERROR(VLOOKUP(B1708,TblArticles,2,FALSE),"GTIN inconnu"))</f>
        <v/>
      </c>
      <c r="D1708" s="8">
        <f>IF(A1708="","",IFERROR(VLOOKUP(B1708,TblArticles,3,FALSE),""))</f>
        <v/>
      </c>
      <c r="E1708" s="9">
        <f>IFERROR(DATE(2000+VALUE(MID(A1708,FIND("15",A1708,FIND("01",A1708)+16)+2,2)),VALUE(MID(A1708,FIND("15",A1708,FIND("01",A1708)+16)+4,2)),VALUE(MID(A1708,FIND("15",A1708,FIND("01",A1708)+16)+6,2))),"")</f>
        <v/>
      </c>
      <c r="F1708" s="8">
        <f>IFERROR(MID(A1708,FIND("10",A1708,FIND("15",A1708,FIND("01",A1708)+16)+8)+2,50),"")</f>
        <v/>
      </c>
      <c r="G1708" s="8" t="n"/>
    </row>
    <row r="1709">
      <c r="A1709" s="4" t="n"/>
      <c r="B1709" s="5">
        <f>IFERROR(MID(A1709,FIND("01",A1709)+2,14),"")</f>
        <v/>
      </c>
      <c r="C1709" s="4">
        <f>IF(A1709="","",IFERROR(VLOOKUP(B1709,TblArticles,2,FALSE),"GTIN inconnu"))</f>
        <v/>
      </c>
      <c r="D1709" s="5">
        <f>IF(A1709="","",IFERROR(VLOOKUP(B1709,TblArticles,3,FALSE),""))</f>
        <v/>
      </c>
      <c r="E1709" s="6">
        <f>IFERROR(DATE(2000+VALUE(MID(A1709,FIND("15",A1709,FIND("01",A1709)+16)+2,2)),VALUE(MID(A1709,FIND("15",A1709,FIND("01",A1709)+16)+4,2)),VALUE(MID(A1709,FIND("15",A1709,FIND("01",A1709)+16)+6,2))),"")</f>
        <v/>
      </c>
      <c r="F1709" s="5">
        <f>IFERROR(MID(A1709,FIND("10",A1709,FIND("15",A1709,FIND("01",A1709)+16)+8)+2,50),"")</f>
        <v/>
      </c>
      <c r="G1709" s="5" t="n"/>
    </row>
    <row r="1710">
      <c r="A1710" s="7" t="n"/>
      <c r="B1710" s="8">
        <f>IFERROR(MID(A1710,FIND("01",A1710)+2,14),"")</f>
        <v/>
      </c>
      <c r="C1710" s="7">
        <f>IF(A1710="","",IFERROR(VLOOKUP(B1710,TblArticles,2,FALSE),"GTIN inconnu"))</f>
        <v/>
      </c>
      <c r="D1710" s="8">
        <f>IF(A1710="","",IFERROR(VLOOKUP(B1710,TblArticles,3,FALSE),""))</f>
        <v/>
      </c>
      <c r="E1710" s="9">
        <f>IFERROR(DATE(2000+VALUE(MID(A1710,FIND("15",A1710,FIND("01",A1710)+16)+2,2)),VALUE(MID(A1710,FIND("15",A1710,FIND("01",A1710)+16)+4,2)),VALUE(MID(A1710,FIND("15",A1710,FIND("01",A1710)+16)+6,2))),"")</f>
        <v/>
      </c>
      <c r="F1710" s="8">
        <f>IFERROR(MID(A1710,FIND("10",A1710,FIND("15",A1710,FIND("01",A1710)+16)+8)+2,50),"")</f>
        <v/>
      </c>
      <c r="G1710" s="8" t="n"/>
    </row>
    <row r="1711">
      <c r="A1711" s="4" t="n"/>
      <c r="B1711" s="5">
        <f>IFERROR(MID(A1711,FIND("01",A1711)+2,14),"")</f>
        <v/>
      </c>
      <c r="C1711" s="4">
        <f>IF(A1711="","",IFERROR(VLOOKUP(B1711,TblArticles,2,FALSE),"GTIN inconnu"))</f>
        <v/>
      </c>
      <c r="D1711" s="5">
        <f>IF(A1711="","",IFERROR(VLOOKUP(B1711,TblArticles,3,FALSE),""))</f>
        <v/>
      </c>
      <c r="E1711" s="6">
        <f>IFERROR(DATE(2000+VALUE(MID(A1711,FIND("15",A1711,FIND("01",A1711)+16)+2,2)),VALUE(MID(A1711,FIND("15",A1711,FIND("01",A1711)+16)+4,2)),VALUE(MID(A1711,FIND("15",A1711,FIND("01",A1711)+16)+6,2))),"")</f>
        <v/>
      </c>
      <c r="F1711" s="5">
        <f>IFERROR(MID(A1711,FIND("10",A1711,FIND("15",A1711,FIND("01",A1711)+16)+8)+2,50),"")</f>
        <v/>
      </c>
      <c r="G1711" s="5" t="n"/>
    </row>
    <row r="1712">
      <c r="A1712" s="7" t="n"/>
      <c r="B1712" s="8">
        <f>IFERROR(MID(A1712,FIND("01",A1712)+2,14),"")</f>
        <v/>
      </c>
      <c r="C1712" s="7">
        <f>IF(A1712="","",IFERROR(VLOOKUP(B1712,TblArticles,2,FALSE),"GTIN inconnu"))</f>
        <v/>
      </c>
      <c r="D1712" s="8">
        <f>IF(A1712="","",IFERROR(VLOOKUP(B1712,TblArticles,3,FALSE),""))</f>
        <v/>
      </c>
      <c r="E1712" s="9">
        <f>IFERROR(DATE(2000+VALUE(MID(A1712,FIND("15",A1712,FIND("01",A1712)+16)+2,2)),VALUE(MID(A1712,FIND("15",A1712,FIND("01",A1712)+16)+4,2)),VALUE(MID(A1712,FIND("15",A1712,FIND("01",A1712)+16)+6,2))),"")</f>
        <v/>
      </c>
      <c r="F1712" s="8">
        <f>IFERROR(MID(A1712,FIND("10",A1712,FIND("15",A1712,FIND("01",A1712)+16)+8)+2,50),"")</f>
        <v/>
      </c>
      <c r="G1712" s="8" t="n"/>
    </row>
    <row r="1713">
      <c r="A1713" s="4" t="n"/>
      <c r="B1713" s="5">
        <f>IFERROR(MID(A1713,FIND("01",A1713)+2,14),"")</f>
        <v/>
      </c>
      <c r="C1713" s="4">
        <f>IF(A1713="","",IFERROR(VLOOKUP(B1713,TblArticles,2,FALSE),"GTIN inconnu"))</f>
        <v/>
      </c>
      <c r="D1713" s="5">
        <f>IF(A1713="","",IFERROR(VLOOKUP(B1713,TblArticles,3,FALSE),""))</f>
        <v/>
      </c>
      <c r="E1713" s="6">
        <f>IFERROR(DATE(2000+VALUE(MID(A1713,FIND("15",A1713,FIND("01",A1713)+16)+2,2)),VALUE(MID(A1713,FIND("15",A1713,FIND("01",A1713)+16)+4,2)),VALUE(MID(A1713,FIND("15",A1713,FIND("01",A1713)+16)+6,2))),"")</f>
        <v/>
      </c>
      <c r="F1713" s="5">
        <f>IFERROR(MID(A1713,FIND("10",A1713,FIND("15",A1713,FIND("01",A1713)+16)+8)+2,50),"")</f>
        <v/>
      </c>
      <c r="G1713" s="5" t="n"/>
    </row>
    <row r="1714">
      <c r="A1714" s="7" t="n"/>
      <c r="B1714" s="8">
        <f>IFERROR(MID(A1714,FIND("01",A1714)+2,14),"")</f>
        <v/>
      </c>
      <c r="C1714" s="7">
        <f>IF(A1714="","",IFERROR(VLOOKUP(B1714,TblArticles,2,FALSE),"GTIN inconnu"))</f>
        <v/>
      </c>
      <c r="D1714" s="8">
        <f>IF(A1714="","",IFERROR(VLOOKUP(B1714,TblArticles,3,FALSE),""))</f>
        <v/>
      </c>
      <c r="E1714" s="9">
        <f>IFERROR(DATE(2000+VALUE(MID(A1714,FIND("15",A1714,FIND("01",A1714)+16)+2,2)),VALUE(MID(A1714,FIND("15",A1714,FIND("01",A1714)+16)+4,2)),VALUE(MID(A1714,FIND("15",A1714,FIND("01",A1714)+16)+6,2))),"")</f>
        <v/>
      </c>
      <c r="F1714" s="8">
        <f>IFERROR(MID(A1714,FIND("10",A1714,FIND("15",A1714,FIND("01",A1714)+16)+8)+2,50),"")</f>
        <v/>
      </c>
      <c r="G1714" s="8" t="n"/>
    </row>
    <row r="1715">
      <c r="A1715" s="4" t="n"/>
      <c r="B1715" s="5">
        <f>IFERROR(MID(A1715,FIND("01",A1715)+2,14),"")</f>
        <v/>
      </c>
      <c r="C1715" s="4">
        <f>IF(A1715="","",IFERROR(VLOOKUP(B1715,TblArticles,2,FALSE),"GTIN inconnu"))</f>
        <v/>
      </c>
      <c r="D1715" s="5">
        <f>IF(A1715="","",IFERROR(VLOOKUP(B1715,TblArticles,3,FALSE),""))</f>
        <v/>
      </c>
      <c r="E1715" s="6">
        <f>IFERROR(DATE(2000+VALUE(MID(A1715,FIND("15",A1715,FIND("01",A1715)+16)+2,2)),VALUE(MID(A1715,FIND("15",A1715,FIND("01",A1715)+16)+4,2)),VALUE(MID(A1715,FIND("15",A1715,FIND("01",A1715)+16)+6,2))),"")</f>
        <v/>
      </c>
      <c r="F1715" s="5">
        <f>IFERROR(MID(A1715,FIND("10",A1715,FIND("15",A1715,FIND("01",A1715)+16)+8)+2,50),"")</f>
        <v/>
      </c>
      <c r="G1715" s="5" t="n"/>
    </row>
    <row r="1716">
      <c r="A1716" s="7" t="n"/>
      <c r="B1716" s="8">
        <f>IFERROR(MID(A1716,FIND("01",A1716)+2,14),"")</f>
        <v/>
      </c>
      <c r="C1716" s="7">
        <f>IF(A1716="","",IFERROR(VLOOKUP(B1716,TblArticles,2,FALSE),"GTIN inconnu"))</f>
        <v/>
      </c>
      <c r="D1716" s="8">
        <f>IF(A1716="","",IFERROR(VLOOKUP(B1716,TblArticles,3,FALSE),""))</f>
        <v/>
      </c>
      <c r="E1716" s="9">
        <f>IFERROR(DATE(2000+VALUE(MID(A1716,FIND("15",A1716,FIND("01",A1716)+16)+2,2)),VALUE(MID(A1716,FIND("15",A1716,FIND("01",A1716)+16)+4,2)),VALUE(MID(A1716,FIND("15",A1716,FIND("01",A1716)+16)+6,2))),"")</f>
        <v/>
      </c>
      <c r="F1716" s="8">
        <f>IFERROR(MID(A1716,FIND("10",A1716,FIND("15",A1716,FIND("01",A1716)+16)+8)+2,50),"")</f>
        <v/>
      </c>
      <c r="G1716" s="8" t="n"/>
    </row>
    <row r="1717">
      <c r="A1717" s="4" t="n"/>
      <c r="B1717" s="5">
        <f>IFERROR(MID(A1717,FIND("01",A1717)+2,14),"")</f>
        <v/>
      </c>
      <c r="C1717" s="4">
        <f>IF(A1717="","",IFERROR(VLOOKUP(B1717,TblArticles,2,FALSE),"GTIN inconnu"))</f>
        <v/>
      </c>
      <c r="D1717" s="5">
        <f>IF(A1717="","",IFERROR(VLOOKUP(B1717,TblArticles,3,FALSE),""))</f>
        <v/>
      </c>
      <c r="E1717" s="6">
        <f>IFERROR(DATE(2000+VALUE(MID(A1717,FIND("15",A1717,FIND("01",A1717)+16)+2,2)),VALUE(MID(A1717,FIND("15",A1717,FIND("01",A1717)+16)+4,2)),VALUE(MID(A1717,FIND("15",A1717,FIND("01",A1717)+16)+6,2))),"")</f>
        <v/>
      </c>
      <c r="F1717" s="5">
        <f>IFERROR(MID(A1717,FIND("10",A1717,FIND("15",A1717,FIND("01",A1717)+16)+8)+2,50),"")</f>
        <v/>
      </c>
      <c r="G1717" s="5" t="n"/>
    </row>
    <row r="1718">
      <c r="A1718" s="7" t="n"/>
      <c r="B1718" s="8">
        <f>IFERROR(MID(A1718,FIND("01",A1718)+2,14),"")</f>
        <v/>
      </c>
      <c r="C1718" s="7">
        <f>IF(A1718="","",IFERROR(VLOOKUP(B1718,TblArticles,2,FALSE),"GTIN inconnu"))</f>
        <v/>
      </c>
      <c r="D1718" s="8">
        <f>IF(A1718="","",IFERROR(VLOOKUP(B1718,TblArticles,3,FALSE),""))</f>
        <v/>
      </c>
      <c r="E1718" s="9">
        <f>IFERROR(DATE(2000+VALUE(MID(A1718,FIND("15",A1718,FIND("01",A1718)+16)+2,2)),VALUE(MID(A1718,FIND("15",A1718,FIND("01",A1718)+16)+4,2)),VALUE(MID(A1718,FIND("15",A1718,FIND("01",A1718)+16)+6,2))),"")</f>
        <v/>
      </c>
      <c r="F1718" s="8">
        <f>IFERROR(MID(A1718,FIND("10",A1718,FIND("15",A1718,FIND("01",A1718)+16)+8)+2,50),"")</f>
        <v/>
      </c>
      <c r="G1718" s="8" t="n"/>
    </row>
    <row r="1719">
      <c r="A1719" s="4" t="n"/>
      <c r="B1719" s="5">
        <f>IFERROR(MID(A1719,FIND("01",A1719)+2,14),"")</f>
        <v/>
      </c>
      <c r="C1719" s="4">
        <f>IF(A1719="","",IFERROR(VLOOKUP(B1719,TblArticles,2,FALSE),"GTIN inconnu"))</f>
        <v/>
      </c>
      <c r="D1719" s="5">
        <f>IF(A1719="","",IFERROR(VLOOKUP(B1719,TblArticles,3,FALSE),""))</f>
        <v/>
      </c>
      <c r="E1719" s="6">
        <f>IFERROR(DATE(2000+VALUE(MID(A1719,FIND("15",A1719,FIND("01",A1719)+16)+2,2)),VALUE(MID(A1719,FIND("15",A1719,FIND("01",A1719)+16)+4,2)),VALUE(MID(A1719,FIND("15",A1719,FIND("01",A1719)+16)+6,2))),"")</f>
        <v/>
      </c>
      <c r="F1719" s="5">
        <f>IFERROR(MID(A1719,FIND("10",A1719,FIND("15",A1719,FIND("01",A1719)+16)+8)+2,50),"")</f>
        <v/>
      </c>
      <c r="G1719" s="5" t="n"/>
    </row>
    <row r="1720">
      <c r="A1720" s="7" t="n"/>
      <c r="B1720" s="8">
        <f>IFERROR(MID(A1720,FIND("01",A1720)+2,14),"")</f>
        <v/>
      </c>
      <c r="C1720" s="7">
        <f>IF(A1720="","",IFERROR(VLOOKUP(B1720,TblArticles,2,FALSE),"GTIN inconnu"))</f>
        <v/>
      </c>
      <c r="D1720" s="8">
        <f>IF(A1720="","",IFERROR(VLOOKUP(B1720,TblArticles,3,FALSE),""))</f>
        <v/>
      </c>
      <c r="E1720" s="9">
        <f>IFERROR(DATE(2000+VALUE(MID(A1720,FIND("15",A1720,FIND("01",A1720)+16)+2,2)),VALUE(MID(A1720,FIND("15",A1720,FIND("01",A1720)+16)+4,2)),VALUE(MID(A1720,FIND("15",A1720,FIND("01",A1720)+16)+6,2))),"")</f>
        <v/>
      </c>
      <c r="F1720" s="8">
        <f>IFERROR(MID(A1720,FIND("10",A1720,FIND("15",A1720,FIND("01",A1720)+16)+8)+2,50),"")</f>
        <v/>
      </c>
      <c r="G1720" s="8" t="n"/>
    </row>
    <row r="1721">
      <c r="A1721" s="4" t="n"/>
      <c r="B1721" s="5">
        <f>IFERROR(MID(A1721,FIND("01",A1721)+2,14),"")</f>
        <v/>
      </c>
      <c r="C1721" s="4">
        <f>IF(A1721="","",IFERROR(VLOOKUP(B1721,TblArticles,2,FALSE),"GTIN inconnu"))</f>
        <v/>
      </c>
      <c r="D1721" s="5">
        <f>IF(A1721="","",IFERROR(VLOOKUP(B1721,TblArticles,3,FALSE),""))</f>
        <v/>
      </c>
      <c r="E1721" s="6">
        <f>IFERROR(DATE(2000+VALUE(MID(A1721,FIND("15",A1721,FIND("01",A1721)+16)+2,2)),VALUE(MID(A1721,FIND("15",A1721,FIND("01",A1721)+16)+4,2)),VALUE(MID(A1721,FIND("15",A1721,FIND("01",A1721)+16)+6,2))),"")</f>
        <v/>
      </c>
      <c r="F1721" s="5">
        <f>IFERROR(MID(A1721,FIND("10",A1721,FIND("15",A1721,FIND("01",A1721)+16)+8)+2,50),"")</f>
        <v/>
      </c>
      <c r="G1721" s="5" t="n"/>
    </row>
    <row r="1722">
      <c r="A1722" s="7" t="n"/>
      <c r="B1722" s="8">
        <f>IFERROR(MID(A1722,FIND("01",A1722)+2,14),"")</f>
        <v/>
      </c>
      <c r="C1722" s="7">
        <f>IF(A1722="","",IFERROR(VLOOKUP(B1722,TblArticles,2,FALSE),"GTIN inconnu"))</f>
        <v/>
      </c>
      <c r="D1722" s="8">
        <f>IF(A1722="","",IFERROR(VLOOKUP(B1722,TblArticles,3,FALSE),""))</f>
        <v/>
      </c>
      <c r="E1722" s="9">
        <f>IFERROR(DATE(2000+VALUE(MID(A1722,FIND("15",A1722,FIND("01",A1722)+16)+2,2)),VALUE(MID(A1722,FIND("15",A1722,FIND("01",A1722)+16)+4,2)),VALUE(MID(A1722,FIND("15",A1722,FIND("01",A1722)+16)+6,2))),"")</f>
        <v/>
      </c>
      <c r="F1722" s="8">
        <f>IFERROR(MID(A1722,FIND("10",A1722,FIND("15",A1722,FIND("01",A1722)+16)+8)+2,50),"")</f>
        <v/>
      </c>
      <c r="G1722" s="8" t="n"/>
    </row>
    <row r="1723">
      <c r="A1723" s="4" t="n"/>
      <c r="B1723" s="5">
        <f>IFERROR(MID(A1723,FIND("01",A1723)+2,14),"")</f>
        <v/>
      </c>
      <c r="C1723" s="4">
        <f>IF(A1723="","",IFERROR(VLOOKUP(B1723,TblArticles,2,FALSE),"GTIN inconnu"))</f>
        <v/>
      </c>
      <c r="D1723" s="5">
        <f>IF(A1723="","",IFERROR(VLOOKUP(B1723,TblArticles,3,FALSE),""))</f>
        <v/>
      </c>
      <c r="E1723" s="6">
        <f>IFERROR(DATE(2000+VALUE(MID(A1723,FIND("15",A1723,FIND("01",A1723)+16)+2,2)),VALUE(MID(A1723,FIND("15",A1723,FIND("01",A1723)+16)+4,2)),VALUE(MID(A1723,FIND("15",A1723,FIND("01",A1723)+16)+6,2))),"")</f>
        <v/>
      </c>
      <c r="F1723" s="5">
        <f>IFERROR(MID(A1723,FIND("10",A1723,FIND("15",A1723,FIND("01",A1723)+16)+8)+2,50),"")</f>
        <v/>
      </c>
      <c r="G1723" s="5" t="n"/>
    </row>
    <row r="1724">
      <c r="A1724" s="7" t="n"/>
      <c r="B1724" s="8">
        <f>IFERROR(MID(A1724,FIND("01",A1724)+2,14),"")</f>
        <v/>
      </c>
      <c r="C1724" s="7">
        <f>IF(A1724="","",IFERROR(VLOOKUP(B1724,TblArticles,2,FALSE),"GTIN inconnu"))</f>
        <v/>
      </c>
      <c r="D1724" s="8">
        <f>IF(A1724="","",IFERROR(VLOOKUP(B1724,TblArticles,3,FALSE),""))</f>
        <v/>
      </c>
      <c r="E1724" s="9">
        <f>IFERROR(DATE(2000+VALUE(MID(A1724,FIND("15",A1724,FIND("01",A1724)+16)+2,2)),VALUE(MID(A1724,FIND("15",A1724,FIND("01",A1724)+16)+4,2)),VALUE(MID(A1724,FIND("15",A1724,FIND("01",A1724)+16)+6,2))),"")</f>
        <v/>
      </c>
      <c r="F1724" s="8">
        <f>IFERROR(MID(A1724,FIND("10",A1724,FIND("15",A1724,FIND("01",A1724)+16)+8)+2,50),"")</f>
        <v/>
      </c>
      <c r="G1724" s="8" t="n"/>
    </row>
    <row r="1725">
      <c r="A1725" s="4" t="n"/>
      <c r="B1725" s="5">
        <f>IFERROR(MID(A1725,FIND("01",A1725)+2,14),"")</f>
        <v/>
      </c>
      <c r="C1725" s="4">
        <f>IF(A1725="","",IFERROR(VLOOKUP(B1725,TblArticles,2,FALSE),"GTIN inconnu"))</f>
        <v/>
      </c>
      <c r="D1725" s="5">
        <f>IF(A1725="","",IFERROR(VLOOKUP(B1725,TblArticles,3,FALSE),""))</f>
        <v/>
      </c>
      <c r="E1725" s="6">
        <f>IFERROR(DATE(2000+VALUE(MID(A1725,FIND("15",A1725,FIND("01",A1725)+16)+2,2)),VALUE(MID(A1725,FIND("15",A1725,FIND("01",A1725)+16)+4,2)),VALUE(MID(A1725,FIND("15",A1725,FIND("01",A1725)+16)+6,2))),"")</f>
        <v/>
      </c>
      <c r="F1725" s="5">
        <f>IFERROR(MID(A1725,FIND("10",A1725,FIND("15",A1725,FIND("01",A1725)+16)+8)+2,50),"")</f>
        <v/>
      </c>
      <c r="G1725" s="5" t="n"/>
    </row>
    <row r="1726">
      <c r="A1726" s="7" t="n"/>
      <c r="B1726" s="8">
        <f>IFERROR(MID(A1726,FIND("01",A1726)+2,14),"")</f>
        <v/>
      </c>
      <c r="C1726" s="7">
        <f>IF(A1726="","",IFERROR(VLOOKUP(B1726,TblArticles,2,FALSE),"GTIN inconnu"))</f>
        <v/>
      </c>
      <c r="D1726" s="8">
        <f>IF(A1726="","",IFERROR(VLOOKUP(B1726,TblArticles,3,FALSE),""))</f>
        <v/>
      </c>
      <c r="E1726" s="9">
        <f>IFERROR(DATE(2000+VALUE(MID(A1726,FIND("15",A1726,FIND("01",A1726)+16)+2,2)),VALUE(MID(A1726,FIND("15",A1726,FIND("01",A1726)+16)+4,2)),VALUE(MID(A1726,FIND("15",A1726,FIND("01",A1726)+16)+6,2))),"")</f>
        <v/>
      </c>
      <c r="F1726" s="8">
        <f>IFERROR(MID(A1726,FIND("10",A1726,FIND("15",A1726,FIND("01",A1726)+16)+8)+2,50),"")</f>
        <v/>
      </c>
      <c r="G1726" s="8" t="n"/>
    </row>
    <row r="1727">
      <c r="A1727" s="4" t="n"/>
      <c r="B1727" s="5">
        <f>IFERROR(MID(A1727,FIND("01",A1727)+2,14),"")</f>
        <v/>
      </c>
      <c r="C1727" s="4">
        <f>IF(A1727="","",IFERROR(VLOOKUP(B1727,TblArticles,2,FALSE),"GTIN inconnu"))</f>
        <v/>
      </c>
      <c r="D1727" s="5">
        <f>IF(A1727="","",IFERROR(VLOOKUP(B1727,TblArticles,3,FALSE),""))</f>
        <v/>
      </c>
      <c r="E1727" s="6">
        <f>IFERROR(DATE(2000+VALUE(MID(A1727,FIND("15",A1727,FIND("01",A1727)+16)+2,2)),VALUE(MID(A1727,FIND("15",A1727,FIND("01",A1727)+16)+4,2)),VALUE(MID(A1727,FIND("15",A1727,FIND("01",A1727)+16)+6,2))),"")</f>
        <v/>
      </c>
      <c r="F1727" s="5">
        <f>IFERROR(MID(A1727,FIND("10",A1727,FIND("15",A1727,FIND("01",A1727)+16)+8)+2,50),"")</f>
        <v/>
      </c>
      <c r="G1727" s="5" t="n"/>
    </row>
    <row r="1728">
      <c r="A1728" s="7" t="n"/>
      <c r="B1728" s="8">
        <f>IFERROR(MID(A1728,FIND("01",A1728)+2,14),"")</f>
        <v/>
      </c>
      <c r="C1728" s="7">
        <f>IF(A1728="","",IFERROR(VLOOKUP(B1728,TblArticles,2,FALSE),"GTIN inconnu"))</f>
        <v/>
      </c>
      <c r="D1728" s="8">
        <f>IF(A1728="","",IFERROR(VLOOKUP(B1728,TblArticles,3,FALSE),""))</f>
        <v/>
      </c>
      <c r="E1728" s="9">
        <f>IFERROR(DATE(2000+VALUE(MID(A1728,FIND("15",A1728,FIND("01",A1728)+16)+2,2)),VALUE(MID(A1728,FIND("15",A1728,FIND("01",A1728)+16)+4,2)),VALUE(MID(A1728,FIND("15",A1728,FIND("01",A1728)+16)+6,2))),"")</f>
        <v/>
      </c>
      <c r="F1728" s="8">
        <f>IFERROR(MID(A1728,FIND("10",A1728,FIND("15",A1728,FIND("01",A1728)+16)+8)+2,50),"")</f>
        <v/>
      </c>
      <c r="G1728" s="8" t="n"/>
    </row>
    <row r="1729">
      <c r="A1729" s="4" t="n"/>
      <c r="B1729" s="5">
        <f>IFERROR(MID(A1729,FIND("01",A1729)+2,14),"")</f>
        <v/>
      </c>
      <c r="C1729" s="4">
        <f>IF(A1729="","",IFERROR(VLOOKUP(B1729,TblArticles,2,FALSE),"GTIN inconnu"))</f>
        <v/>
      </c>
      <c r="D1729" s="5">
        <f>IF(A1729="","",IFERROR(VLOOKUP(B1729,TblArticles,3,FALSE),""))</f>
        <v/>
      </c>
      <c r="E1729" s="6">
        <f>IFERROR(DATE(2000+VALUE(MID(A1729,FIND("15",A1729,FIND("01",A1729)+16)+2,2)),VALUE(MID(A1729,FIND("15",A1729,FIND("01",A1729)+16)+4,2)),VALUE(MID(A1729,FIND("15",A1729,FIND("01",A1729)+16)+6,2))),"")</f>
        <v/>
      </c>
      <c r="F1729" s="5">
        <f>IFERROR(MID(A1729,FIND("10",A1729,FIND("15",A1729,FIND("01",A1729)+16)+8)+2,50),"")</f>
        <v/>
      </c>
      <c r="G1729" s="5" t="n"/>
    </row>
    <row r="1730">
      <c r="A1730" s="7" t="n"/>
      <c r="B1730" s="8">
        <f>IFERROR(MID(A1730,FIND("01",A1730)+2,14),"")</f>
        <v/>
      </c>
      <c r="C1730" s="7">
        <f>IF(A1730="","",IFERROR(VLOOKUP(B1730,TblArticles,2,FALSE),"GTIN inconnu"))</f>
        <v/>
      </c>
      <c r="D1730" s="8">
        <f>IF(A1730="","",IFERROR(VLOOKUP(B1730,TblArticles,3,FALSE),""))</f>
        <v/>
      </c>
      <c r="E1730" s="9">
        <f>IFERROR(DATE(2000+VALUE(MID(A1730,FIND("15",A1730,FIND("01",A1730)+16)+2,2)),VALUE(MID(A1730,FIND("15",A1730,FIND("01",A1730)+16)+4,2)),VALUE(MID(A1730,FIND("15",A1730,FIND("01",A1730)+16)+6,2))),"")</f>
        <v/>
      </c>
      <c r="F1730" s="8">
        <f>IFERROR(MID(A1730,FIND("10",A1730,FIND("15",A1730,FIND("01",A1730)+16)+8)+2,50),"")</f>
        <v/>
      </c>
      <c r="G1730" s="8" t="n"/>
    </row>
    <row r="1731">
      <c r="A1731" s="4" t="n"/>
      <c r="B1731" s="5">
        <f>IFERROR(MID(A1731,FIND("01",A1731)+2,14),"")</f>
        <v/>
      </c>
      <c r="C1731" s="4">
        <f>IF(A1731="","",IFERROR(VLOOKUP(B1731,TblArticles,2,FALSE),"GTIN inconnu"))</f>
        <v/>
      </c>
      <c r="D1731" s="5">
        <f>IF(A1731="","",IFERROR(VLOOKUP(B1731,TblArticles,3,FALSE),""))</f>
        <v/>
      </c>
      <c r="E1731" s="6">
        <f>IFERROR(DATE(2000+VALUE(MID(A1731,FIND("15",A1731,FIND("01",A1731)+16)+2,2)),VALUE(MID(A1731,FIND("15",A1731,FIND("01",A1731)+16)+4,2)),VALUE(MID(A1731,FIND("15",A1731,FIND("01",A1731)+16)+6,2))),"")</f>
        <v/>
      </c>
      <c r="F1731" s="5">
        <f>IFERROR(MID(A1731,FIND("10",A1731,FIND("15",A1731,FIND("01",A1731)+16)+8)+2,50),"")</f>
        <v/>
      </c>
      <c r="G1731" s="5" t="n"/>
    </row>
    <row r="1732">
      <c r="A1732" s="7" t="n"/>
      <c r="B1732" s="8">
        <f>IFERROR(MID(A1732,FIND("01",A1732)+2,14),"")</f>
        <v/>
      </c>
      <c r="C1732" s="7">
        <f>IF(A1732="","",IFERROR(VLOOKUP(B1732,TblArticles,2,FALSE),"GTIN inconnu"))</f>
        <v/>
      </c>
      <c r="D1732" s="8">
        <f>IF(A1732="","",IFERROR(VLOOKUP(B1732,TblArticles,3,FALSE),""))</f>
        <v/>
      </c>
      <c r="E1732" s="9">
        <f>IFERROR(DATE(2000+VALUE(MID(A1732,FIND("15",A1732,FIND("01",A1732)+16)+2,2)),VALUE(MID(A1732,FIND("15",A1732,FIND("01",A1732)+16)+4,2)),VALUE(MID(A1732,FIND("15",A1732,FIND("01",A1732)+16)+6,2))),"")</f>
        <v/>
      </c>
      <c r="F1732" s="8">
        <f>IFERROR(MID(A1732,FIND("10",A1732,FIND("15",A1732,FIND("01",A1732)+16)+8)+2,50),"")</f>
        <v/>
      </c>
      <c r="G1732" s="8" t="n"/>
    </row>
    <row r="1733">
      <c r="A1733" s="4" t="n"/>
      <c r="B1733" s="5">
        <f>IFERROR(MID(A1733,FIND("01",A1733)+2,14),"")</f>
        <v/>
      </c>
      <c r="C1733" s="4">
        <f>IF(A1733="","",IFERROR(VLOOKUP(B1733,TblArticles,2,FALSE),"GTIN inconnu"))</f>
        <v/>
      </c>
      <c r="D1733" s="5">
        <f>IF(A1733="","",IFERROR(VLOOKUP(B1733,TblArticles,3,FALSE),""))</f>
        <v/>
      </c>
      <c r="E1733" s="6">
        <f>IFERROR(DATE(2000+VALUE(MID(A1733,FIND("15",A1733,FIND("01",A1733)+16)+2,2)),VALUE(MID(A1733,FIND("15",A1733,FIND("01",A1733)+16)+4,2)),VALUE(MID(A1733,FIND("15",A1733,FIND("01",A1733)+16)+6,2))),"")</f>
        <v/>
      </c>
      <c r="F1733" s="5">
        <f>IFERROR(MID(A1733,FIND("10",A1733,FIND("15",A1733,FIND("01",A1733)+16)+8)+2,50),"")</f>
        <v/>
      </c>
      <c r="G1733" s="5" t="n"/>
    </row>
    <row r="1734">
      <c r="A1734" s="7" t="n"/>
      <c r="B1734" s="8">
        <f>IFERROR(MID(A1734,FIND("01",A1734)+2,14),"")</f>
        <v/>
      </c>
      <c r="C1734" s="7">
        <f>IF(A1734="","",IFERROR(VLOOKUP(B1734,TblArticles,2,FALSE),"GTIN inconnu"))</f>
        <v/>
      </c>
      <c r="D1734" s="8">
        <f>IF(A1734="","",IFERROR(VLOOKUP(B1734,TblArticles,3,FALSE),""))</f>
        <v/>
      </c>
      <c r="E1734" s="9">
        <f>IFERROR(DATE(2000+VALUE(MID(A1734,FIND("15",A1734,FIND("01",A1734)+16)+2,2)),VALUE(MID(A1734,FIND("15",A1734,FIND("01",A1734)+16)+4,2)),VALUE(MID(A1734,FIND("15",A1734,FIND("01",A1734)+16)+6,2))),"")</f>
        <v/>
      </c>
      <c r="F1734" s="8">
        <f>IFERROR(MID(A1734,FIND("10",A1734,FIND("15",A1734,FIND("01",A1734)+16)+8)+2,50),"")</f>
        <v/>
      </c>
      <c r="G1734" s="8" t="n"/>
    </row>
    <row r="1735">
      <c r="A1735" s="4" t="n"/>
      <c r="B1735" s="5">
        <f>IFERROR(MID(A1735,FIND("01",A1735)+2,14),"")</f>
        <v/>
      </c>
      <c r="C1735" s="4">
        <f>IF(A1735="","",IFERROR(VLOOKUP(B1735,TblArticles,2,FALSE),"GTIN inconnu"))</f>
        <v/>
      </c>
      <c r="D1735" s="5">
        <f>IF(A1735="","",IFERROR(VLOOKUP(B1735,TblArticles,3,FALSE),""))</f>
        <v/>
      </c>
      <c r="E1735" s="6">
        <f>IFERROR(DATE(2000+VALUE(MID(A1735,FIND("15",A1735,FIND("01",A1735)+16)+2,2)),VALUE(MID(A1735,FIND("15",A1735,FIND("01",A1735)+16)+4,2)),VALUE(MID(A1735,FIND("15",A1735,FIND("01",A1735)+16)+6,2))),"")</f>
        <v/>
      </c>
      <c r="F1735" s="5">
        <f>IFERROR(MID(A1735,FIND("10",A1735,FIND("15",A1735,FIND("01",A1735)+16)+8)+2,50),"")</f>
        <v/>
      </c>
      <c r="G1735" s="5" t="n"/>
    </row>
    <row r="1736">
      <c r="A1736" s="7" t="n"/>
      <c r="B1736" s="8">
        <f>IFERROR(MID(A1736,FIND("01",A1736)+2,14),"")</f>
        <v/>
      </c>
      <c r="C1736" s="7">
        <f>IF(A1736="","",IFERROR(VLOOKUP(B1736,TblArticles,2,FALSE),"GTIN inconnu"))</f>
        <v/>
      </c>
      <c r="D1736" s="8">
        <f>IF(A1736="","",IFERROR(VLOOKUP(B1736,TblArticles,3,FALSE),""))</f>
        <v/>
      </c>
      <c r="E1736" s="9">
        <f>IFERROR(DATE(2000+VALUE(MID(A1736,FIND("15",A1736,FIND("01",A1736)+16)+2,2)),VALUE(MID(A1736,FIND("15",A1736,FIND("01",A1736)+16)+4,2)),VALUE(MID(A1736,FIND("15",A1736,FIND("01",A1736)+16)+6,2))),"")</f>
        <v/>
      </c>
      <c r="F1736" s="8">
        <f>IFERROR(MID(A1736,FIND("10",A1736,FIND("15",A1736,FIND("01",A1736)+16)+8)+2,50),"")</f>
        <v/>
      </c>
      <c r="G1736" s="8" t="n"/>
    </row>
    <row r="1737">
      <c r="A1737" s="4" t="n"/>
      <c r="B1737" s="5">
        <f>IFERROR(MID(A1737,FIND("01",A1737)+2,14),"")</f>
        <v/>
      </c>
      <c r="C1737" s="4">
        <f>IF(A1737="","",IFERROR(VLOOKUP(B1737,TblArticles,2,FALSE),"GTIN inconnu"))</f>
        <v/>
      </c>
      <c r="D1737" s="5">
        <f>IF(A1737="","",IFERROR(VLOOKUP(B1737,TblArticles,3,FALSE),""))</f>
        <v/>
      </c>
      <c r="E1737" s="6">
        <f>IFERROR(DATE(2000+VALUE(MID(A1737,FIND("15",A1737,FIND("01",A1737)+16)+2,2)),VALUE(MID(A1737,FIND("15",A1737,FIND("01",A1737)+16)+4,2)),VALUE(MID(A1737,FIND("15",A1737,FIND("01",A1737)+16)+6,2))),"")</f>
        <v/>
      </c>
      <c r="F1737" s="5">
        <f>IFERROR(MID(A1737,FIND("10",A1737,FIND("15",A1737,FIND("01",A1737)+16)+8)+2,50),"")</f>
        <v/>
      </c>
      <c r="G1737" s="5" t="n"/>
    </row>
    <row r="1738">
      <c r="A1738" s="7" t="n"/>
      <c r="B1738" s="8">
        <f>IFERROR(MID(A1738,FIND("01",A1738)+2,14),"")</f>
        <v/>
      </c>
      <c r="C1738" s="7">
        <f>IF(A1738="","",IFERROR(VLOOKUP(B1738,TblArticles,2,FALSE),"GTIN inconnu"))</f>
        <v/>
      </c>
      <c r="D1738" s="8">
        <f>IF(A1738="","",IFERROR(VLOOKUP(B1738,TblArticles,3,FALSE),""))</f>
        <v/>
      </c>
      <c r="E1738" s="9">
        <f>IFERROR(DATE(2000+VALUE(MID(A1738,FIND("15",A1738,FIND("01",A1738)+16)+2,2)),VALUE(MID(A1738,FIND("15",A1738,FIND("01",A1738)+16)+4,2)),VALUE(MID(A1738,FIND("15",A1738,FIND("01",A1738)+16)+6,2))),"")</f>
        <v/>
      </c>
      <c r="F1738" s="8">
        <f>IFERROR(MID(A1738,FIND("10",A1738,FIND("15",A1738,FIND("01",A1738)+16)+8)+2,50),"")</f>
        <v/>
      </c>
      <c r="G1738" s="8" t="n"/>
    </row>
    <row r="1739">
      <c r="A1739" s="4" t="n"/>
      <c r="B1739" s="5">
        <f>IFERROR(MID(A1739,FIND("01",A1739)+2,14),"")</f>
        <v/>
      </c>
      <c r="C1739" s="4">
        <f>IF(A1739="","",IFERROR(VLOOKUP(B1739,TblArticles,2,FALSE),"GTIN inconnu"))</f>
        <v/>
      </c>
      <c r="D1739" s="5">
        <f>IF(A1739="","",IFERROR(VLOOKUP(B1739,TblArticles,3,FALSE),""))</f>
        <v/>
      </c>
      <c r="E1739" s="6">
        <f>IFERROR(DATE(2000+VALUE(MID(A1739,FIND("15",A1739,FIND("01",A1739)+16)+2,2)),VALUE(MID(A1739,FIND("15",A1739,FIND("01",A1739)+16)+4,2)),VALUE(MID(A1739,FIND("15",A1739,FIND("01",A1739)+16)+6,2))),"")</f>
        <v/>
      </c>
      <c r="F1739" s="5">
        <f>IFERROR(MID(A1739,FIND("10",A1739,FIND("15",A1739,FIND("01",A1739)+16)+8)+2,50),"")</f>
        <v/>
      </c>
      <c r="G1739" s="5" t="n"/>
    </row>
    <row r="1740">
      <c r="A1740" s="7" t="n"/>
      <c r="B1740" s="8">
        <f>IFERROR(MID(A1740,FIND("01",A1740)+2,14),"")</f>
        <v/>
      </c>
      <c r="C1740" s="7">
        <f>IF(A1740="","",IFERROR(VLOOKUP(B1740,TblArticles,2,FALSE),"GTIN inconnu"))</f>
        <v/>
      </c>
      <c r="D1740" s="8">
        <f>IF(A1740="","",IFERROR(VLOOKUP(B1740,TblArticles,3,FALSE),""))</f>
        <v/>
      </c>
      <c r="E1740" s="9">
        <f>IFERROR(DATE(2000+VALUE(MID(A1740,FIND("15",A1740,FIND("01",A1740)+16)+2,2)),VALUE(MID(A1740,FIND("15",A1740,FIND("01",A1740)+16)+4,2)),VALUE(MID(A1740,FIND("15",A1740,FIND("01",A1740)+16)+6,2))),"")</f>
        <v/>
      </c>
      <c r="F1740" s="8">
        <f>IFERROR(MID(A1740,FIND("10",A1740,FIND("15",A1740,FIND("01",A1740)+16)+8)+2,50),"")</f>
        <v/>
      </c>
      <c r="G1740" s="8" t="n"/>
    </row>
    <row r="1741">
      <c r="A1741" s="4" t="n"/>
      <c r="B1741" s="5">
        <f>IFERROR(MID(A1741,FIND("01",A1741)+2,14),"")</f>
        <v/>
      </c>
      <c r="C1741" s="4">
        <f>IF(A1741="","",IFERROR(VLOOKUP(B1741,TblArticles,2,FALSE),"GTIN inconnu"))</f>
        <v/>
      </c>
      <c r="D1741" s="5">
        <f>IF(A1741="","",IFERROR(VLOOKUP(B1741,TblArticles,3,FALSE),""))</f>
        <v/>
      </c>
      <c r="E1741" s="6">
        <f>IFERROR(DATE(2000+VALUE(MID(A1741,FIND("15",A1741,FIND("01",A1741)+16)+2,2)),VALUE(MID(A1741,FIND("15",A1741,FIND("01",A1741)+16)+4,2)),VALUE(MID(A1741,FIND("15",A1741,FIND("01",A1741)+16)+6,2))),"")</f>
        <v/>
      </c>
      <c r="F1741" s="5">
        <f>IFERROR(MID(A1741,FIND("10",A1741,FIND("15",A1741,FIND("01",A1741)+16)+8)+2,50),"")</f>
        <v/>
      </c>
      <c r="G1741" s="5" t="n"/>
    </row>
    <row r="1742">
      <c r="A1742" s="7" t="n"/>
      <c r="B1742" s="8">
        <f>IFERROR(MID(A1742,FIND("01",A1742)+2,14),"")</f>
        <v/>
      </c>
      <c r="C1742" s="7">
        <f>IF(A1742="","",IFERROR(VLOOKUP(B1742,TblArticles,2,FALSE),"GTIN inconnu"))</f>
        <v/>
      </c>
      <c r="D1742" s="8">
        <f>IF(A1742="","",IFERROR(VLOOKUP(B1742,TblArticles,3,FALSE),""))</f>
        <v/>
      </c>
      <c r="E1742" s="9">
        <f>IFERROR(DATE(2000+VALUE(MID(A1742,FIND("15",A1742,FIND("01",A1742)+16)+2,2)),VALUE(MID(A1742,FIND("15",A1742,FIND("01",A1742)+16)+4,2)),VALUE(MID(A1742,FIND("15",A1742,FIND("01",A1742)+16)+6,2))),"")</f>
        <v/>
      </c>
      <c r="F1742" s="8">
        <f>IFERROR(MID(A1742,FIND("10",A1742,FIND("15",A1742,FIND("01",A1742)+16)+8)+2,50),"")</f>
        <v/>
      </c>
      <c r="G1742" s="8" t="n"/>
    </row>
    <row r="1743">
      <c r="A1743" s="4" t="n"/>
      <c r="B1743" s="5">
        <f>IFERROR(MID(A1743,FIND("01",A1743)+2,14),"")</f>
        <v/>
      </c>
      <c r="C1743" s="4">
        <f>IF(A1743="","",IFERROR(VLOOKUP(B1743,TblArticles,2,FALSE),"GTIN inconnu"))</f>
        <v/>
      </c>
      <c r="D1743" s="5">
        <f>IF(A1743="","",IFERROR(VLOOKUP(B1743,TblArticles,3,FALSE),""))</f>
        <v/>
      </c>
      <c r="E1743" s="6">
        <f>IFERROR(DATE(2000+VALUE(MID(A1743,FIND("15",A1743,FIND("01",A1743)+16)+2,2)),VALUE(MID(A1743,FIND("15",A1743,FIND("01",A1743)+16)+4,2)),VALUE(MID(A1743,FIND("15",A1743,FIND("01",A1743)+16)+6,2))),"")</f>
        <v/>
      </c>
      <c r="F1743" s="5">
        <f>IFERROR(MID(A1743,FIND("10",A1743,FIND("15",A1743,FIND("01",A1743)+16)+8)+2,50),"")</f>
        <v/>
      </c>
      <c r="G1743" s="5" t="n"/>
    </row>
    <row r="1744">
      <c r="A1744" s="7" t="n"/>
      <c r="B1744" s="8">
        <f>IFERROR(MID(A1744,FIND("01",A1744)+2,14),"")</f>
        <v/>
      </c>
      <c r="C1744" s="7">
        <f>IF(A1744="","",IFERROR(VLOOKUP(B1744,TblArticles,2,FALSE),"GTIN inconnu"))</f>
        <v/>
      </c>
      <c r="D1744" s="8">
        <f>IF(A1744="","",IFERROR(VLOOKUP(B1744,TblArticles,3,FALSE),""))</f>
        <v/>
      </c>
      <c r="E1744" s="9">
        <f>IFERROR(DATE(2000+VALUE(MID(A1744,FIND("15",A1744,FIND("01",A1744)+16)+2,2)),VALUE(MID(A1744,FIND("15",A1744,FIND("01",A1744)+16)+4,2)),VALUE(MID(A1744,FIND("15",A1744,FIND("01",A1744)+16)+6,2))),"")</f>
        <v/>
      </c>
      <c r="F1744" s="8">
        <f>IFERROR(MID(A1744,FIND("10",A1744,FIND("15",A1744,FIND("01",A1744)+16)+8)+2,50),"")</f>
        <v/>
      </c>
      <c r="G1744" s="8" t="n"/>
    </row>
    <row r="1745">
      <c r="A1745" s="4" t="n"/>
      <c r="B1745" s="5">
        <f>IFERROR(MID(A1745,FIND("01",A1745)+2,14),"")</f>
        <v/>
      </c>
      <c r="C1745" s="4">
        <f>IF(A1745="","",IFERROR(VLOOKUP(B1745,TblArticles,2,FALSE),"GTIN inconnu"))</f>
        <v/>
      </c>
      <c r="D1745" s="5">
        <f>IF(A1745="","",IFERROR(VLOOKUP(B1745,TblArticles,3,FALSE),""))</f>
        <v/>
      </c>
      <c r="E1745" s="6">
        <f>IFERROR(DATE(2000+VALUE(MID(A1745,FIND("15",A1745,FIND("01",A1745)+16)+2,2)),VALUE(MID(A1745,FIND("15",A1745,FIND("01",A1745)+16)+4,2)),VALUE(MID(A1745,FIND("15",A1745,FIND("01",A1745)+16)+6,2))),"")</f>
        <v/>
      </c>
      <c r="F1745" s="5">
        <f>IFERROR(MID(A1745,FIND("10",A1745,FIND("15",A1745,FIND("01",A1745)+16)+8)+2,50),"")</f>
        <v/>
      </c>
      <c r="G1745" s="5" t="n"/>
    </row>
    <row r="1746">
      <c r="A1746" s="7" t="n"/>
      <c r="B1746" s="8">
        <f>IFERROR(MID(A1746,FIND("01",A1746)+2,14),"")</f>
        <v/>
      </c>
      <c r="C1746" s="7">
        <f>IF(A1746="","",IFERROR(VLOOKUP(B1746,TblArticles,2,FALSE),"GTIN inconnu"))</f>
        <v/>
      </c>
      <c r="D1746" s="8">
        <f>IF(A1746="","",IFERROR(VLOOKUP(B1746,TblArticles,3,FALSE),""))</f>
        <v/>
      </c>
      <c r="E1746" s="9">
        <f>IFERROR(DATE(2000+VALUE(MID(A1746,FIND("15",A1746,FIND("01",A1746)+16)+2,2)),VALUE(MID(A1746,FIND("15",A1746,FIND("01",A1746)+16)+4,2)),VALUE(MID(A1746,FIND("15",A1746,FIND("01",A1746)+16)+6,2))),"")</f>
        <v/>
      </c>
      <c r="F1746" s="8">
        <f>IFERROR(MID(A1746,FIND("10",A1746,FIND("15",A1746,FIND("01",A1746)+16)+8)+2,50),"")</f>
        <v/>
      </c>
      <c r="G1746" s="8" t="n"/>
    </row>
    <row r="1747">
      <c r="A1747" s="4" t="n"/>
      <c r="B1747" s="5">
        <f>IFERROR(MID(A1747,FIND("01",A1747)+2,14),"")</f>
        <v/>
      </c>
      <c r="C1747" s="4">
        <f>IF(A1747="","",IFERROR(VLOOKUP(B1747,TblArticles,2,FALSE),"GTIN inconnu"))</f>
        <v/>
      </c>
      <c r="D1747" s="5">
        <f>IF(A1747="","",IFERROR(VLOOKUP(B1747,TblArticles,3,FALSE),""))</f>
        <v/>
      </c>
      <c r="E1747" s="6">
        <f>IFERROR(DATE(2000+VALUE(MID(A1747,FIND("15",A1747,FIND("01",A1747)+16)+2,2)),VALUE(MID(A1747,FIND("15",A1747,FIND("01",A1747)+16)+4,2)),VALUE(MID(A1747,FIND("15",A1747,FIND("01",A1747)+16)+6,2))),"")</f>
        <v/>
      </c>
      <c r="F1747" s="5">
        <f>IFERROR(MID(A1747,FIND("10",A1747,FIND("15",A1747,FIND("01",A1747)+16)+8)+2,50),"")</f>
        <v/>
      </c>
      <c r="G1747" s="5" t="n"/>
    </row>
    <row r="1748">
      <c r="A1748" s="7" t="n"/>
      <c r="B1748" s="8">
        <f>IFERROR(MID(A1748,FIND("01",A1748)+2,14),"")</f>
        <v/>
      </c>
      <c r="C1748" s="7">
        <f>IF(A1748="","",IFERROR(VLOOKUP(B1748,TblArticles,2,FALSE),"GTIN inconnu"))</f>
        <v/>
      </c>
      <c r="D1748" s="8">
        <f>IF(A1748="","",IFERROR(VLOOKUP(B1748,TblArticles,3,FALSE),""))</f>
        <v/>
      </c>
      <c r="E1748" s="9">
        <f>IFERROR(DATE(2000+VALUE(MID(A1748,FIND("15",A1748,FIND("01",A1748)+16)+2,2)),VALUE(MID(A1748,FIND("15",A1748,FIND("01",A1748)+16)+4,2)),VALUE(MID(A1748,FIND("15",A1748,FIND("01",A1748)+16)+6,2))),"")</f>
        <v/>
      </c>
      <c r="F1748" s="8">
        <f>IFERROR(MID(A1748,FIND("10",A1748,FIND("15",A1748,FIND("01",A1748)+16)+8)+2,50),"")</f>
        <v/>
      </c>
      <c r="G1748" s="8" t="n"/>
    </row>
    <row r="1749">
      <c r="A1749" s="4" t="n"/>
      <c r="B1749" s="5">
        <f>IFERROR(MID(A1749,FIND("01",A1749)+2,14),"")</f>
        <v/>
      </c>
      <c r="C1749" s="4">
        <f>IF(A1749="","",IFERROR(VLOOKUP(B1749,TblArticles,2,FALSE),"GTIN inconnu"))</f>
        <v/>
      </c>
      <c r="D1749" s="5">
        <f>IF(A1749="","",IFERROR(VLOOKUP(B1749,TblArticles,3,FALSE),""))</f>
        <v/>
      </c>
      <c r="E1749" s="6">
        <f>IFERROR(DATE(2000+VALUE(MID(A1749,FIND("15",A1749,FIND("01",A1749)+16)+2,2)),VALUE(MID(A1749,FIND("15",A1749,FIND("01",A1749)+16)+4,2)),VALUE(MID(A1749,FIND("15",A1749,FIND("01",A1749)+16)+6,2))),"")</f>
        <v/>
      </c>
      <c r="F1749" s="5">
        <f>IFERROR(MID(A1749,FIND("10",A1749,FIND("15",A1749,FIND("01",A1749)+16)+8)+2,50),"")</f>
        <v/>
      </c>
      <c r="G1749" s="5" t="n"/>
    </row>
    <row r="1750">
      <c r="A1750" s="7" t="n"/>
      <c r="B1750" s="8">
        <f>IFERROR(MID(A1750,FIND("01",A1750)+2,14),"")</f>
        <v/>
      </c>
      <c r="C1750" s="7">
        <f>IF(A1750="","",IFERROR(VLOOKUP(B1750,TblArticles,2,FALSE),"GTIN inconnu"))</f>
        <v/>
      </c>
      <c r="D1750" s="8">
        <f>IF(A1750="","",IFERROR(VLOOKUP(B1750,TblArticles,3,FALSE),""))</f>
        <v/>
      </c>
      <c r="E1750" s="9">
        <f>IFERROR(DATE(2000+VALUE(MID(A1750,FIND("15",A1750,FIND("01",A1750)+16)+2,2)),VALUE(MID(A1750,FIND("15",A1750,FIND("01",A1750)+16)+4,2)),VALUE(MID(A1750,FIND("15",A1750,FIND("01",A1750)+16)+6,2))),"")</f>
        <v/>
      </c>
      <c r="F1750" s="8">
        <f>IFERROR(MID(A1750,FIND("10",A1750,FIND("15",A1750,FIND("01",A1750)+16)+8)+2,50),"")</f>
        <v/>
      </c>
      <c r="G1750" s="8" t="n"/>
    </row>
    <row r="1751">
      <c r="A1751" s="4" t="n"/>
      <c r="B1751" s="5">
        <f>IFERROR(MID(A1751,FIND("01",A1751)+2,14),"")</f>
        <v/>
      </c>
      <c r="C1751" s="4">
        <f>IF(A1751="","",IFERROR(VLOOKUP(B1751,TblArticles,2,FALSE),"GTIN inconnu"))</f>
        <v/>
      </c>
      <c r="D1751" s="5">
        <f>IF(A1751="","",IFERROR(VLOOKUP(B1751,TblArticles,3,FALSE),""))</f>
        <v/>
      </c>
      <c r="E1751" s="6">
        <f>IFERROR(DATE(2000+VALUE(MID(A1751,FIND("15",A1751,FIND("01",A1751)+16)+2,2)),VALUE(MID(A1751,FIND("15",A1751,FIND("01",A1751)+16)+4,2)),VALUE(MID(A1751,FIND("15",A1751,FIND("01",A1751)+16)+6,2))),"")</f>
        <v/>
      </c>
      <c r="F1751" s="5">
        <f>IFERROR(MID(A1751,FIND("10",A1751,FIND("15",A1751,FIND("01",A1751)+16)+8)+2,50),"")</f>
        <v/>
      </c>
      <c r="G1751" s="5" t="n"/>
    </row>
    <row r="1752">
      <c r="A1752" s="7" t="n"/>
      <c r="B1752" s="8">
        <f>IFERROR(MID(A1752,FIND("01",A1752)+2,14),"")</f>
        <v/>
      </c>
      <c r="C1752" s="7">
        <f>IF(A1752="","",IFERROR(VLOOKUP(B1752,TblArticles,2,FALSE),"GTIN inconnu"))</f>
        <v/>
      </c>
      <c r="D1752" s="8">
        <f>IF(A1752="","",IFERROR(VLOOKUP(B1752,TblArticles,3,FALSE),""))</f>
        <v/>
      </c>
      <c r="E1752" s="9">
        <f>IFERROR(DATE(2000+VALUE(MID(A1752,FIND("15",A1752,FIND("01",A1752)+16)+2,2)),VALUE(MID(A1752,FIND("15",A1752,FIND("01",A1752)+16)+4,2)),VALUE(MID(A1752,FIND("15",A1752,FIND("01",A1752)+16)+6,2))),"")</f>
        <v/>
      </c>
      <c r="F1752" s="8">
        <f>IFERROR(MID(A1752,FIND("10",A1752,FIND("15",A1752,FIND("01",A1752)+16)+8)+2,50),"")</f>
        <v/>
      </c>
      <c r="G1752" s="8" t="n"/>
    </row>
    <row r="1753">
      <c r="A1753" s="4" t="n"/>
      <c r="B1753" s="5">
        <f>IFERROR(MID(A1753,FIND("01",A1753)+2,14),"")</f>
        <v/>
      </c>
      <c r="C1753" s="4">
        <f>IF(A1753="","",IFERROR(VLOOKUP(B1753,TblArticles,2,FALSE),"GTIN inconnu"))</f>
        <v/>
      </c>
      <c r="D1753" s="5">
        <f>IF(A1753="","",IFERROR(VLOOKUP(B1753,TblArticles,3,FALSE),""))</f>
        <v/>
      </c>
      <c r="E1753" s="6">
        <f>IFERROR(DATE(2000+VALUE(MID(A1753,FIND("15",A1753,FIND("01",A1753)+16)+2,2)),VALUE(MID(A1753,FIND("15",A1753,FIND("01",A1753)+16)+4,2)),VALUE(MID(A1753,FIND("15",A1753,FIND("01",A1753)+16)+6,2))),"")</f>
        <v/>
      </c>
      <c r="F1753" s="5">
        <f>IFERROR(MID(A1753,FIND("10",A1753,FIND("15",A1753,FIND("01",A1753)+16)+8)+2,50),"")</f>
        <v/>
      </c>
      <c r="G1753" s="5" t="n"/>
    </row>
    <row r="1754">
      <c r="A1754" s="7" t="n"/>
      <c r="B1754" s="8">
        <f>IFERROR(MID(A1754,FIND("01",A1754)+2,14),"")</f>
        <v/>
      </c>
      <c r="C1754" s="7">
        <f>IF(A1754="","",IFERROR(VLOOKUP(B1754,TblArticles,2,FALSE),"GTIN inconnu"))</f>
        <v/>
      </c>
      <c r="D1754" s="8">
        <f>IF(A1754="","",IFERROR(VLOOKUP(B1754,TblArticles,3,FALSE),""))</f>
        <v/>
      </c>
      <c r="E1754" s="9">
        <f>IFERROR(DATE(2000+VALUE(MID(A1754,FIND("15",A1754,FIND("01",A1754)+16)+2,2)),VALUE(MID(A1754,FIND("15",A1754,FIND("01",A1754)+16)+4,2)),VALUE(MID(A1754,FIND("15",A1754,FIND("01",A1754)+16)+6,2))),"")</f>
        <v/>
      </c>
      <c r="F1754" s="8">
        <f>IFERROR(MID(A1754,FIND("10",A1754,FIND("15",A1754,FIND("01",A1754)+16)+8)+2,50),"")</f>
        <v/>
      </c>
      <c r="G1754" s="8" t="n"/>
    </row>
    <row r="1755">
      <c r="A1755" s="4" t="n"/>
      <c r="B1755" s="5">
        <f>IFERROR(MID(A1755,FIND("01",A1755)+2,14),"")</f>
        <v/>
      </c>
      <c r="C1755" s="4">
        <f>IF(A1755="","",IFERROR(VLOOKUP(B1755,TblArticles,2,FALSE),"GTIN inconnu"))</f>
        <v/>
      </c>
      <c r="D1755" s="5">
        <f>IF(A1755="","",IFERROR(VLOOKUP(B1755,TblArticles,3,FALSE),""))</f>
        <v/>
      </c>
      <c r="E1755" s="6">
        <f>IFERROR(DATE(2000+VALUE(MID(A1755,FIND("15",A1755,FIND("01",A1755)+16)+2,2)),VALUE(MID(A1755,FIND("15",A1755,FIND("01",A1755)+16)+4,2)),VALUE(MID(A1755,FIND("15",A1755,FIND("01",A1755)+16)+6,2))),"")</f>
        <v/>
      </c>
      <c r="F1755" s="5">
        <f>IFERROR(MID(A1755,FIND("10",A1755,FIND("15",A1755,FIND("01",A1755)+16)+8)+2,50),"")</f>
        <v/>
      </c>
      <c r="G1755" s="5" t="n"/>
    </row>
    <row r="1756">
      <c r="A1756" s="7" t="n"/>
      <c r="B1756" s="8">
        <f>IFERROR(MID(A1756,FIND("01",A1756)+2,14),"")</f>
        <v/>
      </c>
      <c r="C1756" s="7">
        <f>IF(A1756="","",IFERROR(VLOOKUP(B1756,TblArticles,2,FALSE),"GTIN inconnu"))</f>
        <v/>
      </c>
      <c r="D1756" s="8">
        <f>IF(A1756="","",IFERROR(VLOOKUP(B1756,TblArticles,3,FALSE),""))</f>
        <v/>
      </c>
      <c r="E1756" s="9">
        <f>IFERROR(DATE(2000+VALUE(MID(A1756,FIND("15",A1756,FIND("01",A1756)+16)+2,2)),VALUE(MID(A1756,FIND("15",A1756,FIND("01",A1756)+16)+4,2)),VALUE(MID(A1756,FIND("15",A1756,FIND("01",A1756)+16)+6,2))),"")</f>
        <v/>
      </c>
      <c r="F1756" s="8">
        <f>IFERROR(MID(A1756,FIND("10",A1756,FIND("15",A1756,FIND("01",A1756)+16)+8)+2,50),"")</f>
        <v/>
      </c>
      <c r="G1756" s="8" t="n"/>
    </row>
    <row r="1757">
      <c r="A1757" s="4" t="n"/>
      <c r="B1757" s="5">
        <f>IFERROR(MID(A1757,FIND("01",A1757)+2,14),"")</f>
        <v/>
      </c>
      <c r="C1757" s="4">
        <f>IF(A1757="","",IFERROR(VLOOKUP(B1757,TblArticles,2,FALSE),"GTIN inconnu"))</f>
        <v/>
      </c>
      <c r="D1757" s="5">
        <f>IF(A1757="","",IFERROR(VLOOKUP(B1757,TblArticles,3,FALSE),""))</f>
        <v/>
      </c>
      <c r="E1757" s="6">
        <f>IFERROR(DATE(2000+VALUE(MID(A1757,FIND("15",A1757,FIND("01",A1757)+16)+2,2)),VALUE(MID(A1757,FIND("15",A1757,FIND("01",A1757)+16)+4,2)),VALUE(MID(A1757,FIND("15",A1757,FIND("01",A1757)+16)+6,2))),"")</f>
        <v/>
      </c>
      <c r="F1757" s="5">
        <f>IFERROR(MID(A1757,FIND("10",A1757,FIND("15",A1757,FIND("01",A1757)+16)+8)+2,50),"")</f>
        <v/>
      </c>
      <c r="G1757" s="5" t="n"/>
    </row>
    <row r="1758">
      <c r="A1758" s="7" t="n"/>
      <c r="B1758" s="8">
        <f>IFERROR(MID(A1758,FIND("01",A1758)+2,14),"")</f>
        <v/>
      </c>
      <c r="C1758" s="7">
        <f>IF(A1758="","",IFERROR(VLOOKUP(B1758,TblArticles,2,FALSE),"GTIN inconnu"))</f>
        <v/>
      </c>
      <c r="D1758" s="8">
        <f>IF(A1758="","",IFERROR(VLOOKUP(B1758,TblArticles,3,FALSE),""))</f>
        <v/>
      </c>
      <c r="E1758" s="9">
        <f>IFERROR(DATE(2000+VALUE(MID(A1758,FIND("15",A1758,FIND("01",A1758)+16)+2,2)),VALUE(MID(A1758,FIND("15",A1758,FIND("01",A1758)+16)+4,2)),VALUE(MID(A1758,FIND("15",A1758,FIND("01",A1758)+16)+6,2))),"")</f>
        <v/>
      </c>
      <c r="F1758" s="8">
        <f>IFERROR(MID(A1758,FIND("10",A1758,FIND("15",A1758,FIND("01",A1758)+16)+8)+2,50),"")</f>
        <v/>
      </c>
      <c r="G1758" s="8" t="n"/>
    </row>
    <row r="1759">
      <c r="A1759" s="4" t="n"/>
      <c r="B1759" s="5">
        <f>IFERROR(MID(A1759,FIND("01",A1759)+2,14),"")</f>
        <v/>
      </c>
      <c r="C1759" s="4">
        <f>IF(A1759="","",IFERROR(VLOOKUP(B1759,TblArticles,2,FALSE),"GTIN inconnu"))</f>
        <v/>
      </c>
      <c r="D1759" s="5">
        <f>IF(A1759="","",IFERROR(VLOOKUP(B1759,TblArticles,3,FALSE),""))</f>
        <v/>
      </c>
      <c r="E1759" s="6">
        <f>IFERROR(DATE(2000+VALUE(MID(A1759,FIND("15",A1759,FIND("01",A1759)+16)+2,2)),VALUE(MID(A1759,FIND("15",A1759,FIND("01",A1759)+16)+4,2)),VALUE(MID(A1759,FIND("15",A1759,FIND("01",A1759)+16)+6,2))),"")</f>
        <v/>
      </c>
      <c r="F1759" s="5">
        <f>IFERROR(MID(A1759,FIND("10",A1759,FIND("15",A1759,FIND("01",A1759)+16)+8)+2,50),"")</f>
        <v/>
      </c>
      <c r="G1759" s="5" t="n"/>
    </row>
    <row r="1760">
      <c r="A1760" s="7" t="n"/>
      <c r="B1760" s="8">
        <f>IFERROR(MID(A1760,FIND("01",A1760)+2,14),"")</f>
        <v/>
      </c>
      <c r="C1760" s="7">
        <f>IF(A1760="","",IFERROR(VLOOKUP(B1760,TblArticles,2,FALSE),"GTIN inconnu"))</f>
        <v/>
      </c>
      <c r="D1760" s="8">
        <f>IF(A1760="","",IFERROR(VLOOKUP(B1760,TblArticles,3,FALSE),""))</f>
        <v/>
      </c>
      <c r="E1760" s="9">
        <f>IFERROR(DATE(2000+VALUE(MID(A1760,FIND("15",A1760,FIND("01",A1760)+16)+2,2)),VALUE(MID(A1760,FIND("15",A1760,FIND("01",A1760)+16)+4,2)),VALUE(MID(A1760,FIND("15",A1760,FIND("01",A1760)+16)+6,2))),"")</f>
        <v/>
      </c>
      <c r="F1760" s="8">
        <f>IFERROR(MID(A1760,FIND("10",A1760,FIND("15",A1760,FIND("01",A1760)+16)+8)+2,50),"")</f>
        <v/>
      </c>
      <c r="G1760" s="8" t="n"/>
    </row>
    <row r="1761">
      <c r="A1761" s="4" t="n"/>
      <c r="B1761" s="5">
        <f>IFERROR(MID(A1761,FIND("01",A1761)+2,14),"")</f>
        <v/>
      </c>
      <c r="C1761" s="4">
        <f>IF(A1761="","",IFERROR(VLOOKUP(B1761,TblArticles,2,FALSE),"GTIN inconnu"))</f>
        <v/>
      </c>
      <c r="D1761" s="5">
        <f>IF(A1761="","",IFERROR(VLOOKUP(B1761,TblArticles,3,FALSE),""))</f>
        <v/>
      </c>
      <c r="E1761" s="6">
        <f>IFERROR(DATE(2000+VALUE(MID(A1761,FIND("15",A1761,FIND("01",A1761)+16)+2,2)),VALUE(MID(A1761,FIND("15",A1761,FIND("01",A1761)+16)+4,2)),VALUE(MID(A1761,FIND("15",A1761,FIND("01",A1761)+16)+6,2))),"")</f>
        <v/>
      </c>
      <c r="F1761" s="5">
        <f>IFERROR(MID(A1761,FIND("10",A1761,FIND("15",A1761,FIND("01",A1761)+16)+8)+2,50),"")</f>
        <v/>
      </c>
      <c r="G1761" s="5" t="n"/>
    </row>
    <row r="1762">
      <c r="A1762" s="7" t="n"/>
      <c r="B1762" s="8">
        <f>IFERROR(MID(A1762,FIND("01",A1762)+2,14),"")</f>
        <v/>
      </c>
      <c r="C1762" s="7">
        <f>IF(A1762="","",IFERROR(VLOOKUP(B1762,TblArticles,2,FALSE),"GTIN inconnu"))</f>
        <v/>
      </c>
      <c r="D1762" s="8">
        <f>IF(A1762="","",IFERROR(VLOOKUP(B1762,TblArticles,3,FALSE),""))</f>
        <v/>
      </c>
      <c r="E1762" s="9">
        <f>IFERROR(DATE(2000+VALUE(MID(A1762,FIND("15",A1762,FIND("01",A1762)+16)+2,2)),VALUE(MID(A1762,FIND("15",A1762,FIND("01",A1762)+16)+4,2)),VALUE(MID(A1762,FIND("15",A1762,FIND("01",A1762)+16)+6,2))),"")</f>
        <v/>
      </c>
      <c r="F1762" s="8">
        <f>IFERROR(MID(A1762,FIND("10",A1762,FIND("15",A1762,FIND("01",A1762)+16)+8)+2,50),"")</f>
        <v/>
      </c>
      <c r="G1762" s="8" t="n"/>
    </row>
    <row r="1763">
      <c r="A1763" s="4" t="n"/>
      <c r="B1763" s="5">
        <f>IFERROR(MID(A1763,FIND("01",A1763)+2,14),"")</f>
        <v/>
      </c>
      <c r="C1763" s="4">
        <f>IF(A1763="","",IFERROR(VLOOKUP(B1763,TblArticles,2,FALSE),"GTIN inconnu"))</f>
        <v/>
      </c>
      <c r="D1763" s="5">
        <f>IF(A1763="","",IFERROR(VLOOKUP(B1763,TblArticles,3,FALSE),""))</f>
        <v/>
      </c>
      <c r="E1763" s="6">
        <f>IFERROR(DATE(2000+VALUE(MID(A1763,FIND("15",A1763,FIND("01",A1763)+16)+2,2)),VALUE(MID(A1763,FIND("15",A1763,FIND("01",A1763)+16)+4,2)),VALUE(MID(A1763,FIND("15",A1763,FIND("01",A1763)+16)+6,2))),"")</f>
        <v/>
      </c>
      <c r="F1763" s="5">
        <f>IFERROR(MID(A1763,FIND("10",A1763,FIND("15",A1763,FIND("01",A1763)+16)+8)+2,50),"")</f>
        <v/>
      </c>
      <c r="G1763" s="5" t="n"/>
    </row>
    <row r="1764">
      <c r="A1764" s="7" t="n"/>
      <c r="B1764" s="8">
        <f>IFERROR(MID(A1764,FIND("01",A1764)+2,14),"")</f>
        <v/>
      </c>
      <c r="C1764" s="7">
        <f>IF(A1764="","",IFERROR(VLOOKUP(B1764,TblArticles,2,FALSE),"GTIN inconnu"))</f>
        <v/>
      </c>
      <c r="D1764" s="8">
        <f>IF(A1764="","",IFERROR(VLOOKUP(B1764,TblArticles,3,FALSE),""))</f>
        <v/>
      </c>
      <c r="E1764" s="9">
        <f>IFERROR(DATE(2000+VALUE(MID(A1764,FIND("15",A1764,FIND("01",A1764)+16)+2,2)),VALUE(MID(A1764,FIND("15",A1764,FIND("01",A1764)+16)+4,2)),VALUE(MID(A1764,FIND("15",A1764,FIND("01",A1764)+16)+6,2))),"")</f>
        <v/>
      </c>
      <c r="F1764" s="8">
        <f>IFERROR(MID(A1764,FIND("10",A1764,FIND("15",A1764,FIND("01",A1764)+16)+8)+2,50),"")</f>
        <v/>
      </c>
      <c r="G1764" s="8" t="n"/>
    </row>
    <row r="1765">
      <c r="A1765" s="4" t="n"/>
      <c r="B1765" s="5">
        <f>IFERROR(MID(A1765,FIND("01",A1765)+2,14),"")</f>
        <v/>
      </c>
      <c r="C1765" s="4">
        <f>IF(A1765="","",IFERROR(VLOOKUP(B1765,TblArticles,2,FALSE),"GTIN inconnu"))</f>
        <v/>
      </c>
      <c r="D1765" s="5">
        <f>IF(A1765="","",IFERROR(VLOOKUP(B1765,TblArticles,3,FALSE),""))</f>
        <v/>
      </c>
      <c r="E1765" s="6">
        <f>IFERROR(DATE(2000+VALUE(MID(A1765,FIND("15",A1765,FIND("01",A1765)+16)+2,2)),VALUE(MID(A1765,FIND("15",A1765,FIND("01",A1765)+16)+4,2)),VALUE(MID(A1765,FIND("15",A1765,FIND("01",A1765)+16)+6,2))),"")</f>
        <v/>
      </c>
      <c r="F1765" s="5">
        <f>IFERROR(MID(A1765,FIND("10",A1765,FIND("15",A1765,FIND("01",A1765)+16)+8)+2,50),"")</f>
        <v/>
      </c>
      <c r="G1765" s="5" t="n"/>
    </row>
    <row r="1766">
      <c r="A1766" s="7" t="n"/>
      <c r="B1766" s="8">
        <f>IFERROR(MID(A1766,FIND("01",A1766)+2,14),"")</f>
        <v/>
      </c>
      <c r="C1766" s="7">
        <f>IF(A1766="","",IFERROR(VLOOKUP(B1766,TblArticles,2,FALSE),"GTIN inconnu"))</f>
        <v/>
      </c>
      <c r="D1766" s="8">
        <f>IF(A1766="","",IFERROR(VLOOKUP(B1766,TblArticles,3,FALSE),""))</f>
        <v/>
      </c>
      <c r="E1766" s="9">
        <f>IFERROR(DATE(2000+VALUE(MID(A1766,FIND("15",A1766,FIND("01",A1766)+16)+2,2)),VALUE(MID(A1766,FIND("15",A1766,FIND("01",A1766)+16)+4,2)),VALUE(MID(A1766,FIND("15",A1766,FIND("01",A1766)+16)+6,2))),"")</f>
        <v/>
      </c>
      <c r="F1766" s="8">
        <f>IFERROR(MID(A1766,FIND("10",A1766,FIND("15",A1766,FIND("01",A1766)+16)+8)+2,50),"")</f>
        <v/>
      </c>
      <c r="G1766" s="8" t="n"/>
    </row>
    <row r="1767">
      <c r="A1767" s="4" t="n"/>
      <c r="B1767" s="5">
        <f>IFERROR(MID(A1767,FIND("01",A1767)+2,14),"")</f>
        <v/>
      </c>
      <c r="C1767" s="4">
        <f>IF(A1767="","",IFERROR(VLOOKUP(B1767,TblArticles,2,FALSE),"GTIN inconnu"))</f>
        <v/>
      </c>
      <c r="D1767" s="5">
        <f>IF(A1767="","",IFERROR(VLOOKUP(B1767,TblArticles,3,FALSE),""))</f>
        <v/>
      </c>
      <c r="E1767" s="6">
        <f>IFERROR(DATE(2000+VALUE(MID(A1767,FIND("15",A1767,FIND("01",A1767)+16)+2,2)),VALUE(MID(A1767,FIND("15",A1767,FIND("01",A1767)+16)+4,2)),VALUE(MID(A1767,FIND("15",A1767,FIND("01",A1767)+16)+6,2))),"")</f>
        <v/>
      </c>
      <c r="F1767" s="5">
        <f>IFERROR(MID(A1767,FIND("10",A1767,FIND("15",A1767,FIND("01",A1767)+16)+8)+2,50),"")</f>
        <v/>
      </c>
      <c r="G1767" s="5" t="n"/>
    </row>
    <row r="1768">
      <c r="A1768" s="7" t="n"/>
      <c r="B1768" s="8">
        <f>IFERROR(MID(A1768,FIND("01",A1768)+2,14),"")</f>
        <v/>
      </c>
      <c r="C1768" s="7">
        <f>IF(A1768="","",IFERROR(VLOOKUP(B1768,TblArticles,2,FALSE),"GTIN inconnu"))</f>
        <v/>
      </c>
      <c r="D1768" s="8">
        <f>IF(A1768="","",IFERROR(VLOOKUP(B1768,TblArticles,3,FALSE),""))</f>
        <v/>
      </c>
      <c r="E1768" s="9">
        <f>IFERROR(DATE(2000+VALUE(MID(A1768,FIND("15",A1768,FIND("01",A1768)+16)+2,2)),VALUE(MID(A1768,FIND("15",A1768,FIND("01",A1768)+16)+4,2)),VALUE(MID(A1768,FIND("15",A1768,FIND("01",A1768)+16)+6,2))),"")</f>
        <v/>
      </c>
      <c r="F1768" s="8">
        <f>IFERROR(MID(A1768,FIND("10",A1768,FIND("15",A1768,FIND("01",A1768)+16)+8)+2,50),"")</f>
        <v/>
      </c>
      <c r="G1768" s="8" t="n"/>
    </row>
    <row r="1769">
      <c r="A1769" s="4" t="n"/>
      <c r="B1769" s="5">
        <f>IFERROR(MID(A1769,FIND("01",A1769)+2,14),"")</f>
        <v/>
      </c>
      <c r="C1769" s="4">
        <f>IF(A1769="","",IFERROR(VLOOKUP(B1769,TblArticles,2,FALSE),"GTIN inconnu"))</f>
        <v/>
      </c>
      <c r="D1769" s="5">
        <f>IF(A1769="","",IFERROR(VLOOKUP(B1769,TblArticles,3,FALSE),""))</f>
        <v/>
      </c>
      <c r="E1769" s="6">
        <f>IFERROR(DATE(2000+VALUE(MID(A1769,FIND("15",A1769,FIND("01",A1769)+16)+2,2)),VALUE(MID(A1769,FIND("15",A1769,FIND("01",A1769)+16)+4,2)),VALUE(MID(A1769,FIND("15",A1769,FIND("01",A1769)+16)+6,2))),"")</f>
        <v/>
      </c>
      <c r="F1769" s="5">
        <f>IFERROR(MID(A1769,FIND("10",A1769,FIND("15",A1769,FIND("01",A1769)+16)+8)+2,50),"")</f>
        <v/>
      </c>
      <c r="G1769" s="5" t="n"/>
    </row>
    <row r="1770">
      <c r="A1770" s="7" t="n"/>
      <c r="B1770" s="8">
        <f>IFERROR(MID(A1770,FIND("01",A1770)+2,14),"")</f>
        <v/>
      </c>
      <c r="C1770" s="7">
        <f>IF(A1770="","",IFERROR(VLOOKUP(B1770,TblArticles,2,FALSE),"GTIN inconnu"))</f>
        <v/>
      </c>
      <c r="D1770" s="8">
        <f>IF(A1770="","",IFERROR(VLOOKUP(B1770,TblArticles,3,FALSE),""))</f>
        <v/>
      </c>
      <c r="E1770" s="9">
        <f>IFERROR(DATE(2000+VALUE(MID(A1770,FIND("15",A1770,FIND("01",A1770)+16)+2,2)),VALUE(MID(A1770,FIND("15",A1770,FIND("01",A1770)+16)+4,2)),VALUE(MID(A1770,FIND("15",A1770,FIND("01",A1770)+16)+6,2))),"")</f>
        <v/>
      </c>
      <c r="F1770" s="8">
        <f>IFERROR(MID(A1770,FIND("10",A1770,FIND("15",A1770,FIND("01",A1770)+16)+8)+2,50),"")</f>
        <v/>
      </c>
      <c r="G1770" s="8" t="n"/>
    </row>
    <row r="1771">
      <c r="A1771" s="4" t="n"/>
      <c r="B1771" s="5">
        <f>IFERROR(MID(A1771,FIND("01",A1771)+2,14),"")</f>
        <v/>
      </c>
      <c r="C1771" s="4">
        <f>IF(A1771="","",IFERROR(VLOOKUP(B1771,TblArticles,2,FALSE),"GTIN inconnu"))</f>
        <v/>
      </c>
      <c r="D1771" s="5">
        <f>IF(A1771="","",IFERROR(VLOOKUP(B1771,TblArticles,3,FALSE),""))</f>
        <v/>
      </c>
      <c r="E1771" s="6">
        <f>IFERROR(DATE(2000+VALUE(MID(A1771,FIND("15",A1771,FIND("01",A1771)+16)+2,2)),VALUE(MID(A1771,FIND("15",A1771,FIND("01",A1771)+16)+4,2)),VALUE(MID(A1771,FIND("15",A1771,FIND("01",A1771)+16)+6,2))),"")</f>
        <v/>
      </c>
      <c r="F1771" s="5">
        <f>IFERROR(MID(A1771,FIND("10",A1771,FIND("15",A1771,FIND("01",A1771)+16)+8)+2,50),"")</f>
        <v/>
      </c>
      <c r="G1771" s="5" t="n"/>
    </row>
    <row r="1772">
      <c r="A1772" s="7" t="n"/>
      <c r="B1772" s="8">
        <f>IFERROR(MID(A1772,FIND("01",A1772)+2,14),"")</f>
        <v/>
      </c>
      <c r="C1772" s="7">
        <f>IF(A1772="","",IFERROR(VLOOKUP(B1772,TblArticles,2,FALSE),"GTIN inconnu"))</f>
        <v/>
      </c>
      <c r="D1772" s="8">
        <f>IF(A1772="","",IFERROR(VLOOKUP(B1772,TblArticles,3,FALSE),""))</f>
        <v/>
      </c>
      <c r="E1772" s="9">
        <f>IFERROR(DATE(2000+VALUE(MID(A1772,FIND("15",A1772,FIND("01",A1772)+16)+2,2)),VALUE(MID(A1772,FIND("15",A1772,FIND("01",A1772)+16)+4,2)),VALUE(MID(A1772,FIND("15",A1772,FIND("01",A1772)+16)+6,2))),"")</f>
        <v/>
      </c>
      <c r="F1772" s="8">
        <f>IFERROR(MID(A1772,FIND("10",A1772,FIND("15",A1772,FIND("01",A1772)+16)+8)+2,50),"")</f>
        <v/>
      </c>
      <c r="G1772" s="8" t="n"/>
    </row>
    <row r="1773">
      <c r="A1773" s="4" t="n"/>
      <c r="B1773" s="5">
        <f>IFERROR(MID(A1773,FIND("01",A1773)+2,14),"")</f>
        <v/>
      </c>
      <c r="C1773" s="4">
        <f>IF(A1773="","",IFERROR(VLOOKUP(B1773,TblArticles,2,FALSE),"GTIN inconnu"))</f>
        <v/>
      </c>
      <c r="D1773" s="5">
        <f>IF(A1773="","",IFERROR(VLOOKUP(B1773,TblArticles,3,FALSE),""))</f>
        <v/>
      </c>
      <c r="E1773" s="6">
        <f>IFERROR(DATE(2000+VALUE(MID(A1773,FIND("15",A1773,FIND("01",A1773)+16)+2,2)),VALUE(MID(A1773,FIND("15",A1773,FIND("01",A1773)+16)+4,2)),VALUE(MID(A1773,FIND("15",A1773,FIND("01",A1773)+16)+6,2))),"")</f>
        <v/>
      </c>
      <c r="F1773" s="5">
        <f>IFERROR(MID(A1773,FIND("10",A1773,FIND("15",A1773,FIND("01",A1773)+16)+8)+2,50),"")</f>
        <v/>
      </c>
      <c r="G1773" s="5" t="n"/>
    </row>
    <row r="1774">
      <c r="A1774" s="7" t="n"/>
      <c r="B1774" s="8">
        <f>IFERROR(MID(A1774,FIND("01",A1774)+2,14),"")</f>
        <v/>
      </c>
      <c r="C1774" s="7">
        <f>IF(A1774="","",IFERROR(VLOOKUP(B1774,TblArticles,2,FALSE),"GTIN inconnu"))</f>
        <v/>
      </c>
      <c r="D1774" s="8">
        <f>IF(A1774="","",IFERROR(VLOOKUP(B1774,TblArticles,3,FALSE),""))</f>
        <v/>
      </c>
      <c r="E1774" s="9">
        <f>IFERROR(DATE(2000+VALUE(MID(A1774,FIND("15",A1774,FIND("01",A1774)+16)+2,2)),VALUE(MID(A1774,FIND("15",A1774,FIND("01",A1774)+16)+4,2)),VALUE(MID(A1774,FIND("15",A1774,FIND("01",A1774)+16)+6,2))),"")</f>
        <v/>
      </c>
      <c r="F1774" s="8">
        <f>IFERROR(MID(A1774,FIND("10",A1774,FIND("15",A1774,FIND("01",A1774)+16)+8)+2,50),"")</f>
        <v/>
      </c>
      <c r="G1774" s="8" t="n"/>
    </row>
    <row r="1775">
      <c r="A1775" s="4" t="n"/>
      <c r="B1775" s="5">
        <f>IFERROR(MID(A1775,FIND("01",A1775)+2,14),"")</f>
        <v/>
      </c>
      <c r="C1775" s="4">
        <f>IF(A1775="","",IFERROR(VLOOKUP(B1775,TblArticles,2,FALSE),"GTIN inconnu"))</f>
        <v/>
      </c>
      <c r="D1775" s="5">
        <f>IF(A1775="","",IFERROR(VLOOKUP(B1775,TblArticles,3,FALSE),""))</f>
        <v/>
      </c>
      <c r="E1775" s="6">
        <f>IFERROR(DATE(2000+VALUE(MID(A1775,FIND("15",A1775,FIND("01",A1775)+16)+2,2)),VALUE(MID(A1775,FIND("15",A1775,FIND("01",A1775)+16)+4,2)),VALUE(MID(A1775,FIND("15",A1775,FIND("01",A1775)+16)+6,2))),"")</f>
        <v/>
      </c>
      <c r="F1775" s="5">
        <f>IFERROR(MID(A1775,FIND("10",A1775,FIND("15",A1775,FIND("01",A1775)+16)+8)+2,50),"")</f>
        <v/>
      </c>
      <c r="G1775" s="5" t="n"/>
    </row>
    <row r="1776">
      <c r="A1776" s="7" t="n"/>
      <c r="B1776" s="8">
        <f>IFERROR(MID(A1776,FIND("01",A1776)+2,14),"")</f>
        <v/>
      </c>
      <c r="C1776" s="7">
        <f>IF(A1776="","",IFERROR(VLOOKUP(B1776,TblArticles,2,FALSE),"GTIN inconnu"))</f>
        <v/>
      </c>
      <c r="D1776" s="8">
        <f>IF(A1776="","",IFERROR(VLOOKUP(B1776,TblArticles,3,FALSE),""))</f>
        <v/>
      </c>
      <c r="E1776" s="9">
        <f>IFERROR(DATE(2000+VALUE(MID(A1776,FIND("15",A1776,FIND("01",A1776)+16)+2,2)),VALUE(MID(A1776,FIND("15",A1776,FIND("01",A1776)+16)+4,2)),VALUE(MID(A1776,FIND("15",A1776,FIND("01",A1776)+16)+6,2))),"")</f>
        <v/>
      </c>
      <c r="F1776" s="8">
        <f>IFERROR(MID(A1776,FIND("10",A1776,FIND("15",A1776,FIND("01",A1776)+16)+8)+2,50),"")</f>
        <v/>
      </c>
      <c r="G1776" s="8" t="n"/>
    </row>
    <row r="1777">
      <c r="A1777" s="4" t="n"/>
      <c r="B1777" s="5">
        <f>IFERROR(MID(A1777,FIND("01",A1777)+2,14),"")</f>
        <v/>
      </c>
      <c r="C1777" s="4">
        <f>IF(A1777="","",IFERROR(VLOOKUP(B1777,TblArticles,2,FALSE),"GTIN inconnu"))</f>
        <v/>
      </c>
      <c r="D1777" s="5">
        <f>IF(A1777="","",IFERROR(VLOOKUP(B1777,TblArticles,3,FALSE),""))</f>
        <v/>
      </c>
      <c r="E1777" s="6">
        <f>IFERROR(DATE(2000+VALUE(MID(A1777,FIND("15",A1777,FIND("01",A1777)+16)+2,2)),VALUE(MID(A1777,FIND("15",A1777,FIND("01",A1777)+16)+4,2)),VALUE(MID(A1777,FIND("15",A1777,FIND("01",A1777)+16)+6,2))),"")</f>
        <v/>
      </c>
      <c r="F1777" s="5">
        <f>IFERROR(MID(A1777,FIND("10",A1777,FIND("15",A1777,FIND("01",A1777)+16)+8)+2,50),"")</f>
        <v/>
      </c>
      <c r="G1777" s="5" t="n"/>
    </row>
    <row r="1778">
      <c r="A1778" s="7" t="n"/>
      <c r="B1778" s="8">
        <f>IFERROR(MID(A1778,FIND("01",A1778)+2,14),"")</f>
        <v/>
      </c>
      <c r="C1778" s="7">
        <f>IF(A1778="","",IFERROR(VLOOKUP(B1778,TblArticles,2,FALSE),"GTIN inconnu"))</f>
        <v/>
      </c>
      <c r="D1778" s="8">
        <f>IF(A1778="","",IFERROR(VLOOKUP(B1778,TblArticles,3,FALSE),""))</f>
        <v/>
      </c>
      <c r="E1778" s="9">
        <f>IFERROR(DATE(2000+VALUE(MID(A1778,FIND("15",A1778,FIND("01",A1778)+16)+2,2)),VALUE(MID(A1778,FIND("15",A1778,FIND("01",A1778)+16)+4,2)),VALUE(MID(A1778,FIND("15",A1778,FIND("01",A1778)+16)+6,2))),"")</f>
        <v/>
      </c>
      <c r="F1778" s="8">
        <f>IFERROR(MID(A1778,FIND("10",A1778,FIND("15",A1778,FIND("01",A1778)+16)+8)+2,50),"")</f>
        <v/>
      </c>
      <c r="G1778" s="8" t="n"/>
    </row>
    <row r="1779">
      <c r="A1779" s="4" t="n"/>
      <c r="B1779" s="5">
        <f>IFERROR(MID(A1779,FIND("01",A1779)+2,14),"")</f>
        <v/>
      </c>
      <c r="C1779" s="4">
        <f>IF(A1779="","",IFERROR(VLOOKUP(B1779,TblArticles,2,FALSE),"GTIN inconnu"))</f>
        <v/>
      </c>
      <c r="D1779" s="5">
        <f>IF(A1779="","",IFERROR(VLOOKUP(B1779,TblArticles,3,FALSE),""))</f>
        <v/>
      </c>
      <c r="E1779" s="6">
        <f>IFERROR(DATE(2000+VALUE(MID(A1779,FIND("15",A1779,FIND("01",A1779)+16)+2,2)),VALUE(MID(A1779,FIND("15",A1779,FIND("01",A1779)+16)+4,2)),VALUE(MID(A1779,FIND("15",A1779,FIND("01",A1779)+16)+6,2))),"")</f>
        <v/>
      </c>
      <c r="F1779" s="5">
        <f>IFERROR(MID(A1779,FIND("10",A1779,FIND("15",A1779,FIND("01",A1779)+16)+8)+2,50),"")</f>
        <v/>
      </c>
      <c r="G1779" s="5" t="n"/>
    </row>
    <row r="1780">
      <c r="A1780" s="7" t="n"/>
      <c r="B1780" s="8">
        <f>IFERROR(MID(A1780,FIND("01",A1780)+2,14),"")</f>
        <v/>
      </c>
      <c r="C1780" s="7">
        <f>IF(A1780="","",IFERROR(VLOOKUP(B1780,TblArticles,2,FALSE),"GTIN inconnu"))</f>
        <v/>
      </c>
      <c r="D1780" s="8">
        <f>IF(A1780="","",IFERROR(VLOOKUP(B1780,TblArticles,3,FALSE),""))</f>
        <v/>
      </c>
      <c r="E1780" s="9">
        <f>IFERROR(DATE(2000+VALUE(MID(A1780,FIND("15",A1780,FIND("01",A1780)+16)+2,2)),VALUE(MID(A1780,FIND("15",A1780,FIND("01",A1780)+16)+4,2)),VALUE(MID(A1780,FIND("15",A1780,FIND("01",A1780)+16)+6,2))),"")</f>
        <v/>
      </c>
      <c r="F1780" s="8">
        <f>IFERROR(MID(A1780,FIND("10",A1780,FIND("15",A1780,FIND("01",A1780)+16)+8)+2,50),"")</f>
        <v/>
      </c>
      <c r="G1780" s="8" t="n"/>
    </row>
    <row r="1781">
      <c r="A1781" s="4" t="n"/>
      <c r="B1781" s="5">
        <f>IFERROR(MID(A1781,FIND("01",A1781)+2,14),"")</f>
        <v/>
      </c>
      <c r="C1781" s="4">
        <f>IF(A1781="","",IFERROR(VLOOKUP(B1781,TblArticles,2,FALSE),"GTIN inconnu"))</f>
        <v/>
      </c>
      <c r="D1781" s="5">
        <f>IF(A1781="","",IFERROR(VLOOKUP(B1781,TblArticles,3,FALSE),""))</f>
        <v/>
      </c>
      <c r="E1781" s="6">
        <f>IFERROR(DATE(2000+VALUE(MID(A1781,FIND("15",A1781,FIND("01",A1781)+16)+2,2)),VALUE(MID(A1781,FIND("15",A1781,FIND("01",A1781)+16)+4,2)),VALUE(MID(A1781,FIND("15",A1781,FIND("01",A1781)+16)+6,2))),"")</f>
        <v/>
      </c>
      <c r="F1781" s="5">
        <f>IFERROR(MID(A1781,FIND("10",A1781,FIND("15",A1781,FIND("01",A1781)+16)+8)+2,50),"")</f>
        <v/>
      </c>
      <c r="G1781" s="5" t="n"/>
    </row>
    <row r="1782">
      <c r="A1782" s="7" t="n"/>
      <c r="B1782" s="8">
        <f>IFERROR(MID(A1782,FIND("01",A1782)+2,14),"")</f>
        <v/>
      </c>
      <c r="C1782" s="7">
        <f>IF(A1782="","",IFERROR(VLOOKUP(B1782,TblArticles,2,FALSE),"GTIN inconnu"))</f>
        <v/>
      </c>
      <c r="D1782" s="8">
        <f>IF(A1782="","",IFERROR(VLOOKUP(B1782,TblArticles,3,FALSE),""))</f>
        <v/>
      </c>
      <c r="E1782" s="9">
        <f>IFERROR(DATE(2000+VALUE(MID(A1782,FIND("15",A1782,FIND("01",A1782)+16)+2,2)),VALUE(MID(A1782,FIND("15",A1782,FIND("01",A1782)+16)+4,2)),VALUE(MID(A1782,FIND("15",A1782,FIND("01",A1782)+16)+6,2))),"")</f>
        <v/>
      </c>
      <c r="F1782" s="8">
        <f>IFERROR(MID(A1782,FIND("10",A1782,FIND("15",A1782,FIND("01",A1782)+16)+8)+2,50),"")</f>
        <v/>
      </c>
      <c r="G1782" s="8" t="n"/>
    </row>
    <row r="1783">
      <c r="A1783" s="4" t="n"/>
      <c r="B1783" s="5">
        <f>IFERROR(MID(A1783,FIND("01",A1783)+2,14),"")</f>
        <v/>
      </c>
      <c r="C1783" s="4">
        <f>IF(A1783="","",IFERROR(VLOOKUP(B1783,TblArticles,2,FALSE),"GTIN inconnu"))</f>
        <v/>
      </c>
      <c r="D1783" s="5">
        <f>IF(A1783="","",IFERROR(VLOOKUP(B1783,TblArticles,3,FALSE),""))</f>
        <v/>
      </c>
      <c r="E1783" s="6">
        <f>IFERROR(DATE(2000+VALUE(MID(A1783,FIND("15",A1783,FIND("01",A1783)+16)+2,2)),VALUE(MID(A1783,FIND("15",A1783,FIND("01",A1783)+16)+4,2)),VALUE(MID(A1783,FIND("15",A1783,FIND("01",A1783)+16)+6,2))),"")</f>
        <v/>
      </c>
      <c r="F1783" s="5">
        <f>IFERROR(MID(A1783,FIND("10",A1783,FIND("15",A1783,FIND("01",A1783)+16)+8)+2,50),"")</f>
        <v/>
      </c>
      <c r="G1783" s="5" t="n"/>
    </row>
    <row r="1784">
      <c r="A1784" s="7" t="n"/>
      <c r="B1784" s="8">
        <f>IFERROR(MID(A1784,FIND("01",A1784)+2,14),"")</f>
        <v/>
      </c>
      <c r="C1784" s="7">
        <f>IF(A1784="","",IFERROR(VLOOKUP(B1784,TblArticles,2,FALSE),"GTIN inconnu"))</f>
        <v/>
      </c>
      <c r="D1784" s="8">
        <f>IF(A1784="","",IFERROR(VLOOKUP(B1784,TblArticles,3,FALSE),""))</f>
        <v/>
      </c>
      <c r="E1784" s="9">
        <f>IFERROR(DATE(2000+VALUE(MID(A1784,FIND("15",A1784,FIND("01",A1784)+16)+2,2)),VALUE(MID(A1784,FIND("15",A1784,FIND("01",A1784)+16)+4,2)),VALUE(MID(A1784,FIND("15",A1784,FIND("01",A1784)+16)+6,2))),"")</f>
        <v/>
      </c>
      <c r="F1784" s="8">
        <f>IFERROR(MID(A1784,FIND("10",A1784,FIND("15",A1784,FIND("01",A1784)+16)+8)+2,50),"")</f>
        <v/>
      </c>
      <c r="G1784" s="8" t="n"/>
    </row>
    <row r="1785">
      <c r="A1785" s="4" t="n"/>
      <c r="B1785" s="5">
        <f>IFERROR(MID(A1785,FIND("01",A1785)+2,14),"")</f>
        <v/>
      </c>
      <c r="C1785" s="4">
        <f>IF(A1785="","",IFERROR(VLOOKUP(B1785,TblArticles,2,FALSE),"GTIN inconnu"))</f>
        <v/>
      </c>
      <c r="D1785" s="5">
        <f>IF(A1785="","",IFERROR(VLOOKUP(B1785,TblArticles,3,FALSE),""))</f>
        <v/>
      </c>
      <c r="E1785" s="6">
        <f>IFERROR(DATE(2000+VALUE(MID(A1785,FIND("15",A1785,FIND("01",A1785)+16)+2,2)),VALUE(MID(A1785,FIND("15",A1785,FIND("01",A1785)+16)+4,2)),VALUE(MID(A1785,FIND("15",A1785,FIND("01",A1785)+16)+6,2))),"")</f>
        <v/>
      </c>
      <c r="F1785" s="5">
        <f>IFERROR(MID(A1785,FIND("10",A1785,FIND("15",A1785,FIND("01",A1785)+16)+8)+2,50),"")</f>
        <v/>
      </c>
      <c r="G1785" s="5" t="n"/>
    </row>
    <row r="1786">
      <c r="A1786" s="7" t="n"/>
      <c r="B1786" s="8">
        <f>IFERROR(MID(A1786,FIND("01",A1786)+2,14),"")</f>
        <v/>
      </c>
      <c r="C1786" s="7">
        <f>IF(A1786="","",IFERROR(VLOOKUP(B1786,TblArticles,2,FALSE),"GTIN inconnu"))</f>
        <v/>
      </c>
      <c r="D1786" s="8">
        <f>IF(A1786="","",IFERROR(VLOOKUP(B1786,TblArticles,3,FALSE),""))</f>
        <v/>
      </c>
      <c r="E1786" s="9">
        <f>IFERROR(DATE(2000+VALUE(MID(A1786,FIND("15",A1786,FIND("01",A1786)+16)+2,2)),VALUE(MID(A1786,FIND("15",A1786,FIND("01",A1786)+16)+4,2)),VALUE(MID(A1786,FIND("15",A1786,FIND("01",A1786)+16)+6,2))),"")</f>
        <v/>
      </c>
      <c r="F1786" s="8">
        <f>IFERROR(MID(A1786,FIND("10",A1786,FIND("15",A1786,FIND("01",A1786)+16)+8)+2,50),"")</f>
        <v/>
      </c>
      <c r="G1786" s="8" t="n"/>
    </row>
    <row r="1787">
      <c r="A1787" s="4" t="n"/>
      <c r="B1787" s="5">
        <f>IFERROR(MID(A1787,FIND("01",A1787)+2,14),"")</f>
        <v/>
      </c>
      <c r="C1787" s="4">
        <f>IF(A1787="","",IFERROR(VLOOKUP(B1787,TblArticles,2,FALSE),"GTIN inconnu"))</f>
        <v/>
      </c>
      <c r="D1787" s="5">
        <f>IF(A1787="","",IFERROR(VLOOKUP(B1787,TblArticles,3,FALSE),""))</f>
        <v/>
      </c>
      <c r="E1787" s="6">
        <f>IFERROR(DATE(2000+VALUE(MID(A1787,FIND("15",A1787,FIND("01",A1787)+16)+2,2)),VALUE(MID(A1787,FIND("15",A1787,FIND("01",A1787)+16)+4,2)),VALUE(MID(A1787,FIND("15",A1787,FIND("01",A1787)+16)+6,2))),"")</f>
        <v/>
      </c>
      <c r="F1787" s="5">
        <f>IFERROR(MID(A1787,FIND("10",A1787,FIND("15",A1787,FIND("01",A1787)+16)+8)+2,50),"")</f>
        <v/>
      </c>
      <c r="G1787" s="5" t="n"/>
    </row>
    <row r="1788">
      <c r="A1788" s="7" t="n"/>
      <c r="B1788" s="8">
        <f>IFERROR(MID(A1788,FIND("01",A1788)+2,14),"")</f>
        <v/>
      </c>
      <c r="C1788" s="7">
        <f>IF(A1788="","",IFERROR(VLOOKUP(B1788,TblArticles,2,FALSE),"GTIN inconnu"))</f>
        <v/>
      </c>
      <c r="D1788" s="8">
        <f>IF(A1788="","",IFERROR(VLOOKUP(B1788,TblArticles,3,FALSE),""))</f>
        <v/>
      </c>
      <c r="E1788" s="9">
        <f>IFERROR(DATE(2000+VALUE(MID(A1788,FIND("15",A1788,FIND("01",A1788)+16)+2,2)),VALUE(MID(A1788,FIND("15",A1788,FIND("01",A1788)+16)+4,2)),VALUE(MID(A1788,FIND("15",A1788,FIND("01",A1788)+16)+6,2))),"")</f>
        <v/>
      </c>
      <c r="F1788" s="8">
        <f>IFERROR(MID(A1788,FIND("10",A1788,FIND("15",A1788,FIND("01",A1788)+16)+8)+2,50),"")</f>
        <v/>
      </c>
      <c r="G1788" s="8" t="n"/>
    </row>
    <row r="1789">
      <c r="A1789" s="4" t="n"/>
      <c r="B1789" s="5">
        <f>IFERROR(MID(A1789,FIND("01",A1789)+2,14),"")</f>
        <v/>
      </c>
      <c r="C1789" s="4">
        <f>IF(A1789="","",IFERROR(VLOOKUP(B1789,TblArticles,2,FALSE),"GTIN inconnu"))</f>
        <v/>
      </c>
      <c r="D1789" s="5">
        <f>IF(A1789="","",IFERROR(VLOOKUP(B1789,TblArticles,3,FALSE),""))</f>
        <v/>
      </c>
      <c r="E1789" s="6">
        <f>IFERROR(DATE(2000+VALUE(MID(A1789,FIND("15",A1789,FIND("01",A1789)+16)+2,2)),VALUE(MID(A1789,FIND("15",A1789,FIND("01",A1789)+16)+4,2)),VALUE(MID(A1789,FIND("15",A1789,FIND("01",A1789)+16)+6,2))),"")</f>
        <v/>
      </c>
      <c r="F1789" s="5">
        <f>IFERROR(MID(A1789,FIND("10",A1789,FIND("15",A1789,FIND("01",A1789)+16)+8)+2,50),"")</f>
        <v/>
      </c>
      <c r="G1789" s="5" t="n"/>
    </row>
    <row r="1790">
      <c r="A1790" s="7" t="n"/>
      <c r="B1790" s="8">
        <f>IFERROR(MID(A1790,FIND("01",A1790)+2,14),"")</f>
        <v/>
      </c>
      <c r="C1790" s="7">
        <f>IF(A1790="","",IFERROR(VLOOKUP(B1790,TblArticles,2,FALSE),"GTIN inconnu"))</f>
        <v/>
      </c>
      <c r="D1790" s="8">
        <f>IF(A1790="","",IFERROR(VLOOKUP(B1790,TblArticles,3,FALSE),""))</f>
        <v/>
      </c>
      <c r="E1790" s="9">
        <f>IFERROR(DATE(2000+VALUE(MID(A1790,FIND("15",A1790,FIND("01",A1790)+16)+2,2)),VALUE(MID(A1790,FIND("15",A1790,FIND("01",A1790)+16)+4,2)),VALUE(MID(A1790,FIND("15",A1790,FIND("01",A1790)+16)+6,2))),"")</f>
        <v/>
      </c>
      <c r="F1790" s="8">
        <f>IFERROR(MID(A1790,FIND("10",A1790,FIND("15",A1790,FIND("01",A1790)+16)+8)+2,50),"")</f>
        <v/>
      </c>
      <c r="G1790" s="8" t="n"/>
    </row>
    <row r="1791">
      <c r="A1791" s="4" t="n"/>
      <c r="B1791" s="5">
        <f>IFERROR(MID(A1791,FIND("01",A1791)+2,14),"")</f>
        <v/>
      </c>
      <c r="C1791" s="4">
        <f>IF(A1791="","",IFERROR(VLOOKUP(B1791,TblArticles,2,FALSE),"GTIN inconnu"))</f>
        <v/>
      </c>
      <c r="D1791" s="5">
        <f>IF(A1791="","",IFERROR(VLOOKUP(B1791,TblArticles,3,FALSE),""))</f>
        <v/>
      </c>
      <c r="E1791" s="6">
        <f>IFERROR(DATE(2000+VALUE(MID(A1791,FIND("15",A1791,FIND("01",A1791)+16)+2,2)),VALUE(MID(A1791,FIND("15",A1791,FIND("01",A1791)+16)+4,2)),VALUE(MID(A1791,FIND("15",A1791,FIND("01",A1791)+16)+6,2))),"")</f>
        <v/>
      </c>
      <c r="F1791" s="5">
        <f>IFERROR(MID(A1791,FIND("10",A1791,FIND("15",A1791,FIND("01",A1791)+16)+8)+2,50),"")</f>
        <v/>
      </c>
      <c r="G1791" s="5" t="n"/>
    </row>
    <row r="1792">
      <c r="A1792" s="7" t="n"/>
      <c r="B1792" s="8">
        <f>IFERROR(MID(A1792,FIND("01",A1792)+2,14),"")</f>
        <v/>
      </c>
      <c r="C1792" s="7">
        <f>IF(A1792="","",IFERROR(VLOOKUP(B1792,TblArticles,2,FALSE),"GTIN inconnu"))</f>
        <v/>
      </c>
      <c r="D1792" s="8">
        <f>IF(A1792="","",IFERROR(VLOOKUP(B1792,TblArticles,3,FALSE),""))</f>
        <v/>
      </c>
      <c r="E1792" s="9">
        <f>IFERROR(DATE(2000+VALUE(MID(A1792,FIND("15",A1792,FIND("01",A1792)+16)+2,2)),VALUE(MID(A1792,FIND("15",A1792,FIND("01",A1792)+16)+4,2)),VALUE(MID(A1792,FIND("15",A1792,FIND("01",A1792)+16)+6,2))),"")</f>
        <v/>
      </c>
      <c r="F1792" s="8">
        <f>IFERROR(MID(A1792,FIND("10",A1792,FIND("15",A1792,FIND("01",A1792)+16)+8)+2,50),"")</f>
        <v/>
      </c>
      <c r="G1792" s="8" t="n"/>
    </row>
    <row r="1793">
      <c r="A1793" s="4" t="n"/>
      <c r="B1793" s="5">
        <f>IFERROR(MID(A1793,FIND("01",A1793)+2,14),"")</f>
        <v/>
      </c>
      <c r="C1793" s="4">
        <f>IF(A1793="","",IFERROR(VLOOKUP(B1793,TblArticles,2,FALSE),"GTIN inconnu"))</f>
        <v/>
      </c>
      <c r="D1793" s="5">
        <f>IF(A1793="","",IFERROR(VLOOKUP(B1793,TblArticles,3,FALSE),""))</f>
        <v/>
      </c>
      <c r="E1793" s="6">
        <f>IFERROR(DATE(2000+VALUE(MID(A1793,FIND("15",A1793,FIND("01",A1793)+16)+2,2)),VALUE(MID(A1793,FIND("15",A1793,FIND("01",A1793)+16)+4,2)),VALUE(MID(A1793,FIND("15",A1793,FIND("01",A1793)+16)+6,2))),"")</f>
        <v/>
      </c>
      <c r="F1793" s="5">
        <f>IFERROR(MID(A1793,FIND("10",A1793,FIND("15",A1793,FIND("01",A1793)+16)+8)+2,50),"")</f>
        <v/>
      </c>
      <c r="G1793" s="5" t="n"/>
    </row>
    <row r="1794">
      <c r="A1794" s="7" t="n"/>
      <c r="B1794" s="8">
        <f>IFERROR(MID(A1794,FIND("01",A1794)+2,14),"")</f>
        <v/>
      </c>
      <c r="C1794" s="7">
        <f>IF(A1794="","",IFERROR(VLOOKUP(B1794,TblArticles,2,FALSE),"GTIN inconnu"))</f>
        <v/>
      </c>
      <c r="D1794" s="8">
        <f>IF(A1794="","",IFERROR(VLOOKUP(B1794,TblArticles,3,FALSE),""))</f>
        <v/>
      </c>
      <c r="E1794" s="9">
        <f>IFERROR(DATE(2000+VALUE(MID(A1794,FIND("15",A1794,FIND("01",A1794)+16)+2,2)),VALUE(MID(A1794,FIND("15",A1794,FIND("01",A1794)+16)+4,2)),VALUE(MID(A1794,FIND("15",A1794,FIND("01",A1794)+16)+6,2))),"")</f>
        <v/>
      </c>
      <c r="F1794" s="8">
        <f>IFERROR(MID(A1794,FIND("10",A1794,FIND("15",A1794,FIND("01",A1794)+16)+8)+2,50),"")</f>
        <v/>
      </c>
      <c r="G1794" s="8" t="n"/>
    </row>
    <row r="1795">
      <c r="A1795" s="4" t="n"/>
      <c r="B1795" s="5">
        <f>IFERROR(MID(A1795,FIND("01",A1795)+2,14),"")</f>
        <v/>
      </c>
      <c r="C1795" s="4">
        <f>IF(A1795="","",IFERROR(VLOOKUP(B1795,TblArticles,2,FALSE),"GTIN inconnu"))</f>
        <v/>
      </c>
      <c r="D1795" s="5">
        <f>IF(A1795="","",IFERROR(VLOOKUP(B1795,TblArticles,3,FALSE),""))</f>
        <v/>
      </c>
      <c r="E1795" s="6">
        <f>IFERROR(DATE(2000+VALUE(MID(A1795,FIND("15",A1795,FIND("01",A1795)+16)+2,2)),VALUE(MID(A1795,FIND("15",A1795,FIND("01",A1795)+16)+4,2)),VALUE(MID(A1795,FIND("15",A1795,FIND("01",A1795)+16)+6,2))),"")</f>
        <v/>
      </c>
      <c r="F1795" s="5">
        <f>IFERROR(MID(A1795,FIND("10",A1795,FIND("15",A1795,FIND("01",A1795)+16)+8)+2,50),"")</f>
        <v/>
      </c>
      <c r="G1795" s="5" t="n"/>
    </row>
    <row r="1796">
      <c r="A1796" s="7" t="n"/>
      <c r="B1796" s="8">
        <f>IFERROR(MID(A1796,FIND("01",A1796)+2,14),"")</f>
        <v/>
      </c>
      <c r="C1796" s="7">
        <f>IF(A1796="","",IFERROR(VLOOKUP(B1796,TblArticles,2,FALSE),"GTIN inconnu"))</f>
        <v/>
      </c>
      <c r="D1796" s="8">
        <f>IF(A1796="","",IFERROR(VLOOKUP(B1796,TblArticles,3,FALSE),""))</f>
        <v/>
      </c>
      <c r="E1796" s="9">
        <f>IFERROR(DATE(2000+VALUE(MID(A1796,FIND("15",A1796,FIND("01",A1796)+16)+2,2)),VALUE(MID(A1796,FIND("15",A1796,FIND("01",A1796)+16)+4,2)),VALUE(MID(A1796,FIND("15",A1796,FIND("01",A1796)+16)+6,2))),"")</f>
        <v/>
      </c>
      <c r="F1796" s="8">
        <f>IFERROR(MID(A1796,FIND("10",A1796,FIND("15",A1796,FIND("01",A1796)+16)+8)+2,50),"")</f>
        <v/>
      </c>
      <c r="G1796" s="8" t="n"/>
    </row>
    <row r="1797">
      <c r="A1797" s="4" t="n"/>
      <c r="B1797" s="5">
        <f>IFERROR(MID(A1797,FIND("01",A1797)+2,14),"")</f>
        <v/>
      </c>
      <c r="C1797" s="4">
        <f>IF(A1797="","",IFERROR(VLOOKUP(B1797,TblArticles,2,FALSE),"GTIN inconnu"))</f>
        <v/>
      </c>
      <c r="D1797" s="5">
        <f>IF(A1797="","",IFERROR(VLOOKUP(B1797,TblArticles,3,FALSE),""))</f>
        <v/>
      </c>
      <c r="E1797" s="6">
        <f>IFERROR(DATE(2000+VALUE(MID(A1797,FIND("15",A1797,FIND("01",A1797)+16)+2,2)),VALUE(MID(A1797,FIND("15",A1797,FIND("01",A1797)+16)+4,2)),VALUE(MID(A1797,FIND("15",A1797,FIND("01",A1797)+16)+6,2))),"")</f>
        <v/>
      </c>
      <c r="F1797" s="5">
        <f>IFERROR(MID(A1797,FIND("10",A1797,FIND("15",A1797,FIND("01",A1797)+16)+8)+2,50),"")</f>
        <v/>
      </c>
      <c r="G1797" s="5" t="n"/>
    </row>
    <row r="1798">
      <c r="A1798" s="7" t="n"/>
      <c r="B1798" s="8">
        <f>IFERROR(MID(A1798,FIND("01",A1798)+2,14),"")</f>
        <v/>
      </c>
      <c r="C1798" s="7">
        <f>IF(A1798="","",IFERROR(VLOOKUP(B1798,TblArticles,2,FALSE),"GTIN inconnu"))</f>
        <v/>
      </c>
      <c r="D1798" s="8">
        <f>IF(A1798="","",IFERROR(VLOOKUP(B1798,TblArticles,3,FALSE),""))</f>
        <v/>
      </c>
      <c r="E1798" s="9">
        <f>IFERROR(DATE(2000+VALUE(MID(A1798,FIND("15",A1798,FIND("01",A1798)+16)+2,2)),VALUE(MID(A1798,FIND("15",A1798,FIND("01",A1798)+16)+4,2)),VALUE(MID(A1798,FIND("15",A1798,FIND("01",A1798)+16)+6,2))),"")</f>
        <v/>
      </c>
      <c r="F1798" s="8">
        <f>IFERROR(MID(A1798,FIND("10",A1798,FIND("15",A1798,FIND("01",A1798)+16)+8)+2,50),"")</f>
        <v/>
      </c>
      <c r="G1798" s="8" t="n"/>
    </row>
    <row r="1799">
      <c r="A1799" s="4" t="n"/>
      <c r="B1799" s="5">
        <f>IFERROR(MID(A1799,FIND("01",A1799)+2,14),"")</f>
        <v/>
      </c>
      <c r="C1799" s="4">
        <f>IF(A1799="","",IFERROR(VLOOKUP(B1799,TblArticles,2,FALSE),"GTIN inconnu"))</f>
        <v/>
      </c>
      <c r="D1799" s="5">
        <f>IF(A1799="","",IFERROR(VLOOKUP(B1799,TblArticles,3,FALSE),""))</f>
        <v/>
      </c>
      <c r="E1799" s="6">
        <f>IFERROR(DATE(2000+VALUE(MID(A1799,FIND("15",A1799,FIND("01",A1799)+16)+2,2)),VALUE(MID(A1799,FIND("15",A1799,FIND("01",A1799)+16)+4,2)),VALUE(MID(A1799,FIND("15",A1799,FIND("01",A1799)+16)+6,2))),"")</f>
        <v/>
      </c>
      <c r="F1799" s="5">
        <f>IFERROR(MID(A1799,FIND("10",A1799,FIND("15",A1799,FIND("01",A1799)+16)+8)+2,50),"")</f>
        <v/>
      </c>
      <c r="G1799" s="5" t="n"/>
    </row>
    <row r="1800">
      <c r="A1800" s="7" t="n"/>
      <c r="B1800" s="8">
        <f>IFERROR(MID(A1800,FIND("01",A1800)+2,14),"")</f>
        <v/>
      </c>
      <c r="C1800" s="7">
        <f>IF(A1800="","",IFERROR(VLOOKUP(B1800,TblArticles,2,FALSE),"GTIN inconnu"))</f>
        <v/>
      </c>
      <c r="D1800" s="8">
        <f>IF(A1800="","",IFERROR(VLOOKUP(B1800,TblArticles,3,FALSE),""))</f>
        <v/>
      </c>
      <c r="E1800" s="9">
        <f>IFERROR(DATE(2000+VALUE(MID(A1800,FIND("15",A1800,FIND("01",A1800)+16)+2,2)),VALUE(MID(A1800,FIND("15",A1800,FIND("01",A1800)+16)+4,2)),VALUE(MID(A1800,FIND("15",A1800,FIND("01",A1800)+16)+6,2))),"")</f>
        <v/>
      </c>
      <c r="F1800" s="8">
        <f>IFERROR(MID(A1800,FIND("10",A1800,FIND("15",A1800,FIND("01",A1800)+16)+8)+2,50),"")</f>
        <v/>
      </c>
      <c r="G1800" s="8" t="n"/>
    </row>
    <row r="1801">
      <c r="A1801" s="4" t="n"/>
      <c r="B1801" s="5">
        <f>IFERROR(MID(A1801,FIND("01",A1801)+2,14),"")</f>
        <v/>
      </c>
      <c r="C1801" s="4">
        <f>IF(A1801="","",IFERROR(VLOOKUP(B1801,TblArticles,2,FALSE),"GTIN inconnu"))</f>
        <v/>
      </c>
      <c r="D1801" s="5">
        <f>IF(A1801="","",IFERROR(VLOOKUP(B1801,TblArticles,3,FALSE),""))</f>
        <v/>
      </c>
      <c r="E1801" s="6">
        <f>IFERROR(DATE(2000+VALUE(MID(A1801,FIND("15",A1801,FIND("01",A1801)+16)+2,2)),VALUE(MID(A1801,FIND("15",A1801,FIND("01",A1801)+16)+4,2)),VALUE(MID(A1801,FIND("15",A1801,FIND("01",A1801)+16)+6,2))),"")</f>
        <v/>
      </c>
      <c r="F1801" s="5">
        <f>IFERROR(MID(A1801,FIND("10",A1801,FIND("15",A1801,FIND("01",A1801)+16)+8)+2,50),"")</f>
        <v/>
      </c>
      <c r="G1801" s="5" t="n"/>
    </row>
    <row r="1802">
      <c r="A1802" s="7" t="n"/>
      <c r="B1802" s="8">
        <f>IFERROR(MID(A1802,FIND("01",A1802)+2,14),"")</f>
        <v/>
      </c>
      <c r="C1802" s="7">
        <f>IF(A1802="","",IFERROR(VLOOKUP(B1802,TblArticles,2,FALSE),"GTIN inconnu"))</f>
        <v/>
      </c>
      <c r="D1802" s="8">
        <f>IF(A1802="","",IFERROR(VLOOKUP(B1802,TblArticles,3,FALSE),""))</f>
        <v/>
      </c>
      <c r="E1802" s="9">
        <f>IFERROR(DATE(2000+VALUE(MID(A1802,FIND("15",A1802,FIND("01",A1802)+16)+2,2)),VALUE(MID(A1802,FIND("15",A1802,FIND("01",A1802)+16)+4,2)),VALUE(MID(A1802,FIND("15",A1802,FIND("01",A1802)+16)+6,2))),"")</f>
        <v/>
      </c>
      <c r="F1802" s="8">
        <f>IFERROR(MID(A1802,FIND("10",A1802,FIND("15",A1802,FIND("01",A1802)+16)+8)+2,50),"")</f>
        <v/>
      </c>
      <c r="G1802" s="8" t="n"/>
    </row>
    <row r="1803">
      <c r="A1803" s="4" t="n"/>
      <c r="B1803" s="5">
        <f>IFERROR(MID(A1803,FIND("01",A1803)+2,14),"")</f>
        <v/>
      </c>
      <c r="C1803" s="4">
        <f>IF(A1803="","",IFERROR(VLOOKUP(B1803,TblArticles,2,FALSE),"GTIN inconnu"))</f>
        <v/>
      </c>
      <c r="D1803" s="5">
        <f>IF(A1803="","",IFERROR(VLOOKUP(B1803,TblArticles,3,FALSE),""))</f>
        <v/>
      </c>
      <c r="E1803" s="6">
        <f>IFERROR(DATE(2000+VALUE(MID(A1803,FIND("15",A1803,FIND("01",A1803)+16)+2,2)),VALUE(MID(A1803,FIND("15",A1803,FIND("01",A1803)+16)+4,2)),VALUE(MID(A1803,FIND("15",A1803,FIND("01",A1803)+16)+6,2))),"")</f>
        <v/>
      </c>
      <c r="F1803" s="5">
        <f>IFERROR(MID(A1803,FIND("10",A1803,FIND("15",A1803,FIND("01",A1803)+16)+8)+2,50),"")</f>
        <v/>
      </c>
      <c r="G1803" s="5" t="n"/>
    </row>
    <row r="1804">
      <c r="A1804" s="7" t="n"/>
      <c r="B1804" s="8">
        <f>IFERROR(MID(A1804,FIND("01",A1804)+2,14),"")</f>
        <v/>
      </c>
      <c r="C1804" s="7">
        <f>IF(A1804="","",IFERROR(VLOOKUP(B1804,TblArticles,2,FALSE),"GTIN inconnu"))</f>
        <v/>
      </c>
      <c r="D1804" s="8">
        <f>IF(A1804="","",IFERROR(VLOOKUP(B1804,TblArticles,3,FALSE),""))</f>
        <v/>
      </c>
      <c r="E1804" s="9">
        <f>IFERROR(DATE(2000+VALUE(MID(A1804,FIND("15",A1804,FIND("01",A1804)+16)+2,2)),VALUE(MID(A1804,FIND("15",A1804,FIND("01",A1804)+16)+4,2)),VALUE(MID(A1804,FIND("15",A1804,FIND("01",A1804)+16)+6,2))),"")</f>
        <v/>
      </c>
      <c r="F1804" s="8">
        <f>IFERROR(MID(A1804,FIND("10",A1804,FIND("15",A1804,FIND("01",A1804)+16)+8)+2,50),"")</f>
        <v/>
      </c>
      <c r="G1804" s="8" t="n"/>
    </row>
    <row r="1805">
      <c r="A1805" s="4" t="n"/>
      <c r="B1805" s="5">
        <f>IFERROR(MID(A1805,FIND("01",A1805)+2,14),"")</f>
        <v/>
      </c>
      <c r="C1805" s="4">
        <f>IF(A1805="","",IFERROR(VLOOKUP(B1805,TblArticles,2,FALSE),"GTIN inconnu"))</f>
        <v/>
      </c>
      <c r="D1805" s="5">
        <f>IF(A1805="","",IFERROR(VLOOKUP(B1805,TblArticles,3,FALSE),""))</f>
        <v/>
      </c>
      <c r="E1805" s="6">
        <f>IFERROR(DATE(2000+VALUE(MID(A1805,FIND("15",A1805,FIND("01",A1805)+16)+2,2)),VALUE(MID(A1805,FIND("15",A1805,FIND("01",A1805)+16)+4,2)),VALUE(MID(A1805,FIND("15",A1805,FIND("01",A1805)+16)+6,2))),"")</f>
        <v/>
      </c>
      <c r="F1805" s="5">
        <f>IFERROR(MID(A1805,FIND("10",A1805,FIND("15",A1805,FIND("01",A1805)+16)+8)+2,50),"")</f>
        <v/>
      </c>
      <c r="G1805" s="5" t="n"/>
    </row>
    <row r="1806">
      <c r="A1806" s="7" t="n"/>
      <c r="B1806" s="8">
        <f>IFERROR(MID(A1806,FIND("01",A1806)+2,14),"")</f>
        <v/>
      </c>
      <c r="C1806" s="7">
        <f>IF(A1806="","",IFERROR(VLOOKUP(B1806,TblArticles,2,FALSE),"GTIN inconnu"))</f>
        <v/>
      </c>
      <c r="D1806" s="8">
        <f>IF(A1806="","",IFERROR(VLOOKUP(B1806,TblArticles,3,FALSE),""))</f>
        <v/>
      </c>
      <c r="E1806" s="9">
        <f>IFERROR(DATE(2000+VALUE(MID(A1806,FIND("15",A1806,FIND("01",A1806)+16)+2,2)),VALUE(MID(A1806,FIND("15",A1806,FIND("01",A1806)+16)+4,2)),VALUE(MID(A1806,FIND("15",A1806,FIND("01",A1806)+16)+6,2))),"")</f>
        <v/>
      </c>
      <c r="F1806" s="8">
        <f>IFERROR(MID(A1806,FIND("10",A1806,FIND("15",A1806,FIND("01",A1806)+16)+8)+2,50),"")</f>
        <v/>
      </c>
      <c r="G1806" s="8" t="n"/>
    </row>
    <row r="1807">
      <c r="A1807" s="4" t="n"/>
      <c r="B1807" s="5">
        <f>IFERROR(MID(A1807,FIND("01",A1807)+2,14),"")</f>
        <v/>
      </c>
      <c r="C1807" s="4">
        <f>IF(A1807="","",IFERROR(VLOOKUP(B1807,TblArticles,2,FALSE),"GTIN inconnu"))</f>
        <v/>
      </c>
      <c r="D1807" s="5">
        <f>IF(A1807="","",IFERROR(VLOOKUP(B1807,TblArticles,3,FALSE),""))</f>
        <v/>
      </c>
      <c r="E1807" s="6">
        <f>IFERROR(DATE(2000+VALUE(MID(A1807,FIND("15",A1807,FIND("01",A1807)+16)+2,2)),VALUE(MID(A1807,FIND("15",A1807,FIND("01",A1807)+16)+4,2)),VALUE(MID(A1807,FIND("15",A1807,FIND("01",A1807)+16)+6,2))),"")</f>
        <v/>
      </c>
      <c r="F1807" s="5">
        <f>IFERROR(MID(A1807,FIND("10",A1807,FIND("15",A1807,FIND("01",A1807)+16)+8)+2,50),"")</f>
        <v/>
      </c>
      <c r="G1807" s="5" t="n"/>
    </row>
    <row r="1808">
      <c r="A1808" s="7" t="n"/>
      <c r="B1808" s="8">
        <f>IFERROR(MID(A1808,FIND("01",A1808)+2,14),"")</f>
        <v/>
      </c>
      <c r="C1808" s="7">
        <f>IF(A1808="","",IFERROR(VLOOKUP(B1808,TblArticles,2,FALSE),"GTIN inconnu"))</f>
        <v/>
      </c>
      <c r="D1808" s="8">
        <f>IF(A1808="","",IFERROR(VLOOKUP(B1808,TblArticles,3,FALSE),""))</f>
        <v/>
      </c>
      <c r="E1808" s="9">
        <f>IFERROR(DATE(2000+VALUE(MID(A1808,FIND("15",A1808,FIND("01",A1808)+16)+2,2)),VALUE(MID(A1808,FIND("15",A1808,FIND("01",A1808)+16)+4,2)),VALUE(MID(A1808,FIND("15",A1808,FIND("01",A1808)+16)+6,2))),"")</f>
        <v/>
      </c>
      <c r="F1808" s="8">
        <f>IFERROR(MID(A1808,FIND("10",A1808,FIND("15",A1808,FIND("01",A1808)+16)+8)+2,50),"")</f>
        <v/>
      </c>
      <c r="G1808" s="8" t="n"/>
    </row>
    <row r="1809">
      <c r="A1809" s="4" t="n"/>
      <c r="B1809" s="5">
        <f>IFERROR(MID(A1809,FIND("01",A1809)+2,14),"")</f>
        <v/>
      </c>
      <c r="C1809" s="4">
        <f>IF(A1809="","",IFERROR(VLOOKUP(B1809,TblArticles,2,FALSE),"GTIN inconnu"))</f>
        <v/>
      </c>
      <c r="D1809" s="5">
        <f>IF(A1809="","",IFERROR(VLOOKUP(B1809,TblArticles,3,FALSE),""))</f>
        <v/>
      </c>
      <c r="E1809" s="6">
        <f>IFERROR(DATE(2000+VALUE(MID(A1809,FIND("15",A1809,FIND("01",A1809)+16)+2,2)),VALUE(MID(A1809,FIND("15",A1809,FIND("01",A1809)+16)+4,2)),VALUE(MID(A1809,FIND("15",A1809,FIND("01",A1809)+16)+6,2))),"")</f>
        <v/>
      </c>
      <c r="F1809" s="5">
        <f>IFERROR(MID(A1809,FIND("10",A1809,FIND("15",A1809,FIND("01",A1809)+16)+8)+2,50),"")</f>
        <v/>
      </c>
      <c r="G1809" s="5" t="n"/>
    </row>
    <row r="1810">
      <c r="A1810" s="7" t="n"/>
      <c r="B1810" s="8">
        <f>IFERROR(MID(A1810,FIND("01",A1810)+2,14),"")</f>
        <v/>
      </c>
      <c r="C1810" s="7">
        <f>IF(A1810="","",IFERROR(VLOOKUP(B1810,TblArticles,2,FALSE),"GTIN inconnu"))</f>
        <v/>
      </c>
      <c r="D1810" s="8">
        <f>IF(A1810="","",IFERROR(VLOOKUP(B1810,TblArticles,3,FALSE),""))</f>
        <v/>
      </c>
      <c r="E1810" s="9">
        <f>IFERROR(DATE(2000+VALUE(MID(A1810,FIND("15",A1810,FIND("01",A1810)+16)+2,2)),VALUE(MID(A1810,FIND("15",A1810,FIND("01",A1810)+16)+4,2)),VALUE(MID(A1810,FIND("15",A1810,FIND("01",A1810)+16)+6,2))),"")</f>
        <v/>
      </c>
      <c r="F1810" s="8">
        <f>IFERROR(MID(A1810,FIND("10",A1810,FIND("15",A1810,FIND("01",A1810)+16)+8)+2,50),"")</f>
        <v/>
      </c>
      <c r="G1810" s="8" t="n"/>
    </row>
    <row r="1811">
      <c r="A1811" s="4" t="n"/>
      <c r="B1811" s="5">
        <f>IFERROR(MID(A1811,FIND("01",A1811)+2,14),"")</f>
        <v/>
      </c>
      <c r="C1811" s="4">
        <f>IF(A1811="","",IFERROR(VLOOKUP(B1811,TblArticles,2,FALSE),"GTIN inconnu"))</f>
        <v/>
      </c>
      <c r="D1811" s="5">
        <f>IF(A1811="","",IFERROR(VLOOKUP(B1811,TblArticles,3,FALSE),""))</f>
        <v/>
      </c>
      <c r="E1811" s="6">
        <f>IFERROR(DATE(2000+VALUE(MID(A1811,FIND("15",A1811,FIND("01",A1811)+16)+2,2)),VALUE(MID(A1811,FIND("15",A1811,FIND("01",A1811)+16)+4,2)),VALUE(MID(A1811,FIND("15",A1811,FIND("01",A1811)+16)+6,2))),"")</f>
        <v/>
      </c>
      <c r="F1811" s="5">
        <f>IFERROR(MID(A1811,FIND("10",A1811,FIND("15",A1811,FIND("01",A1811)+16)+8)+2,50),"")</f>
        <v/>
      </c>
      <c r="G1811" s="5" t="n"/>
    </row>
    <row r="1812">
      <c r="A1812" s="7" t="n"/>
      <c r="B1812" s="8">
        <f>IFERROR(MID(A1812,FIND("01",A1812)+2,14),"")</f>
        <v/>
      </c>
      <c r="C1812" s="7">
        <f>IF(A1812="","",IFERROR(VLOOKUP(B1812,TblArticles,2,FALSE),"GTIN inconnu"))</f>
        <v/>
      </c>
      <c r="D1812" s="8">
        <f>IF(A1812="","",IFERROR(VLOOKUP(B1812,TblArticles,3,FALSE),""))</f>
        <v/>
      </c>
      <c r="E1812" s="9">
        <f>IFERROR(DATE(2000+VALUE(MID(A1812,FIND("15",A1812,FIND("01",A1812)+16)+2,2)),VALUE(MID(A1812,FIND("15",A1812,FIND("01",A1812)+16)+4,2)),VALUE(MID(A1812,FIND("15",A1812,FIND("01",A1812)+16)+6,2))),"")</f>
        <v/>
      </c>
      <c r="F1812" s="8">
        <f>IFERROR(MID(A1812,FIND("10",A1812,FIND("15",A1812,FIND("01",A1812)+16)+8)+2,50),"")</f>
        <v/>
      </c>
      <c r="G1812" s="8" t="n"/>
    </row>
    <row r="1813">
      <c r="A1813" s="4" t="n"/>
      <c r="B1813" s="5">
        <f>IFERROR(MID(A1813,FIND("01",A1813)+2,14),"")</f>
        <v/>
      </c>
      <c r="C1813" s="4">
        <f>IF(A1813="","",IFERROR(VLOOKUP(B1813,TblArticles,2,FALSE),"GTIN inconnu"))</f>
        <v/>
      </c>
      <c r="D1813" s="5">
        <f>IF(A1813="","",IFERROR(VLOOKUP(B1813,TblArticles,3,FALSE),""))</f>
        <v/>
      </c>
      <c r="E1813" s="6">
        <f>IFERROR(DATE(2000+VALUE(MID(A1813,FIND("15",A1813,FIND("01",A1813)+16)+2,2)),VALUE(MID(A1813,FIND("15",A1813,FIND("01",A1813)+16)+4,2)),VALUE(MID(A1813,FIND("15",A1813,FIND("01",A1813)+16)+6,2))),"")</f>
        <v/>
      </c>
      <c r="F1813" s="5">
        <f>IFERROR(MID(A1813,FIND("10",A1813,FIND("15",A1813,FIND("01",A1813)+16)+8)+2,50),"")</f>
        <v/>
      </c>
      <c r="G1813" s="5" t="n"/>
    </row>
    <row r="1814">
      <c r="A1814" s="7" t="n"/>
      <c r="B1814" s="8">
        <f>IFERROR(MID(A1814,FIND("01",A1814)+2,14),"")</f>
        <v/>
      </c>
      <c r="C1814" s="7">
        <f>IF(A1814="","",IFERROR(VLOOKUP(B1814,TblArticles,2,FALSE),"GTIN inconnu"))</f>
        <v/>
      </c>
      <c r="D1814" s="8">
        <f>IF(A1814="","",IFERROR(VLOOKUP(B1814,TblArticles,3,FALSE),""))</f>
        <v/>
      </c>
      <c r="E1814" s="9">
        <f>IFERROR(DATE(2000+VALUE(MID(A1814,FIND("15",A1814,FIND("01",A1814)+16)+2,2)),VALUE(MID(A1814,FIND("15",A1814,FIND("01",A1814)+16)+4,2)),VALUE(MID(A1814,FIND("15",A1814,FIND("01",A1814)+16)+6,2))),"")</f>
        <v/>
      </c>
      <c r="F1814" s="8">
        <f>IFERROR(MID(A1814,FIND("10",A1814,FIND("15",A1814,FIND("01",A1814)+16)+8)+2,50),"")</f>
        <v/>
      </c>
      <c r="G1814" s="8" t="n"/>
    </row>
    <row r="1815">
      <c r="A1815" s="4" t="n"/>
      <c r="B1815" s="5">
        <f>IFERROR(MID(A1815,FIND("01",A1815)+2,14),"")</f>
        <v/>
      </c>
      <c r="C1815" s="4">
        <f>IF(A1815="","",IFERROR(VLOOKUP(B1815,TblArticles,2,FALSE),"GTIN inconnu"))</f>
        <v/>
      </c>
      <c r="D1815" s="5">
        <f>IF(A1815="","",IFERROR(VLOOKUP(B1815,TblArticles,3,FALSE),""))</f>
        <v/>
      </c>
      <c r="E1815" s="6">
        <f>IFERROR(DATE(2000+VALUE(MID(A1815,FIND("15",A1815,FIND("01",A1815)+16)+2,2)),VALUE(MID(A1815,FIND("15",A1815,FIND("01",A1815)+16)+4,2)),VALUE(MID(A1815,FIND("15",A1815,FIND("01",A1815)+16)+6,2))),"")</f>
        <v/>
      </c>
      <c r="F1815" s="5">
        <f>IFERROR(MID(A1815,FIND("10",A1815,FIND("15",A1815,FIND("01",A1815)+16)+8)+2,50),"")</f>
        <v/>
      </c>
      <c r="G1815" s="5" t="n"/>
    </row>
    <row r="1816">
      <c r="A1816" s="7" t="n"/>
      <c r="B1816" s="8">
        <f>IFERROR(MID(A1816,FIND("01",A1816)+2,14),"")</f>
        <v/>
      </c>
      <c r="C1816" s="7">
        <f>IF(A1816="","",IFERROR(VLOOKUP(B1816,TblArticles,2,FALSE),"GTIN inconnu"))</f>
        <v/>
      </c>
      <c r="D1816" s="8">
        <f>IF(A1816="","",IFERROR(VLOOKUP(B1816,TblArticles,3,FALSE),""))</f>
        <v/>
      </c>
      <c r="E1816" s="9">
        <f>IFERROR(DATE(2000+VALUE(MID(A1816,FIND("15",A1816,FIND("01",A1816)+16)+2,2)),VALUE(MID(A1816,FIND("15",A1816,FIND("01",A1816)+16)+4,2)),VALUE(MID(A1816,FIND("15",A1816,FIND("01",A1816)+16)+6,2))),"")</f>
        <v/>
      </c>
      <c r="F1816" s="8">
        <f>IFERROR(MID(A1816,FIND("10",A1816,FIND("15",A1816,FIND("01",A1816)+16)+8)+2,50),"")</f>
        <v/>
      </c>
      <c r="G1816" s="8" t="n"/>
    </row>
    <row r="1817">
      <c r="A1817" s="4" t="n"/>
      <c r="B1817" s="5">
        <f>IFERROR(MID(A1817,FIND("01",A1817)+2,14),"")</f>
        <v/>
      </c>
      <c r="C1817" s="4">
        <f>IF(A1817="","",IFERROR(VLOOKUP(B1817,TblArticles,2,FALSE),"GTIN inconnu"))</f>
        <v/>
      </c>
      <c r="D1817" s="5">
        <f>IF(A1817="","",IFERROR(VLOOKUP(B1817,TblArticles,3,FALSE),""))</f>
        <v/>
      </c>
      <c r="E1817" s="6">
        <f>IFERROR(DATE(2000+VALUE(MID(A1817,FIND("15",A1817,FIND("01",A1817)+16)+2,2)),VALUE(MID(A1817,FIND("15",A1817,FIND("01",A1817)+16)+4,2)),VALUE(MID(A1817,FIND("15",A1817,FIND("01",A1817)+16)+6,2))),"")</f>
        <v/>
      </c>
      <c r="F1817" s="5">
        <f>IFERROR(MID(A1817,FIND("10",A1817,FIND("15",A1817,FIND("01",A1817)+16)+8)+2,50),"")</f>
        <v/>
      </c>
      <c r="G1817" s="5" t="n"/>
    </row>
    <row r="1818">
      <c r="A1818" s="7" t="n"/>
      <c r="B1818" s="8">
        <f>IFERROR(MID(A1818,FIND("01",A1818)+2,14),"")</f>
        <v/>
      </c>
      <c r="C1818" s="7">
        <f>IF(A1818="","",IFERROR(VLOOKUP(B1818,TblArticles,2,FALSE),"GTIN inconnu"))</f>
        <v/>
      </c>
      <c r="D1818" s="8">
        <f>IF(A1818="","",IFERROR(VLOOKUP(B1818,TblArticles,3,FALSE),""))</f>
        <v/>
      </c>
      <c r="E1818" s="9">
        <f>IFERROR(DATE(2000+VALUE(MID(A1818,FIND("15",A1818,FIND("01",A1818)+16)+2,2)),VALUE(MID(A1818,FIND("15",A1818,FIND("01",A1818)+16)+4,2)),VALUE(MID(A1818,FIND("15",A1818,FIND("01",A1818)+16)+6,2))),"")</f>
        <v/>
      </c>
      <c r="F1818" s="8">
        <f>IFERROR(MID(A1818,FIND("10",A1818,FIND("15",A1818,FIND("01",A1818)+16)+8)+2,50),"")</f>
        <v/>
      </c>
      <c r="G1818" s="8" t="n"/>
    </row>
    <row r="1819">
      <c r="A1819" s="4" t="n"/>
      <c r="B1819" s="5">
        <f>IFERROR(MID(A1819,FIND("01",A1819)+2,14),"")</f>
        <v/>
      </c>
      <c r="C1819" s="4">
        <f>IF(A1819="","",IFERROR(VLOOKUP(B1819,TblArticles,2,FALSE),"GTIN inconnu"))</f>
        <v/>
      </c>
      <c r="D1819" s="5">
        <f>IF(A1819="","",IFERROR(VLOOKUP(B1819,TblArticles,3,FALSE),""))</f>
        <v/>
      </c>
      <c r="E1819" s="6">
        <f>IFERROR(DATE(2000+VALUE(MID(A1819,FIND("15",A1819,FIND("01",A1819)+16)+2,2)),VALUE(MID(A1819,FIND("15",A1819,FIND("01",A1819)+16)+4,2)),VALUE(MID(A1819,FIND("15",A1819,FIND("01",A1819)+16)+6,2))),"")</f>
        <v/>
      </c>
      <c r="F1819" s="5">
        <f>IFERROR(MID(A1819,FIND("10",A1819,FIND("15",A1819,FIND("01",A1819)+16)+8)+2,50),"")</f>
        <v/>
      </c>
      <c r="G1819" s="5" t="n"/>
    </row>
    <row r="1820">
      <c r="A1820" s="7" t="n"/>
      <c r="B1820" s="8">
        <f>IFERROR(MID(A1820,FIND("01",A1820)+2,14),"")</f>
        <v/>
      </c>
      <c r="C1820" s="7">
        <f>IF(A1820="","",IFERROR(VLOOKUP(B1820,TblArticles,2,FALSE),"GTIN inconnu"))</f>
        <v/>
      </c>
      <c r="D1820" s="8">
        <f>IF(A1820="","",IFERROR(VLOOKUP(B1820,TblArticles,3,FALSE),""))</f>
        <v/>
      </c>
      <c r="E1820" s="9">
        <f>IFERROR(DATE(2000+VALUE(MID(A1820,FIND("15",A1820,FIND("01",A1820)+16)+2,2)),VALUE(MID(A1820,FIND("15",A1820,FIND("01",A1820)+16)+4,2)),VALUE(MID(A1820,FIND("15",A1820,FIND("01",A1820)+16)+6,2))),"")</f>
        <v/>
      </c>
      <c r="F1820" s="8">
        <f>IFERROR(MID(A1820,FIND("10",A1820,FIND("15",A1820,FIND("01",A1820)+16)+8)+2,50),"")</f>
        <v/>
      </c>
      <c r="G1820" s="8" t="n"/>
    </row>
    <row r="1821">
      <c r="A1821" s="4" t="n"/>
      <c r="B1821" s="5">
        <f>IFERROR(MID(A1821,FIND("01",A1821)+2,14),"")</f>
        <v/>
      </c>
      <c r="C1821" s="4">
        <f>IF(A1821="","",IFERROR(VLOOKUP(B1821,TblArticles,2,FALSE),"GTIN inconnu"))</f>
        <v/>
      </c>
      <c r="D1821" s="5">
        <f>IF(A1821="","",IFERROR(VLOOKUP(B1821,TblArticles,3,FALSE),""))</f>
        <v/>
      </c>
      <c r="E1821" s="6">
        <f>IFERROR(DATE(2000+VALUE(MID(A1821,FIND("15",A1821,FIND("01",A1821)+16)+2,2)),VALUE(MID(A1821,FIND("15",A1821,FIND("01",A1821)+16)+4,2)),VALUE(MID(A1821,FIND("15",A1821,FIND("01",A1821)+16)+6,2))),"")</f>
        <v/>
      </c>
      <c r="F1821" s="5">
        <f>IFERROR(MID(A1821,FIND("10",A1821,FIND("15",A1821,FIND("01",A1821)+16)+8)+2,50),"")</f>
        <v/>
      </c>
      <c r="G1821" s="5" t="n"/>
    </row>
    <row r="1822">
      <c r="A1822" s="7" t="n"/>
      <c r="B1822" s="8">
        <f>IFERROR(MID(A1822,FIND("01",A1822)+2,14),"")</f>
        <v/>
      </c>
      <c r="C1822" s="7">
        <f>IF(A1822="","",IFERROR(VLOOKUP(B1822,TblArticles,2,FALSE),"GTIN inconnu"))</f>
        <v/>
      </c>
      <c r="D1822" s="8">
        <f>IF(A1822="","",IFERROR(VLOOKUP(B1822,TblArticles,3,FALSE),""))</f>
        <v/>
      </c>
      <c r="E1822" s="9">
        <f>IFERROR(DATE(2000+VALUE(MID(A1822,FIND("15",A1822,FIND("01",A1822)+16)+2,2)),VALUE(MID(A1822,FIND("15",A1822,FIND("01",A1822)+16)+4,2)),VALUE(MID(A1822,FIND("15",A1822,FIND("01",A1822)+16)+6,2))),"")</f>
        <v/>
      </c>
      <c r="F1822" s="8">
        <f>IFERROR(MID(A1822,FIND("10",A1822,FIND("15",A1822,FIND("01",A1822)+16)+8)+2,50),"")</f>
        <v/>
      </c>
      <c r="G1822" s="8" t="n"/>
    </row>
    <row r="1823">
      <c r="A1823" s="4" t="n"/>
      <c r="B1823" s="5">
        <f>IFERROR(MID(A1823,FIND("01",A1823)+2,14),"")</f>
        <v/>
      </c>
      <c r="C1823" s="4">
        <f>IF(A1823="","",IFERROR(VLOOKUP(B1823,TblArticles,2,FALSE),"GTIN inconnu"))</f>
        <v/>
      </c>
      <c r="D1823" s="5">
        <f>IF(A1823="","",IFERROR(VLOOKUP(B1823,TblArticles,3,FALSE),""))</f>
        <v/>
      </c>
      <c r="E1823" s="6">
        <f>IFERROR(DATE(2000+VALUE(MID(A1823,FIND("15",A1823,FIND("01",A1823)+16)+2,2)),VALUE(MID(A1823,FIND("15",A1823,FIND("01",A1823)+16)+4,2)),VALUE(MID(A1823,FIND("15",A1823,FIND("01",A1823)+16)+6,2))),"")</f>
        <v/>
      </c>
      <c r="F1823" s="5">
        <f>IFERROR(MID(A1823,FIND("10",A1823,FIND("15",A1823,FIND("01",A1823)+16)+8)+2,50),"")</f>
        <v/>
      </c>
      <c r="G1823" s="5" t="n"/>
    </row>
    <row r="1824">
      <c r="A1824" s="7" t="n"/>
      <c r="B1824" s="8">
        <f>IFERROR(MID(A1824,FIND("01",A1824)+2,14),"")</f>
        <v/>
      </c>
      <c r="C1824" s="7">
        <f>IF(A1824="","",IFERROR(VLOOKUP(B1824,TblArticles,2,FALSE),"GTIN inconnu"))</f>
        <v/>
      </c>
      <c r="D1824" s="8">
        <f>IF(A1824="","",IFERROR(VLOOKUP(B1824,TblArticles,3,FALSE),""))</f>
        <v/>
      </c>
      <c r="E1824" s="9">
        <f>IFERROR(DATE(2000+VALUE(MID(A1824,FIND("15",A1824,FIND("01",A1824)+16)+2,2)),VALUE(MID(A1824,FIND("15",A1824,FIND("01",A1824)+16)+4,2)),VALUE(MID(A1824,FIND("15",A1824,FIND("01",A1824)+16)+6,2))),"")</f>
        <v/>
      </c>
      <c r="F1824" s="8">
        <f>IFERROR(MID(A1824,FIND("10",A1824,FIND("15",A1824,FIND("01",A1824)+16)+8)+2,50),"")</f>
        <v/>
      </c>
      <c r="G1824" s="8" t="n"/>
    </row>
    <row r="1825">
      <c r="A1825" s="4" t="n"/>
      <c r="B1825" s="5">
        <f>IFERROR(MID(A1825,FIND("01",A1825)+2,14),"")</f>
        <v/>
      </c>
      <c r="C1825" s="4">
        <f>IF(A1825="","",IFERROR(VLOOKUP(B1825,TblArticles,2,FALSE),"GTIN inconnu"))</f>
        <v/>
      </c>
      <c r="D1825" s="5">
        <f>IF(A1825="","",IFERROR(VLOOKUP(B1825,TblArticles,3,FALSE),""))</f>
        <v/>
      </c>
      <c r="E1825" s="6">
        <f>IFERROR(DATE(2000+VALUE(MID(A1825,FIND("15",A1825,FIND("01",A1825)+16)+2,2)),VALUE(MID(A1825,FIND("15",A1825,FIND("01",A1825)+16)+4,2)),VALUE(MID(A1825,FIND("15",A1825,FIND("01",A1825)+16)+6,2))),"")</f>
        <v/>
      </c>
      <c r="F1825" s="5">
        <f>IFERROR(MID(A1825,FIND("10",A1825,FIND("15",A1825,FIND("01",A1825)+16)+8)+2,50),"")</f>
        <v/>
      </c>
      <c r="G1825" s="5" t="n"/>
    </row>
    <row r="1826">
      <c r="A1826" s="7" t="n"/>
      <c r="B1826" s="8">
        <f>IFERROR(MID(A1826,FIND("01",A1826)+2,14),"")</f>
        <v/>
      </c>
      <c r="C1826" s="7">
        <f>IF(A1826="","",IFERROR(VLOOKUP(B1826,TblArticles,2,FALSE),"GTIN inconnu"))</f>
        <v/>
      </c>
      <c r="D1826" s="8">
        <f>IF(A1826="","",IFERROR(VLOOKUP(B1826,TblArticles,3,FALSE),""))</f>
        <v/>
      </c>
      <c r="E1826" s="9">
        <f>IFERROR(DATE(2000+VALUE(MID(A1826,FIND("15",A1826,FIND("01",A1826)+16)+2,2)),VALUE(MID(A1826,FIND("15",A1826,FIND("01",A1826)+16)+4,2)),VALUE(MID(A1826,FIND("15",A1826,FIND("01",A1826)+16)+6,2))),"")</f>
        <v/>
      </c>
      <c r="F1826" s="8">
        <f>IFERROR(MID(A1826,FIND("10",A1826,FIND("15",A1826,FIND("01",A1826)+16)+8)+2,50),"")</f>
        <v/>
      </c>
      <c r="G1826" s="8" t="n"/>
    </row>
    <row r="1827">
      <c r="A1827" s="4" t="n"/>
      <c r="B1827" s="5">
        <f>IFERROR(MID(A1827,FIND("01",A1827)+2,14),"")</f>
        <v/>
      </c>
      <c r="C1827" s="4">
        <f>IF(A1827="","",IFERROR(VLOOKUP(B1827,TblArticles,2,FALSE),"GTIN inconnu"))</f>
        <v/>
      </c>
      <c r="D1827" s="5">
        <f>IF(A1827="","",IFERROR(VLOOKUP(B1827,TblArticles,3,FALSE),""))</f>
        <v/>
      </c>
      <c r="E1827" s="6">
        <f>IFERROR(DATE(2000+VALUE(MID(A1827,FIND("15",A1827,FIND("01",A1827)+16)+2,2)),VALUE(MID(A1827,FIND("15",A1827,FIND("01",A1827)+16)+4,2)),VALUE(MID(A1827,FIND("15",A1827,FIND("01",A1827)+16)+6,2))),"")</f>
        <v/>
      </c>
      <c r="F1827" s="5">
        <f>IFERROR(MID(A1827,FIND("10",A1827,FIND("15",A1827,FIND("01",A1827)+16)+8)+2,50),"")</f>
        <v/>
      </c>
      <c r="G1827" s="5" t="n"/>
    </row>
    <row r="1828">
      <c r="A1828" s="7" t="n"/>
      <c r="B1828" s="8">
        <f>IFERROR(MID(A1828,FIND("01",A1828)+2,14),"")</f>
        <v/>
      </c>
      <c r="C1828" s="7">
        <f>IF(A1828="","",IFERROR(VLOOKUP(B1828,TblArticles,2,FALSE),"GTIN inconnu"))</f>
        <v/>
      </c>
      <c r="D1828" s="8">
        <f>IF(A1828="","",IFERROR(VLOOKUP(B1828,TblArticles,3,FALSE),""))</f>
        <v/>
      </c>
      <c r="E1828" s="9">
        <f>IFERROR(DATE(2000+VALUE(MID(A1828,FIND("15",A1828,FIND("01",A1828)+16)+2,2)),VALUE(MID(A1828,FIND("15",A1828,FIND("01",A1828)+16)+4,2)),VALUE(MID(A1828,FIND("15",A1828,FIND("01",A1828)+16)+6,2))),"")</f>
        <v/>
      </c>
      <c r="F1828" s="8">
        <f>IFERROR(MID(A1828,FIND("10",A1828,FIND("15",A1828,FIND("01",A1828)+16)+8)+2,50),"")</f>
        <v/>
      </c>
      <c r="G1828" s="8" t="n"/>
    </row>
    <row r="1829">
      <c r="A1829" s="4" t="n"/>
      <c r="B1829" s="5">
        <f>IFERROR(MID(A1829,FIND("01",A1829)+2,14),"")</f>
        <v/>
      </c>
      <c r="C1829" s="4">
        <f>IF(A1829="","",IFERROR(VLOOKUP(B1829,TblArticles,2,FALSE),"GTIN inconnu"))</f>
        <v/>
      </c>
      <c r="D1829" s="5">
        <f>IF(A1829="","",IFERROR(VLOOKUP(B1829,TblArticles,3,FALSE),""))</f>
        <v/>
      </c>
      <c r="E1829" s="6">
        <f>IFERROR(DATE(2000+VALUE(MID(A1829,FIND("15",A1829,FIND("01",A1829)+16)+2,2)),VALUE(MID(A1829,FIND("15",A1829,FIND("01",A1829)+16)+4,2)),VALUE(MID(A1829,FIND("15",A1829,FIND("01",A1829)+16)+6,2))),"")</f>
        <v/>
      </c>
      <c r="F1829" s="5">
        <f>IFERROR(MID(A1829,FIND("10",A1829,FIND("15",A1829,FIND("01",A1829)+16)+8)+2,50),"")</f>
        <v/>
      </c>
      <c r="G1829" s="5" t="n"/>
    </row>
    <row r="1830">
      <c r="A1830" s="7" t="n"/>
      <c r="B1830" s="8">
        <f>IFERROR(MID(A1830,FIND("01",A1830)+2,14),"")</f>
        <v/>
      </c>
      <c r="C1830" s="7">
        <f>IF(A1830="","",IFERROR(VLOOKUP(B1830,TblArticles,2,FALSE),"GTIN inconnu"))</f>
        <v/>
      </c>
      <c r="D1830" s="8">
        <f>IF(A1830="","",IFERROR(VLOOKUP(B1830,TblArticles,3,FALSE),""))</f>
        <v/>
      </c>
      <c r="E1830" s="9">
        <f>IFERROR(DATE(2000+VALUE(MID(A1830,FIND("15",A1830,FIND("01",A1830)+16)+2,2)),VALUE(MID(A1830,FIND("15",A1830,FIND("01",A1830)+16)+4,2)),VALUE(MID(A1830,FIND("15",A1830,FIND("01",A1830)+16)+6,2))),"")</f>
        <v/>
      </c>
      <c r="F1830" s="8">
        <f>IFERROR(MID(A1830,FIND("10",A1830,FIND("15",A1830,FIND("01",A1830)+16)+8)+2,50),"")</f>
        <v/>
      </c>
      <c r="G1830" s="8" t="n"/>
    </row>
    <row r="1831">
      <c r="A1831" s="4" t="n"/>
      <c r="B1831" s="5">
        <f>IFERROR(MID(A1831,FIND("01",A1831)+2,14),"")</f>
        <v/>
      </c>
      <c r="C1831" s="4">
        <f>IF(A1831="","",IFERROR(VLOOKUP(B1831,TblArticles,2,FALSE),"GTIN inconnu"))</f>
        <v/>
      </c>
      <c r="D1831" s="5">
        <f>IF(A1831="","",IFERROR(VLOOKUP(B1831,TblArticles,3,FALSE),""))</f>
        <v/>
      </c>
      <c r="E1831" s="6">
        <f>IFERROR(DATE(2000+VALUE(MID(A1831,FIND("15",A1831,FIND("01",A1831)+16)+2,2)),VALUE(MID(A1831,FIND("15",A1831,FIND("01",A1831)+16)+4,2)),VALUE(MID(A1831,FIND("15",A1831,FIND("01",A1831)+16)+6,2))),"")</f>
        <v/>
      </c>
      <c r="F1831" s="5">
        <f>IFERROR(MID(A1831,FIND("10",A1831,FIND("15",A1831,FIND("01",A1831)+16)+8)+2,50),"")</f>
        <v/>
      </c>
      <c r="G1831" s="5" t="n"/>
    </row>
    <row r="1832">
      <c r="A1832" s="7" t="n"/>
      <c r="B1832" s="8">
        <f>IFERROR(MID(A1832,FIND("01",A1832)+2,14),"")</f>
        <v/>
      </c>
      <c r="C1832" s="7">
        <f>IF(A1832="","",IFERROR(VLOOKUP(B1832,TblArticles,2,FALSE),"GTIN inconnu"))</f>
        <v/>
      </c>
      <c r="D1832" s="8">
        <f>IF(A1832="","",IFERROR(VLOOKUP(B1832,TblArticles,3,FALSE),""))</f>
        <v/>
      </c>
      <c r="E1832" s="9">
        <f>IFERROR(DATE(2000+VALUE(MID(A1832,FIND("15",A1832,FIND("01",A1832)+16)+2,2)),VALUE(MID(A1832,FIND("15",A1832,FIND("01",A1832)+16)+4,2)),VALUE(MID(A1832,FIND("15",A1832,FIND("01",A1832)+16)+6,2))),"")</f>
        <v/>
      </c>
      <c r="F1832" s="8">
        <f>IFERROR(MID(A1832,FIND("10",A1832,FIND("15",A1832,FIND("01",A1832)+16)+8)+2,50),"")</f>
        <v/>
      </c>
      <c r="G1832" s="8" t="n"/>
    </row>
    <row r="1833">
      <c r="A1833" s="4" t="n"/>
      <c r="B1833" s="5">
        <f>IFERROR(MID(A1833,FIND("01",A1833)+2,14),"")</f>
        <v/>
      </c>
      <c r="C1833" s="4">
        <f>IF(A1833="","",IFERROR(VLOOKUP(B1833,TblArticles,2,FALSE),"GTIN inconnu"))</f>
        <v/>
      </c>
      <c r="D1833" s="5">
        <f>IF(A1833="","",IFERROR(VLOOKUP(B1833,TblArticles,3,FALSE),""))</f>
        <v/>
      </c>
      <c r="E1833" s="6">
        <f>IFERROR(DATE(2000+VALUE(MID(A1833,FIND("15",A1833,FIND("01",A1833)+16)+2,2)),VALUE(MID(A1833,FIND("15",A1833,FIND("01",A1833)+16)+4,2)),VALUE(MID(A1833,FIND("15",A1833,FIND("01",A1833)+16)+6,2))),"")</f>
        <v/>
      </c>
      <c r="F1833" s="5">
        <f>IFERROR(MID(A1833,FIND("10",A1833,FIND("15",A1833,FIND("01",A1833)+16)+8)+2,50),"")</f>
        <v/>
      </c>
      <c r="G1833" s="5" t="n"/>
    </row>
    <row r="1834">
      <c r="A1834" s="7" t="n"/>
      <c r="B1834" s="8">
        <f>IFERROR(MID(A1834,FIND("01",A1834)+2,14),"")</f>
        <v/>
      </c>
      <c r="C1834" s="7">
        <f>IF(A1834="","",IFERROR(VLOOKUP(B1834,TblArticles,2,FALSE),"GTIN inconnu"))</f>
        <v/>
      </c>
      <c r="D1834" s="8">
        <f>IF(A1834="","",IFERROR(VLOOKUP(B1834,TblArticles,3,FALSE),""))</f>
        <v/>
      </c>
      <c r="E1834" s="9">
        <f>IFERROR(DATE(2000+VALUE(MID(A1834,FIND("15",A1834,FIND("01",A1834)+16)+2,2)),VALUE(MID(A1834,FIND("15",A1834,FIND("01",A1834)+16)+4,2)),VALUE(MID(A1834,FIND("15",A1834,FIND("01",A1834)+16)+6,2))),"")</f>
        <v/>
      </c>
      <c r="F1834" s="8">
        <f>IFERROR(MID(A1834,FIND("10",A1834,FIND("15",A1834,FIND("01",A1834)+16)+8)+2,50),"")</f>
        <v/>
      </c>
      <c r="G1834" s="8" t="n"/>
    </row>
    <row r="1835">
      <c r="A1835" s="4" t="n"/>
      <c r="B1835" s="5">
        <f>IFERROR(MID(A1835,FIND("01",A1835)+2,14),"")</f>
        <v/>
      </c>
      <c r="C1835" s="4">
        <f>IF(A1835="","",IFERROR(VLOOKUP(B1835,TblArticles,2,FALSE),"GTIN inconnu"))</f>
        <v/>
      </c>
      <c r="D1835" s="5">
        <f>IF(A1835="","",IFERROR(VLOOKUP(B1835,TblArticles,3,FALSE),""))</f>
        <v/>
      </c>
      <c r="E1835" s="6">
        <f>IFERROR(DATE(2000+VALUE(MID(A1835,FIND("15",A1835,FIND("01",A1835)+16)+2,2)),VALUE(MID(A1835,FIND("15",A1835,FIND("01",A1835)+16)+4,2)),VALUE(MID(A1835,FIND("15",A1835,FIND("01",A1835)+16)+6,2))),"")</f>
        <v/>
      </c>
      <c r="F1835" s="5">
        <f>IFERROR(MID(A1835,FIND("10",A1835,FIND("15",A1835,FIND("01",A1835)+16)+8)+2,50),"")</f>
        <v/>
      </c>
      <c r="G1835" s="5" t="n"/>
    </row>
    <row r="1836">
      <c r="A1836" s="7" t="n"/>
      <c r="B1836" s="8">
        <f>IFERROR(MID(A1836,FIND("01",A1836)+2,14),"")</f>
        <v/>
      </c>
      <c r="C1836" s="7">
        <f>IF(A1836="","",IFERROR(VLOOKUP(B1836,TblArticles,2,FALSE),"GTIN inconnu"))</f>
        <v/>
      </c>
      <c r="D1836" s="8">
        <f>IF(A1836="","",IFERROR(VLOOKUP(B1836,TblArticles,3,FALSE),""))</f>
        <v/>
      </c>
      <c r="E1836" s="9">
        <f>IFERROR(DATE(2000+VALUE(MID(A1836,FIND("15",A1836,FIND("01",A1836)+16)+2,2)),VALUE(MID(A1836,FIND("15",A1836,FIND("01",A1836)+16)+4,2)),VALUE(MID(A1836,FIND("15",A1836,FIND("01",A1836)+16)+6,2))),"")</f>
        <v/>
      </c>
      <c r="F1836" s="8">
        <f>IFERROR(MID(A1836,FIND("10",A1836,FIND("15",A1836,FIND("01",A1836)+16)+8)+2,50),"")</f>
        <v/>
      </c>
      <c r="G1836" s="8" t="n"/>
    </row>
    <row r="1837">
      <c r="A1837" s="4" t="n"/>
      <c r="B1837" s="5">
        <f>IFERROR(MID(A1837,FIND("01",A1837)+2,14),"")</f>
        <v/>
      </c>
      <c r="C1837" s="4">
        <f>IF(A1837="","",IFERROR(VLOOKUP(B1837,TblArticles,2,FALSE),"GTIN inconnu"))</f>
        <v/>
      </c>
      <c r="D1837" s="5">
        <f>IF(A1837="","",IFERROR(VLOOKUP(B1837,TblArticles,3,FALSE),""))</f>
        <v/>
      </c>
      <c r="E1837" s="6">
        <f>IFERROR(DATE(2000+VALUE(MID(A1837,FIND("15",A1837,FIND("01",A1837)+16)+2,2)),VALUE(MID(A1837,FIND("15",A1837,FIND("01",A1837)+16)+4,2)),VALUE(MID(A1837,FIND("15",A1837,FIND("01",A1837)+16)+6,2))),"")</f>
        <v/>
      </c>
      <c r="F1837" s="5">
        <f>IFERROR(MID(A1837,FIND("10",A1837,FIND("15",A1837,FIND("01",A1837)+16)+8)+2,50),"")</f>
        <v/>
      </c>
      <c r="G1837" s="5" t="n"/>
    </row>
    <row r="1838">
      <c r="A1838" s="7" t="n"/>
      <c r="B1838" s="8">
        <f>IFERROR(MID(A1838,FIND("01",A1838)+2,14),"")</f>
        <v/>
      </c>
      <c r="C1838" s="7">
        <f>IF(A1838="","",IFERROR(VLOOKUP(B1838,TblArticles,2,FALSE),"GTIN inconnu"))</f>
        <v/>
      </c>
      <c r="D1838" s="8">
        <f>IF(A1838="","",IFERROR(VLOOKUP(B1838,TblArticles,3,FALSE),""))</f>
        <v/>
      </c>
      <c r="E1838" s="9">
        <f>IFERROR(DATE(2000+VALUE(MID(A1838,FIND("15",A1838,FIND("01",A1838)+16)+2,2)),VALUE(MID(A1838,FIND("15",A1838,FIND("01",A1838)+16)+4,2)),VALUE(MID(A1838,FIND("15",A1838,FIND("01",A1838)+16)+6,2))),"")</f>
        <v/>
      </c>
      <c r="F1838" s="8">
        <f>IFERROR(MID(A1838,FIND("10",A1838,FIND("15",A1838,FIND("01",A1838)+16)+8)+2,50),"")</f>
        <v/>
      </c>
      <c r="G1838" s="8" t="n"/>
    </row>
    <row r="1839">
      <c r="A1839" s="4" t="n"/>
      <c r="B1839" s="5">
        <f>IFERROR(MID(A1839,FIND("01",A1839)+2,14),"")</f>
        <v/>
      </c>
      <c r="C1839" s="4">
        <f>IF(A1839="","",IFERROR(VLOOKUP(B1839,TblArticles,2,FALSE),"GTIN inconnu"))</f>
        <v/>
      </c>
      <c r="D1839" s="5">
        <f>IF(A1839="","",IFERROR(VLOOKUP(B1839,TblArticles,3,FALSE),""))</f>
        <v/>
      </c>
      <c r="E1839" s="6">
        <f>IFERROR(DATE(2000+VALUE(MID(A1839,FIND("15",A1839,FIND("01",A1839)+16)+2,2)),VALUE(MID(A1839,FIND("15",A1839,FIND("01",A1839)+16)+4,2)),VALUE(MID(A1839,FIND("15",A1839,FIND("01",A1839)+16)+6,2))),"")</f>
        <v/>
      </c>
      <c r="F1839" s="5">
        <f>IFERROR(MID(A1839,FIND("10",A1839,FIND("15",A1839,FIND("01",A1839)+16)+8)+2,50),"")</f>
        <v/>
      </c>
      <c r="G1839" s="5" t="n"/>
    </row>
    <row r="1840">
      <c r="A1840" s="7" t="n"/>
      <c r="B1840" s="8">
        <f>IFERROR(MID(A1840,FIND("01",A1840)+2,14),"")</f>
        <v/>
      </c>
      <c r="C1840" s="7">
        <f>IF(A1840="","",IFERROR(VLOOKUP(B1840,TblArticles,2,FALSE),"GTIN inconnu"))</f>
        <v/>
      </c>
      <c r="D1840" s="8">
        <f>IF(A1840="","",IFERROR(VLOOKUP(B1840,TblArticles,3,FALSE),""))</f>
        <v/>
      </c>
      <c r="E1840" s="9">
        <f>IFERROR(DATE(2000+VALUE(MID(A1840,FIND("15",A1840,FIND("01",A1840)+16)+2,2)),VALUE(MID(A1840,FIND("15",A1840,FIND("01",A1840)+16)+4,2)),VALUE(MID(A1840,FIND("15",A1840,FIND("01",A1840)+16)+6,2))),"")</f>
        <v/>
      </c>
      <c r="F1840" s="8">
        <f>IFERROR(MID(A1840,FIND("10",A1840,FIND("15",A1840,FIND("01",A1840)+16)+8)+2,50),"")</f>
        <v/>
      </c>
      <c r="G1840" s="8" t="n"/>
    </row>
    <row r="1841">
      <c r="A1841" s="4" t="n"/>
      <c r="B1841" s="5">
        <f>IFERROR(MID(A1841,FIND("01",A1841)+2,14),"")</f>
        <v/>
      </c>
      <c r="C1841" s="4">
        <f>IF(A1841="","",IFERROR(VLOOKUP(B1841,TblArticles,2,FALSE),"GTIN inconnu"))</f>
        <v/>
      </c>
      <c r="D1841" s="5">
        <f>IF(A1841="","",IFERROR(VLOOKUP(B1841,TblArticles,3,FALSE),""))</f>
        <v/>
      </c>
      <c r="E1841" s="6">
        <f>IFERROR(DATE(2000+VALUE(MID(A1841,FIND("15",A1841,FIND("01",A1841)+16)+2,2)),VALUE(MID(A1841,FIND("15",A1841,FIND("01",A1841)+16)+4,2)),VALUE(MID(A1841,FIND("15",A1841,FIND("01",A1841)+16)+6,2))),"")</f>
        <v/>
      </c>
      <c r="F1841" s="5">
        <f>IFERROR(MID(A1841,FIND("10",A1841,FIND("15",A1841,FIND("01",A1841)+16)+8)+2,50),"")</f>
        <v/>
      </c>
      <c r="G1841" s="5" t="n"/>
    </row>
    <row r="1842">
      <c r="A1842" s="7" t="n"/>
      <c r="B1842" s="8">
        <f>IFERROR(MID(A1842,FIND("01",A1842)+2,14),"")</f>
        <v/>
      </c>
      <c r="C1842" s="7">
        <f>IF(A1842="","",IFERROR(VLOOKUP(B1842,TblArticles,2,FALSE),"GTIN inconnu"))</f>
        <v/>
      </c>
      <c r="D1842" s="8">
        <f>IF(A1842="","",IFERROR(VLOOKUP(B1842,TblArticles,3,FALSE),""))</f>
        <v/>
      </c>
      <c r="E1842" s="9">
        <f>IFERROR(DATE(2000+VALUE(MID(A1842,FIND("15",A1842,FIND("01",A1842)+16)+2,2)),VALUE(MID(A1842,FIND("15",A1842,FIND("01",A1842)+16)+4,2)),VALUE(MID(A1842,FIND("15",A1842,FIND("01",A1842)+16)+6,2))),"")</f>
        <v/>
      </c>
      <c r="F1842" s="8">
        <f>IFERROR(MID(A1842,FIND("10",A1842,FIND("15",A1842,FIND("01",A1842)+16)+8)+2,50),"")</f>
        <v/>
      </c>
      <c r="G1842" s="8" t="n"/>
    </row>
    <row r="1843">
      <c r="A1843" s="4" t="n"/>
      <c r="B1843" s="5">
        <f>IFERROR(MID(A1843,FIND("01",A1843)+2,14),"")</f>
        <v/>
      </c>
      <c r="C1843" s="4">
        <f>IF(A1843="","",IFERROR(VLOOKUP(B1843,TblArticles,2,FALSE),"GTIN inconnu"))</f>
        <v/>
      </c>
      <c r="D1843" s="5">
        <f>IF(A1843="","",IFERROR(VLOOKUP(B1843,TblArticles,3,FALSE),""))</f>
        <v/>
      </c>
      <c r="E1843" s="6">
        <f>IFERROR(DATE(2000+VALUE(MID(A1843,FIND("15",A1843,FIND("01",A1843)+16)+2,2)),VALUE(MID(A1843,FIND("15",A1843,FIND("01",A1843)+16)+4,2)),VALUE(MID(A1843,FIND("15",A1843,FIND("01",A1843)+16)+6,2))),"")</f>
        <v/>
      </c>
      <c r="F1843" s="5">
        <f>IFERROR(MID(A1843,FIND("10",A1843,FIND("15",A1843,FIND("01",A1843)+16)+8)+2,50),"")</f>
        <v/>
      </c>
      <c r="G1843" s="5" t="n"/>
    </row>
    <row r="1844">
      <c r="A1844" s="7" t="n"/>
      <c r="B1844" s="8">
        <f>IFERROR(MID(A1844,FIND("01",A1844)+2,14),"")</f>
        <v/>
      </c>
      <c r="C1844" s="7">
        <f>IF(A1844="","",IFERROR(VLOOKUP(B1844,TblArticles,2,FALSE),"GTIN inconnu"))</f>
        <v/>
      </c>
      <c r="D1844" s="8">
        <f>IF(A1844="","",IFERROR(VLOOKUP(B1844,TblArticles,3,FALSE),""))</f>
        <v/>
      </c>
      <c r="E1844" s="9">
        <f>IFERROR(DATE(2000+VALUE(MID(A1844,FIND("15",A1844,FIND("01",A1844)+16)+2,2)),VALUE(MID(A1844,FIND("15",A1844,FIND("01",A1844)+16)+4,2)),VALUE(MID(A1844,FIND("15",A1844,FIND("01",A1844)+16)+6,2))),"")</f>
        <v/>
      </c>
      <c r="F1844" s="8">
        <f>IFERROR(MID(A1844,FIND("10",A1844,FIND("15",A1844,FIND("01",A1844)+16)+8)+2,50),"")</f>
        <v/>
      </c>
      <c r="G1844" s="8" t="n"/>
    </row>
    <row r="1845">
      <c r="A1845" s="4" t="n"/>
      <c r="B1845" s="5">
        <f>IFERROR(MID(A1845,FIND("01",A1845)+2,14),"")</f>
        <v/>
      </c>
      <c r="C1845" s="4">
        <f>IF(A1845="","",IFERROR(VLOOKUP(B1845,TblArticles,2,FALSE),"GTIN inconnu"))</f>
        <v/>
      </c>
      <c r="D1845" s="5">
        <f>IF(A1845="","",IFERROR(VLOOKUP(B1845,TblArticles,3,FALSE),""))</f>
        <v/>
      </c>
      <c r="E1845" s="6">
        <f>IFERROR(DATE(2000+VALUE(MID(A1845,FIND("15",A1845,FIND("01",A1845)+16)+2,2)),VALUE(MID(A1845,FIND("15",A1845,FIND("01",A1845)+16)+4,2)),VALUE(MID(A1845,FIND("15",A1845,FIND("01",A1845)+16)+6,2))),"")</f>
        <v/>
      </c>
      <c r="F1845" s="5">
        <f>IFERROR(MID(A1845,FIND("10",A1845,FIND("15",A1845,FIND("01",A1845)+16)+8)+2,50),"")</f>
        <v/>
      </c>
      <c r="G1845" s="5" t="n"/>
    </row>
    <row r="1846">
      <c r="A1846" s="7" t="n"/>
      <c r="B1846" s="8">
        <f>IFERROR(MID(A1846,FIND("01",A1846)+2,14),"")</f>
        <v/>
      </c>
      <c r="C1846" s="7">
        <f>IF(A1846="","",IFERROR(VLOOKUP(B1846,TblArticles,2,FALSE),"GTIN inconnu"))</f>
        <v/>
      </c>
      <c r="D1846" s="8">
        <f>IF(A1846="","",IFERROR(VLOOKUP(B1846,TblArticles,3,FALSE),""))</f>
        <v/>
      </c>
      <c r="E1846" s="9">
        <f>IFERROR(DATE(2000+VALUE(MID(A1846,FIND("15",A1846,FIND("01",A1846)+16)+2,2)),VALUE(MID(A1846,FIND("15",A1846,FIND("01",A1846)+16)+4,2)),VALUE(MID(A1846,FIND("15",A1846,FIND("01",A1846)+16)+6,2))),"")</f>
        <v/>
      </c>
      <c r="F1846" s="8">
        <f>IFERROR(MID(A1846,FIND("10",A1846,FIND("15",A1846,FIND("01",A1846)+16)+8)+2,50),"")</f>
        <v/>
      </c>
      <c r="G1846" s="8" t="n"/>
    </row>
    <row r="1847">
      <c r="A1847" s="4" t="n"/>
      <c r="B1847" s="5">
        <f>IFERROR(MID(A1847,FIND("01",A1847)+2,14),"")</f>
        <v/>
      </c>
      <c r="C1847" s="4">
        <f>IF(A1847="","",IFERROR(VLOOKUP(B1847,TblArticles,2,FALSE),"GTIN inconnu"))</f>
        <v/>
      </c>
      <c r="D1847" s="5">
        <f>IF(A1847="","",IFERROR(VLOOKUP(B1847,TblArticles,3,FALSE),""))</f>
        <v/>
      </c>
      <c r="E1847" s="6">
        <f>IFERROR(DATE(2000+VALUE(MID(A1847,FIND("15",A1847,FIND("01",A1847)+16)+2,2)),VALUE(MID(A1847,FIND("15",A1847,FIND("01",A1847)+16)+4,2)),VALUE(MID(A1847,FIND("15",A1847,FIND("01",A1847)+16)+6,2))),"")</f>
        <v/>
      </c>
      <c r="F1847" s="5">
        <f>IFERROR(MID(A1847,FIND("10",A1847,FIND("15",A1847,FIND("01",A1847)+16)+8)+2,50),"")</f>
        <v/>
      </c>
      <c r="G1847" s="5" t="n"/>
    </row>
    <row r="1848">
      <c r="A1848" s="7" t="n"/>
      <c r="B1848" s="8">
        <f>IFERROR(MID(A1848,FIND("01",A1848)+2,14),"")</f>
        <v/>
      </c>
      <c r="C1848" s="7">
        <f>IF(A1848="","",IFERROR(VLOOKUP(B1848,TblArticles,2,FALSE),"GTIN inconnu"))</f>
        <v/>
      </c>
      <c r="D1848" s="8">
        <f>IF(A1848="","",IFERROR(VLOOKUP(B1848,TblArticles,3,FALSE),""))</f>
        <v/>
      </c>
      <c r="E1848" s="9">
        <f>IFERROR(DATE(2000+VALUE(MID(A1848,FIND("15",A1848,FIND("01",A1848)+16)+2,2)),VALUE(MID(A1848,FIND("15",A1848,FIND("01",A1848)+16)+4,2)),VALUE(MID(A1848,FIND("15",A1848,FIND("01",A1848)+16)+6,2))),"")</f>
        <v/>
      </c>
      <c r="F1848" s="8">
        <f>IFERROR(MID(A1848,FIND("10",A1848,FIND("15",A1848,FIND("01",A1848)+16)+8)+2,50),"")</f>
        <v/>
      </c>
      <c r="G1848" s="8" t="n"/>
    </row>
    <row r="1849">
      <c r="A1849" s="4" t="n"/>
      <c r="B1849" s="5">
        <f>IFERROR(MID(A1849,FIND("01",A1849)+2,14),"")</f>
        <v/>
      </c>
      <c r="C1849" s="4">
        <f>IF(A1849="","",IFERROR(VLOOKUP(B1849,TblArticles,2,FALSE),"GTIN inconnu"))</f>
        <v/>
      </c>
      <c r="D1849" s="5">
        <f>IF(A1849="","",IFERROR(VLOOKUP(B1849,TblArticles,3,FALSE),""))</f>
        <v/>
      </c>
      <c r="E1849" s="6">
        <f>IFERROR(DATE(2000+VALUE(MID(A1849,FIND("15",A1849,FIND("01",A1849)+16)+2,2)),VALUE(MID(A1849,FIND("15",A1849,FIND("01",A1849)+16)+4,2)),VALUE(MID(A1849,FIND("15",A1849,FIND("01",A1849)+16)+6,2))),"")</f>
        <v/>
      </c>
      <c r="F1849" s="5">
        <f>IFERROR(MID(A1849,FIND("10",A1849,FIND("15",A1849,FIND("01",A1849)+16)+8)+2,50),"")</f>
        <v/>
      </c>
      <c r="G1849" s="5" t="n"/>
    </row>
    <row r="1850">
      <c r="A1850" s="7" t="n"/>
      <c r="B1850" s="8">
        <f>IFERROR(MID(A1850,FIND("01",A1850)+2,14),"")</f>
        <v/>
      </c>
      <c r="C1850" s="7">
        <f>IF(A1850="","",IFERROR(VLOOKUP(B1850,TblArticles,2,FALSE),"GTIN inconnu"))</f>
        <v/>
      </c>
      <c r="D1850" s="8">
        <f>IF(A1850="","",IFERROR(VLOOKUP(B1850,TblArticles,3,FALSE),""))</f>
        <v/>
      </c>
      <c r="E1850" s="9">
        <f>IFERROR(DATE(2000+VALUE(MID(A1850,FIND("15",A1850,FIND("01",A1850)+16)+2,2)),VALUE(MID(A1850,FIND("15",A1850,FIND("01",A1850)+16)+4,2)),VALUE(MID(A1850,FIND("15",A1850,FIND("01",A1850)+16)+6,2))),"")</f>
        <v/>
      </c>
      <c r="F1850" s="8">
        <f>IFERROR(MID(A1850,FIND("10",A1850,FIND("15",A1850,FIND("01",A1850)+16)+8)+2,50),"")</f>
        <v/>
      </c>
      <c r="G1850" s="8" t="n"/>
    </row>
    <row r="1851">
      <c r="A1851" s="4" t="n"/>
      <c r="B1851" s="5">
        <f>IFERROR(MID(A1851,FIND("01",A1851)+2,14),"")</f>
        <v/>
      </c>
      <c r="C1851" s="4">
        <f>IF(A1851="","",IFERROR(VLOOKUP(B1851,TblArticles,2,FALSE),"GTIN inconnu"))</f>
        <v/>
      </c>
      <c r="D1851" s="5">
        <f>IF(A1851="","",IFERROR(VLOOKUP(B1851,TblArticles,3,FALSE),""))</f>
        <v/>
      </c>
      <c r="E1851" s="6">
        <f>IFERROR(DATE(2000+VALUE(MID(A1851,FIND("15",A1851,FIND("01",A1851)+16)+2,2)),VALUE(MID(A1851,FIND("15",A1851,FIND("01",A1851)+16)+4,2)),VALUE(MID(A1851,FIND("15",A1851,FIND("01",A1851)+16)+6,2))),"")</f>
        <v/>
      </c>
      <c r="F1851" s="5">
        <f>IFERROR(MID(A1851,FIND("10",A1851,FIND("15",A1851,FIND("01",A1851)+16)+8)+2,50),"")</f>
        <v/>
      </c>
      <c r="G1851" s="5" t="n"/>
    </row>
    <row r="1852">
      <c r="A1852" s="7" t="n"/>
      <c r="B1852" s="8">
        <f>IFERROR(MID(A1852,FIND("01",A1852)+2,14),"")</f>
        <v/>
      </c>
      <c r="C1852" s="7">
        <f>IF(A1852="","",IFERROR(VLOOKUP(B1852,TblArticles,2,FALSE),"GTIN inconnu"))</f>
        <v/>
      </c>
      <c r="D1852" s="8">
        <f>IF(A1852="","",IFERROR(VLOOKUP(B1852,TblArticles,3,FALSE),""))</f>
        <v/>
      </c>
      <c r="E1852" s="9">
        <f>IFERROR(DATE(2000+VALUE(MID(A1852,FIND("15",A1852,FIND("01",A1852)+16)+2,2)),VALUE(MID(A1852,FIND("15",A1852,FIND("01",A1852)+16)+4,2)),VALUE(MID(A1852,FIND("15",A1852,FIND("01",A1852)+16)+6,2))),"")</f>
        <v/>
      </c>
      <c r="F1852" s="8">
        <f>IFERROR(MID(A1852,FIND("10",A1852,FIND("15",A1852,FIND("01",A1852)+16)+8)+2,50),"")</f>
        <v/>
      </c>
      <c r="G1852" s="8" t="n"/>
    </row>
    <row r="1853">
      <c r="A1853" s="4" t="n"/>
      <c r="B1853" s="5">
        <f>IFERROR(MID(A1853,FIND("01",A1853)+2,14),"")</f>
        <v/>
      </c>
      <c r="C1853" s="4">
        <f>IF(A1853="","",IFERROR(VLOOKUP(B1853,TblArticles,2,FALSE),"GTIN inconnu"))</f>
        <v/>
      </c>
      <c r="D1853" s="5">
        <f>IF(A1853="","",IFERROR(VLOOKUP(B1853,TblArticles,3,FALSE),""))</f>
        <v/>
      </c>
      <c r="E1853" s="6">
        <f>IFERROR(DATE(2000+VALUE(MID(A1853,FIND("15",A1853,FIND("01",A1853)+16)+2,2)),VALUE(MID(A1853,FIND("15",A1853,FIND("01",A1853)+16)+4,2)),VALUE(MID(A1853,FIND("15",A1853,FIND("01",A1853)+16)+6,2))),"")</f>
        <v/>
      </c>
      <c r="F1853" s="5">
        <f>IFERROR(MID(A1853,FIND("10",A1853,FIND("15",A1853,FIND("01",A1853)+16)+8)+2,50),"")</f>
        <v/>
      </c>
      <c r="G1853" s="5" t="n"/>
    </row>
    <row r="1854">
      <c r="A1854" s="7" t="n"/>
      <c r="B1854" s="8">
        <f>IFERROR(MID(A1854,FIND("01",A1854)+2,14),"")</f>
        <v/>
      </c>
      <c r="C1854" s="7">
        <f>IF(A1854="","",IFERROR(VLOOKUP(B1854,TblArticles,2,FALSE),"GTIN inconnu"))</f>
        <v/>
      </c>
      <c r="D1854" s="8">
        <f>IF(A1854="","",IFERROR(VLOOKUP(B1854,TblArticles,3,FALSE),""))</f>
        <v/>
      </c>
      <c r="E1854" s="9">
        <f>IFERROR(DATE(2000+VALUE(MID(A1854,FIND("15",A1854,FIND("01",A1854)+16)+2,2)),VALUE(MID(A1854,FIND("15",A1854,FIND("01",A1854)+16)+4,2)),VALUE(MID(A1854,FIND("15",A1854,FIND("01",A1854)+16)+6,2))),"")</f>
        <v/>
      </c>
      <c r="F1854" s="8">
        <f>IFERROR(MID(A1854,FIND("10",A1854,FIND("15",A1854,FIND("01",A1854)+16)+8)+2,50),"")</f>
        <v/>
      </c>
      <c r="G1854" s="8" t="n"/>
    </row>
    <row r="1855">
      <c r="A1855" s="4" t="n"/>
      <c r="B1855" s="5">
        <f>IFERROR(MID(A1855,FIND("01",A1855)+2,14),"")</f>
        <v/>
      </c>
      <c r="C1855" s="4">
        <f>IF(A1855="","",IFERROR(VLOOKUP(B1855,TblArticles,2,FALSE),"GTIN inconnu"))</f>
        <v/>
      </c>
      <c r="D1855" s="5">
        <f>IF(A1855="","",IFERROR(VLOOKUP(B1855,TblArticles,3,FALSE),""))</f>
        <v/>
      </c>
      <c r="E1855" s="6">
        <f>IFERROR(DATE(2000+VALUE(MID(A1855,FIND("15",A1855,FIND("01",A1855)+16)+2,2)),VALUE(MID(A1855,FIND("15",A1855,FIND("01",A1855)+16)+4,2)),VALUE(MID(A1855,FIND("15",A1855,FIND("01",A1855)+16)+6,2))),"")</f>
        <v/>
      </c>
      <c r="F1855" s="5">
        <f>IFERROR(MID(A1855,FIND("10",A1855,FIND("15",A1855,FIND("01",A1855)+16)+8)+2,50),"")</f>
        <v/>
      </c>
      <c r="G1855" s="5" t="n"/>
    </row>
    <row r="1856">
      <c r="A1856" s="7" t="n"/>
      <c r="B1856" s="8">
        <f>IFERROR(MID(A1856,FIND("01",A1856)+2,14),"")</f>
        <v/>
      </c>
      <c r="C1856" s="7">
        <f>IF(A1856="","",IFERROR(VLOOKUP(B1856,TblArticles,2,FALSE),"GTIN inconnu"))</f>
        <v/>
      </c>
      <c r="D1856" s="8">
        <f>IF(A1856="","",IFERROR(VLOOKUP(B1856,TblArticles,3,FALSE),""))</f>
        <v/>
      </c>
      <c r="E1856" s="9">
        <f>IFERROR(DATE(2000+VALUE(MID(A1856,FIND("15",A1856,FIND("01",A1856)+16)+2,2)),VALUE(MID(A1856,FIND("15",A1856,FIND("01",A1856)+16)+4,2)),VALUE(MID(A1856,FIND("15",A1856,FIND("01",A1856)+16)+6,2))),"")</f>
        <v/>
      </c>
      <c r="F1856" s="8">
        <f>IFERROR(MID(A1856,FIND("10",A1856,FIND("15",A1856,FIND("01",A1856)+16)+8)+2,50),"")</f>
        <v/>
      </c>
      <c r="G1856" s="8" t="n"/>
    </row>
    <row r="1857">
      <c r="A1857" s="4" t="n"/>
      <c r="B1857" s="5">
        <f>IFERROR(MID(A1857,FIND("01",A1857)+2,14),"")</f>
        <v/>
      </c>
      <c r="C1857" s="4">
        <f>IF(A1857="","",IFERROR(VLOOKUP(B1857,TblArticles,2,FALSE),"GTIN inconnu"))</f>
        <v/>
      </c>
      <c r="D1857" s="5">
        <f>IF(A1857="","",IFERROR(VLOOKUP(B1857,TblArticles,3,FALSE),""))</f>
        <v/>
      </c>
      <c r="E1857" s="6">
        <f>IFERROR(DATE(2000+VALUE(MID(A1857,FIND("15",A1857,FIND("01",A1857)+16)+2,2)),VALUE(MID(A1857,FIND("15",A1857,FIND("01",A1857)+16)+4,2)),VALUE(MID(A1857,FIND("15",A1857,FIND("01",A1857)+16)+6,2))),"")</f>
        <v/>
      </c>
      <c r="F1857" s="5">
        <f>IFERROR(MID(A1857,FIND("10",A1857,FIND("15",A1857,FIND("01",A1857)+16)+8)+2,50),"")</f>
        <v/>
      </c>
      <c r="G1857" s="5" t="n"/>
    </row>
    <row r="1858">
      <c r="A1858" s="7" t="n"/>
      <c r="B1858" s="8">
        <f>IFERROR(MID(A1858,FIND("01",A1858)+2,14),"")</f>
        <v/>
      </c>
      <c r="C1858" s="7">
        <f>IF(A1858="","",IFERROR(VLOOKUP(B1858,TblArticles,2,FALSE),"GTIN inconnu"))</f>
        <v/>
      </c>
      <c r="D1858" s="8">
        <f>IF(A1858="","",IFERROR(VLOOKUP(B1858,TblArticles,3,FALSE),""))</f>
        <v/>
      </c>
      <c r="E1858" s="9">
        <f>IFERROR(DATE(2000+VALUE(MID(A1858,FIND("15",A1858,FIND("01",A1858)+16)+2,2)),VALUE(MID(A1858,FIND("15",A1858,FIND("01",A1858)+16)+4,2)),VALUE(MID(A1858,FIND("15",A1858,FIND("01",A1858)+16)+6,2))),"")</f>
        <v/>
      </c>
      <c r="F1858" s="8">
        <f>IFERROR(MID(A1858,FIND("10",A1858,FIND("15",A1858,FIND("01",A1858)+16)+8)+2,50),"")</f>
        <v/>
      </c>
      <c r="G1858" s="8" t="n"/>
    </row>
    <row r="1859">
      <c r="A1859" s="4" t="n"/>
      <c r="B1859" s="5">
        <f>IFERROR(MID(A1859,FIND("01",A1859)+2,14),"")</f>
        <v/>
      </c>
      <c r="C1859" s="4">
        <f>IF(A1859="","",IFERROR(VLOOKUP(B1859,TblArticles,2,FALSE),"GTIN inconnu"))</f>
        <v/>
      </c>
      <c r="D1859" s="5">
        <f>IF(A1859="","",IFERROR(VLOOKUP(B1859,TblArticles,3,FALSE),""))</f>
        <v/>
      </c>
      <c r="E1859" s="6">
        <f>IFERROR(DATE(2000+VALUE(MID(A1859,FIND("15",A1859,FIND("01",A1859)+16)+2,2)),VALUE(MID(A1859,FIND("15",A1859,FIND("01",A1859)+16)+4,2)),VALUE(MID(A1859,FIND("15",A1859,FIND("01",A1859)+16)+6,2))),"")</f>
        <v/>
      </c>
      <c r="F1859" s="5">
        <f>IFERROR(MID(A1859,FIND("10",A1859,FIND("15",A1859,FIND("01",A1859)+16)+8)+2,50),"")</f>
        <v/>
      </c>
      <c r="G1859" s="5" t="n"/>
    </row>
    <row r="1860">
      <c r="A1860" s="7" t="n"/>
      <c r="B1860" s="8">
        <f>IFERROR(MID(A1860,FIND("01",A1860)+2,14),"")</f>
        <v/>
      </c>
      <c r="C1860" s="7">
        <f>IF(A1860="","",IFERROR(VLOOKUP(B1860,TblArticles,2,FALSE),"GTIN inconnu"))</f>
        <v/>
      </c>
      <c r="D1860" s="8">
        <f>IF(A1860="","",IFERROR(VLOOKUP(B1860,TblArticles,3,FALSE),""))</f>
        <v/>
      </c>
      <c r="E1860" s="9">
        <f>IFERROR(DATE(2000+VALUE(MID(A1860,FIND("15",A1860,FIND("01",A1860)+16)+2,2)),VALUE(MID(A1860,FIND("15",A1860,FIND("01",A1860)+16)+4,2)),VALUE(MID(A1860,FIND("15",A1860,FIND("01",A1860)+16)+6,2))),"")</f>
        <v/>
      </c>
      <c r="F1860" s="8">
        <f>IFERROR(MID(A1860,FIND("10",A1860,FIND("15",A1860,FIND("01",A1860)+16)+8)+2,50),"")</f>
        <v/>
      </c>
      <c r="G1860" s="8" t="n"/>
    </row>
    <row r="1861">
      <c r="A1861" s="4" t="n"/>
      <c r="B1861" s="5">
        <f>IFERROR(MID(A1861,FIND("01",A1861)+2,14),"")</f>
        <v/>
      </c>
      <c r="C1861" s="4">
        <f>IF(A1861="","",IFERROR(VLOOKUP(B1861,TblArticles,2,FALSE),"GTIN inconnu"))</f>
        <v/>
      </c>
      <c r="D1861" s="5">
        <f>IF(A1861="","",IFERROR(VLOOKUP(B1861,TblArticles,3,FALSE),""))</f>
        <v/>
      </c>
      <c r="E1861" s="6">
        <f>IFERROR(DATE(2000+VALUE(MID(A1861,FIND("15",A1861,FIND("01",A1861)+16)+2,2)),VALUE(MID(A1861,FIND("15",A1861,FIND("01",A1861)+16)+4,2)),VALUE(MID(A1861,FIND("15",A1861,FIND("01",A1861)+16)+6,2))),"")</f>
        <v/>
      </c>
      <c r="F1861" s="5">
        <f>IFERROR(MID(A1861,FIND("10",A1861,FIND("15",A1861,FIND("01",A1861)+16)+8)+2,50),"")</f>
        <v/>
      </c>
      <c r="G1861" s="5" t="n"/>
    </row>
    <row r="1862">
      <c r="A1862" s="7" t="n"/>
      <c r="B1862" s="8">
        <f>IFERROR(MID(A1862,FIND("01",A1862)+2,14),"")</f>
        <v/>
      </c>
      <c r="C1862" s="7">
        <f>IF(A1862="","",IFERROR(VLOOKUP(B1862,TblArticles,2,FALSE),"GTIN inconnu"))</f>
        <v/>
      </c>
      <c r="D1862" s="8">
        <f>IF(A1862="","",IFERROR(VLOOKUP(B1862,TblArticles,3,FALSE),""))</f>
        <v/>
      </c>
      <c r="E1862" s="9">
        <f>IFERROR(DATE(2000+VALUE(MID(A1862,FIND("15",A1862,FIND("01",A1862)+16)+2,2)),VALUE(MID(A1862,FIND("15",A1862,FIND("01",A1862)+16)+4,2)),VALUE(MID(A1862,FIND("15",A1862,FIND("01",A1862)+16)+6,2))),"")</f>
        <v/>
      </c>
      <c r="F1862" s="8">
        <f>IFERROR(MID(A1862,FIND("10",A1862,FIND("15",A1862,FIND("01",A1862)+16)+8)+2,50),"")</f>
        <v/>
      </c>
      <c r="G1862" s="8" t="n"/>
    </row>
    <row r="1863">
      <c r="A1863" s="4" t="n"/>
      <c r="B1863" s="5">
        <f>IFERROR(MID(A1863,FIND("01",A1863)+2,14),"")</f>
        <v/>
      </c>
      <c r="C1863" s="4">
        <f>IF(A1863="","",IFERROR(VLOOKUP(B1863,TblArticles,2,FALSE),"GTIN inconnu"))</f>
        <v/>
      </c>
      <c r="D1863" s="5">
        <f>IF(A1863="","",IFERROR(VLOOKUP(B1863,TblArticles,3,FALSE),""))</f>
        <v/>
      </c>
      <c r="E1863" s="6">
        <f>IFERROR(DATE(2000+VALUE(MID(A1863,FIND("15",A1863,FIND("01",A1863)+16)+2,2)),VALUE(MID(A1863,FIND("15",A1863,FIND("01",A1863)+16)+4,2)),VALUE(MID(A1863,FIND("15",A1863,FIND("01",A1863)+16)+6,2))),"")</f>
        <v/>
      </c>
      <c r="F1863" s="5">
        <f>IFERROR(MID(A1863,FIND("10",A1863,FIND("15",A1863,FIND("01",A1863)+16)+8)+2,50),"")</f>
        <v/>
      </c>
      <c r="G1863" s="5" t="n"/>
    </row>
    <row r="1864">
      <c r="A1864" s="7" t="n"/>
      <c r="B1864" s="8">
        <f>IFERROR(MID(A1864,FIND("01",A1864)+2,14),"")</f>
        <v/>
      </c>
      <c r="C1864" s="7">
        <f>IF(A1864="","",IFERROR(VLOOKUP(B1864,TblArticles,2,FALSE),"GTIN inconnu"))</f>
        <v/>
      </c>
      <c r="D1864" s="8">
        <f>IF(A1864="","",IFERROR(VLOOKUP(B1864,TblArticles,3,FALSE),""))</f>
        <v/>
      </c>
      <c r="E1864" s="9">
        <f>IFERROR(DATE(2000+VALUE(MID(A1864,FIND("15",A1864,FIND("01",A1864)+16)+2,2)),VALUE(MID(A1864,FIND("15",A1864,FIND("01",A1864)+16)+4,2)),VALUE(MID(A1864,FIND("15",A1864,FIND("01",A1864)+16)+6,2))),"")</f>
        <v/>
      </c>
      <c r="F1864" s="8">
        <f>IFERROR(MID(A1864,FIND("10",A1864,FIND("15",A1864,FIND("01",A1864)+16)+8)+2,50),"")</f>
        <v/>
      </c>
      <c r="G1864" s="8" t="n"/>
    </row>
    <row r="1865">
      <c r="A1865" s="4" t="n"/>
      <c r="B1865" s="5">
        <f>IFERROR(MID(A1865,FIND("01",A1865)+2,14),"")</f>
        <v/>
      </c>
      <c r="C1865" s="4">
        <f>IF(A1865="","",IFERROR(VLOOKUP(B1865,TblArticles,2,FALSE),"GTIN inconnu"))</f>
        <v/>
      </c>
      <c r="D1865" s="5">
        <f>IF(A1865="","",IFERROR(VLOOKUP(B1865,TblArticles,3,FALSE),""))</f>
        <v/>
      </c>
      <c r="E1865" s="6">
        <f>IFERROR(DATE(2000+VALUE(MID(A1865,FIND("15",A1865,FIND("01",A1865)+16)+2,2)),VALUE(MID(A1865,FIND("15",A1865,FIND("01",A1865)+16)+4,2)),VALUE(MID(A1865,FIND("15",A1865,FIND("01",A1865)+16)+6,2))),"")</f>
        <v/>
      </c>
      <c r="F1865" s="5">
        <f>IFERROR(MID(A1865,FIND("10",A1865,FIND("15",A1865,FIND("01",A1865)+16)+8)+2,50),"")</f>
        <v/>
      </c>
      <c r="G1865" s="5" t="n"/>
    </row>
    <row r="1866">
      <c r="A1866" s="7" t="n"/>
      <c r="B1866" s="8">
        <f>IFERROR(MID(A1866,FIND("01",A1866)+2,14),"")</f>
        <v/>
      </c>
      <c r="C1866" s="7">
        <f>IF(A1866="","",IFERROR(VLOOKUP(B1866,TblArticles,2,FALSE),"GTIN inconnu"))</f>
        <v/>
      </c>
      <c r="D1866" s="8">
        <f>IF(A1866="","",IFERROR(VLOOKUP(B1866,TblArticles,3,FALSE),""))</f>
        <v/>
      </c>
      <c r="E1866" s="9">
        <f>IFERROR(DATE(2000+VALUE(MID(A1866,FIND("15",A1866,FIND("01",A1866)+16)+2,2)),VALUE(MID(A1866,FIND("15",A1866,FIND("01",A1866)+16)+4,2)),VALUE(MID(A1866,FIND("15",A1866,FIND("01",A1866)+16)+6,2))),"")</f>
        <v/>
      </c>
      <c r="F1866" s="8">
        <f>IFERROR(MID(A1866,FIND("10",A1866,FIND("15",A1866,FIND("01",A1866)+16)+8)+2,50),"")</f>
        <v/>
      </c>
      <c r="G1866" s="8" t="n"/>
    </row>
    <row r="1867">
      <c r="A1867" s="4" t="n"/>
      <c r="B1867" s="5">
        <f>IFERROR(MID(A1867,FIND("01",A1867)+2,14),"")</f>
        <v/>
      </c>
      <c r="C1867" s="4">
        <f>IF(A1867="","",IFERROR(VLOOKUP(B1867,TblArticles,2,FALSE),"GTIN inconnu"))</f>
        <v/>
      </c>
      <c r="D1867" s="5">
        <f>IF(A1867="","",IFERROR(VLOOKUP(B1867,TblArticles,3,FALSE),""))</f>
        <v/>
      </c>
      <c r="E1867" s="6">
        <f>IFERROR(DATE(2000+VALUE(MID(A1867,FIND("15",A1867,FIND("01",A1867)+16)+2,2)),VALUE(MID(A1867,FIND("15",A1867,FIND("01",A1867)+16)+4,2)),VALUE(MID(A1867,FIND("15",A1867,FIND("01",A1867)+16)+6,2))),"")</f>
        <v/>
      </c>
      <c r="F1867" s="5">
        <f>IFERROR(MID(A1867,FIND("10",A1867,FIND("15",A1867,FIND("01",A1867)+16)+8)+2,50),"")</f>
        <v/>
      </c>
      <c r="G1867" s="5" t="n"/>
    </row>
    <row r="1868">
      <c r="A1868" s="7" t="n"/>
      <c r="B1868" s="8">
        <f>IFERROR(MID(A1868,FIND("01",A1868)+2,14),"")</f>
        <v/>
      </c>
      <c r="C1868" s="7">
        <f>IF(A1868="","",IFERROR(VLOOKUP(B1868,TblArticles,2,FALSE),"GTIN inconnu"))</f>
        <v/>
      </c>
      <c r="D1868" s="8">
        <f>IF(A1868="","",IFERROR(VLOOKUP(B1868,TblArticles,3,FALSE),""))</f>
        <v/>
      </c>
      <c r="E1868" s="9">
        <f>IFERROR(DATE(2000+VALUE(MID(A1868,FIND("15",A1868,FIND("01",A1868)+16)+2,2)),VALUE(MID(A1868,FIND("15",A1868,FIND("01",A1868)+16)+4,2)),VALUE(MID(A1868,FIND("15",A1868,FIND("01",A1868)+16)+6,2))),"")</f>
        <v/>
      </c>
      <c r="F1868" s="8">
        <f>IFERROR(MID(A1868,FIND("10",A1868,FIND("15",A1868,FIND("01",A1868)+16)+8)+2,50),"")</f>
        <v/>
      </c>
      <c r="G1868" s="8" t="n"/>
    </row>
    <row r="1869">
      <c r="A1869" s="4" t="n"/>
      <c r="B1869" s="5">
        <f>IFERROR(MID(A1869,FIND("01",A1869)+2,14),"")</f>
        <v/>
      </c>
      <c r="C1869" s="4">
        <f>IF(A1869="","",IFERROR(VLOOKUP(B1869,TblArticles,2,FALSE),"GTIN inconnu"))</f>
        <v/>
      </c>
      <c r="D1869" s="5">
        <f>IF(A1869="","",IFERROR(VLOOKUP(B1869,TblArticles,3,FALSE),""))</f>
        <v/>
      </c>
      <c r="E1869" s="6">
        <f>IFERROR(DATE(2000+VALUE(MID(A1869,FIND("15",A1869,FIND("01",A1869)+16)+2,2)),VALUE(MID(A1869,FIND("15",A1869,FIND("01",A1869)+16)+4,2)),VALUE(MID(A1869,FIND("15",A1869,FIND("01",A1869)+16)+6,2))),"")</f>
        <v/>
      </c>
      <c r="F1869" s="5">
        <f>IFERROR(MID(A1869,FIND("10",A1869,FIND("15",A1869,FIND("01",A1869)+16)+8)+2,50),"")</f>
        <v/>
      </c>
      <c r="G1869" s="5" t="n"/>
    </row>
    <row r="1870">
      <c r="A1870" s="7" t="n"/>
      <c r="B1870" s="8">
        <f>IFERROR(MID(A1870,FIND("01",A1870)+2,14),"")</f>
        <v/>
      </c>
      <c r="C1870" s="7">
        <f>IF(A1870="","",IFERROR(VLOOKUP(B1870,TblArticles,2,FALSE),"GTIN inconnu"))</f>
        <v/>
      </c>
      <c r="D1870" s="8">
        <f>IF(A1870="","",IFERROR(VLOOKUP(B1870,TblArticles,3,FALSE),""))</f>
        <v/>
      </c>
      <c r="E1870" s="9">
        <f>IFERROR(DATE(2000+VALUE(MID(A1870,FIND("15",A1870,FIND("01",A1870)+16)+2,2)),VALUE(MID(A1870,FIND("15",A1870,FIND("01",A1870)+16)+4,2)),VALUE(MID(A1870,FIND("15",A1870,FIND("01",A1870)+16)+6,2))),"")</f>
        <v/>
      </c>
      <c r="F1870" s="8">
        <f>IFERROR(MID(A1870,FIND("10",A1870,FIND("15",A1870,FIND("01",A1870)+16)+8)+2,50),"")</f>
        <v/>
      </c>
      <c r="G1870" s="8" t="n"/>
    </row>
    <row r="1871">
      <c r="A1871" s="4" t="n"/>
      <c r="B1871" s="5">
        <f>IFERROR(MID(A1871,FIND("01",A1871)+2,14),"")</f>
        <v/>
      </c>
      <c r="C1871" s="4">
        <f>IF(A1871="","",IFERROR(VLOOKUP(B1871,TblArticles,2,FALSE),"GTIN inconnu"))</f>
        <v/>
      </c>
      <c r="D1871" s="5">
        <f>IF(A1871="","",IFERROR(VLOOKUP(B1871,TblArticles,3,FALSE),""))</f>
        <v/>
      </c>
      <c r="E1871" s="6">
        <f>IFERROR(DATE(2000+VALUE(MID(A1871,FIND("15",A1871,FIND("01",A1871)+16)+2,2)),VALUE(MID(A1871,FIND("15",A1871,FIND("01",A1871)+16)+4,2)),VALUE(MID(A1871,FIND("15",A1871,FIND("01",A1871)+16)+6,2))),"")</f>
        <v/>
      </c>
      <c r="F1871" s="5">
        <f>IFERROR(MID(A1871,FIND("10",A1871,FIND("15",A1871,FIND("01",A1871)+16)+8)+2,50),"")</f>
        <v/>
      </c>
      <c r="G1871" s="5" t="n"/>
    </row>
    <row r="1872">
      <c r="A1872" s="7" t="n"/>
      <c r="B1872" s="8">
        <f>IFERROR(MID(A1872,FIND("01",A1872)+2,14),"")</f>
        <v/>
      </c>
      <c r="C1872" s="7">
        <f>IF(A1872="","",IFERROR(VLOOKUP(B1872,TblArticles,2,FALSE),"GTIN inconnu"))</f>
        <v/>
      </c>
      <c r="D1872" s="8">
        <f>IF(A1872="","",IFERROR(VLOOKUP(B1872,TblArticles,3,FALSE),""))</f>
        <v/>
      </c>
      <c r="E1872" s="9">
        <f>IFERROR(DATE(2000+VALUE(MID(A1872,FIND("15",A1872,FIND("01",A1872)+16)+2,2)),VALUE(MID(A1872,FIND("15",A1872,FIND("01",A1872)+16)+4,2)),VALUE(MID(A1872,FIND("15",A1872,FIND("01",A1872)+16)+6,2))),"")</f>
        <v/>
      </c>
      <c r="F1872" s="8">
        <f>IFERROR(MID(A1872,FIND("10",A1872,FIND("15",A1872,FIND("01",A1872)+16)+8)+2,50),"")</f>
        <v/>
      </c>
      <c r="G1872" s="8" t="n"/>
    </row>
    <row r="1873">
      <c r="A1873" s="4" t="n"/>
      <c r="B1873" s="5">
        <f>IFERROR(MID(A1873,FIND("01",A1873)+2,14),"")</f>
        <v/>
      </c>
      <c r="C1873" s="4">
        <f>IF(A1873="","",IFERROR(VLOOKUP(B1873,TblArticles,2,FALSE),"GTIN inconnu"))</f>
        <v/>
      </c>
      <c r="D1873" s="5">
        <f>IF(A1873="","",IFERROR(VLOOKUP(B1873,TblArticles,3,FALSE),""))</f>
        <v/>
      </c>
      <c r="E1873" s="6">
        <f>IFERROR(DATE(2000+VALUE(MID(A1873,FIND("15",A1873,FIND("01",A1873)+16)+2,2)),VALUE(MID(A1873,FIND("15",A1873,FIND("01",A1873)+16)+4,2)),VALUE(MID(A1873,FIND("15",A1873,FIND("01",A1873)+16)+6,2))),"")</f>
        <v/>
      </c>
      <c r="F1873" s="5">
        <f>IFERROR(MID(A1873,FIND("10",A1873,FIND("15",A1873,FIND("01",A1873)+16)+8)+2,50),"")</f>
        <v/>
      </c>
      <c r="G1873" s="5" t="n"/>
    </row>
    <row r="1874">
      <c r="A1874" s="7" t="n"/>
      <c r="B1874" s="8">
        <f>IFERROR(MID(A1874,FIND("01",A1874)+2,14),"")</f>
        <v/>
      </c>
      <c r="C1874" s="7">
        <f>IF(A1874="","",IFERROR(VLOOKUP(B1874,TblArticles,2,FALSE),"GTIN inconnu"))</f>
        <v/>
      </c>
      <c r="D1874" s="8">
        <f>IF(A1874="","",IFERROR(VLOOKUP(B1874,TblArticles,3,FALSE),""))</f>
        <v/>
      </c>
      <c r="E1874" s="9">
        <f>IFERROR(DATE(2000+VALUE(MID(A1874,FIND("15",A1874,FIND("01",A1874)+16)+2,2)),VALUE(MID(A1874,FIND("15",A1874,FIND("01",A1874)+16)+4,2)),VALUE(MID(A1874,FIND("15",A1874,FIND("01",A1874)+16)+6,2))),"")</f>
        <v/>
      </c>
      <c r="F1874" s="8">
        <f>IFERROR(MID(A1874,FIND("10",A1874,FIND("15",A1874,FIND("01",A1874)+16)+8)+2,50),"")</f>
        <v/>
      </c>
      <c r="G1874" s="8" t="n"/>
    </row>
    <row r="1875">
      <c r="A1875" s="4" t="n"/>
      <c r="B1875" s="5">
        <f>IFERROR(MID(A1875,FIND("01",A1875)+2,14),"")</f>
        <v/>
      </c>
      <c r="C1875" s="4">
        <f>IF(A1875="","",IFERROR(VLOOKUP(B1875,TblArticles,2,FALSE),"GTIN inconnu"))</f>
        <v/>
      </c>
      <c r="D1875" s="5">
        <f>IF(A1875="","",IFERROR(VLOOKUP(B1875,TblArticles,3,FALSE),""))</f>
        <v/>
      </c>
      <c r="E1875" s="6">
        <f>IFERROR(DATE(2000+VALUE(MID(A1875,FIND("15",A1875,FIND("01",A1875)+16)+2,2)),VALUE(MID(A1875,FIND("15",A1875,FIND("01",A1875)+16)+4,2)),VALUE(MID(A1875,FIND("15",A1875,FIND("01",A1875)+16)+6,2))),"")</f>
        <v/>
      </c>
      <c r="F1875" s="5">
        <f>IFERROR(MID(A1875,FIND("10",A1875,FIND("15",A1875,FIND("01",A1875)+16)+8)+2,50),"")</f>
        <v/>
      </c>
      <c r="G1875" s="5" t="n"/>
    </row>
    <row r="1876">
      <c r="A1876" s="7" t="n"/>
      <c r="B1876" s="8">
        <f>IFERROR(MID(A1876,FIND("01",A1876)+2,14),"")</f>
        <v/>
      </c>
      <c r="C1876" s="7">
        <f>IF(A1876="","",IFERROR(VLOOKUP(B1876,TblArticles,2,FALSE),"GTIN inconnu"))</f>
        <v/>
      </c>
      <c r="D1876" s="8">
        <f>IF(A1876="","",IFERROR(VLOOKUP(B1876,TblArticles,3,FALSE),""))</f>
        <v/>
      </c>
      <c r="E1876" s="9">
        <f>IFERROR(DATE(2000+VALUE(MID(A1876,FIND("15",A1876,FIND("01",A1876)+16)+2,2)),VALUE(MID(A1876,FIND("15",A1876,FIND("01",A1876)+16)+4,2)),VALUE(MID(A1876,FIND("15",A1876,FIND("01",A1876)+16)+6,2))),"")</f>
        <v/>
      </c>
      <c r="F1876" s="8">
        <f>IFERROR(MID(A1876,FIND("10",A1876,FIND("15",A1876,FIND("01",A1876)+16)+8)+2,50),"")</f>
        <v/>
      </c>
      <c r="G1876" s="8" t="n"/>
    </row>
    <row r="1877">
      <c r="A1877" s="4" t="n"/>
      <c r="B1877" s="5">
        <f>IFERROR(MID(A1877,FIND("01",A1877)+2,14),"")</f>
        <v/>
      </c>
      <c r="C1877" s="4">
        <f>IF(A1877="","",IFERROR(VLOOKUP(B1877,TblArticles,2,FALSE),"GTIN inconnu"))</f>
        <v/>
      </c>
      <c r="D1877" s="5">
        <f>IF(A1877="","",IFERROR(VLOOKUP(B1877,TblArticles,3,FALSE),""))</f>
        <v/>
      </c>
      <c r="E1877" s="6">
        <f>IFERROR(DATE(2000+VALUE(MID(A1877,FIND("15",A1877,FIND("01",A1877)+16)+2,2)),VALUE(MID(A1877,FIND("15",A1877,FIND("01",A1877)+16)+4,2)),VALUE(MID(A1877,FIND("15",A1877,FIND("01",A1877)+16)+6,2))),"")</f>
        <v/>
      </c>
      <c r="F1877" s="5">
        <f>IFERROR(MID(A1877,FIND("10",A1877,FIND("15",A1877,FIND("01",A1877)+16)+8)+2,50),"")</f>
        <v/>
      </c>
      <c r="G1877" s="5" t="n"/>
    </row>
    <row r="1878">
      <c r="A1878" s="7" t="n"/>
      <c r="B1878" s="8">
        <f>IFERROR(MID(A1878,FIND("01",A1878)+2,14),"")</f>
        <v/>
      </c>
      <c r="C1878" s="7">
        <f>IF(A1878="","",IFERROR(VLOOKUP(B1878,TblArticles,2,FALSE),"GTIN inconnu"))</f>
        <v/>
      </c>
      <c r="D1878" s="8">
        <f>IF(A1878="","",IFERROR(VLOOKUP(B1878,TblArticles,3,FALSE),""))</f>
        <v/>
      </c>
      <c r="E1878" s="9">
        <f>IFERROR(DATE(2000+VALUE(MID(A1878,FIND("15",A1878,FIND("01",A1878)+16)+2,2)),VALUE(MID(A1878,FIND("15",A1878,FIND("01",A1878)+16)+4,2)),VALUE(MID(A1878,FIND("15",A1878,FIND("01",A1878)+16)+6,2))),"")</f>
        <v/>
      </c>
      <c r="F1878" s="8">
        <f>IFERROR(MID(A1878,FIND("10",A1878,FIND("15",A1878,FIND("01",A1878)+16)+8)+2,50),"")</f>
        <v/>
      </c>
      <c r="G1878" s="8" t="n"/>
    </row>
    <row r="1879">
      <c r="A1879" s="4" t="n"/>
      <c r="B1879" s="5">
        <f>IFERROR(MID(A1879,FIND("01",A1879)+2,14),"")</f>
        <v/>
      </c>
      <c r="C1879" s="4">
        <f>IF(A1879="","",IFERROR(VLOOKUP(B1879,TblArticles,2,FALSE),"GTIN inconnu"))</f>
        <v/>
      </c>
      <c r="D1879" s="5">
        <f>IF(A1879="","",IFERROR(VLOOKUP(B1879,TblArticles,3,FALSE),""))</f>
        <v/>
      </c>
      <c r="E1879" s="6">
        <f>IFERROR(DATE(2000+VALUE(MID(A1879,FIND("15",A1879,FIND("01",A1879)+16)+2,2)),VALUE(MID(A1879,FIND("15",A1879,FIND("01",A1879)+16)+4,2)),VALUE(MID(A1879,FIND("15",A1879,FIND("01",A1879)+16)+6,2))),"")</f>
        <v/>
      </c>
      <c r="F1879" s="5">
        <f>IFERROR(MID(A1879,FIND("10",A1879,FIND("15",A1879,FIND("01",A1879)+16)+8)+2,50),"")</f>
        <v/>
      </c>
      <c r="G1879" s="5" t="n"/>
    </row>
    <row r="1880">
      <c r="A1880" s="7" t="n"/>
      <c r="B1880" s="8">
        <f>IFERROR(MID(A1880,FIND("01",A1880)+2,14),"")</f>
        <v/>
      </c>
      <c r="C1880" s="7">
        <f>IF(A1880="","",IFERROR(VLOOKUP(B1880,TblArticles,2,FALSE),"GTIN inconnu"))</f>
        <v/>
      </c>
      <c r="D1880" s="8">
        <f>IF(A1880="","",IFERROR(VLOOKUP(B1880,TblArticles,3,FALSE),""))</f>
        <v/>
      </c>
      <c r="E1880" s="9">
        <f>IFERROR(DATE(2000+VALUE(MID(A1880,FIND("15",A1880,FIND("01",A1880)+16)+2,2)),VALUE(MID(A1880,FIND("15",A1880,FIND("01",A1880)+16)+4,2)),VALUE(MID(A1880,FIND("15",A1880,FIND("01",A1880)+16)+6,2))),"")</f>
        <v/>
      </c>
      <c r="F1880" s="8">
        <f>IFERROR(MID(A1880,FIND("10",A1880,FIND("15",A1880,FIND("01",A1880)+16)+8)+2,50),"")</f>
        <v/>
      </c>
      <c r="G1880" s="8" t="n"/>
    </row>
    <row r="1881">
      <c r="A1881" s="4" t="n"/>
      <c r="B1881" s="5">
        <f>IFERROR(MID(A1881,FIND("01",A1881)+2,14),"")</f>
        <v/>
      </c>
      <c r="C1881" s="4">
        <f>IF(A1881="","",IFERROR(VLOOKUP(B1881,TblArticles,2,FALSE),"GTIN inconnu"))</f>
        <v/>
      </c>
      <c r="D1881" s="5">
        <f>IF(A1881="","",IFERROR(VLOOKUP(B1881,TblArticles,3,FALSE),""))</f>
        <v/>
      </c>
      <c r="E1881" s="6">
        <f>IFERROR(DATE(2000+VALUE(MID(A1881,FIND("15",A1881,FIND("01",A1881)+16)+2,2)),VALUE(MID(A1881,FIND("15",A1881,FIND("01",A1881)+16)+4,2)),VALUE(MID(A1881,FIND("15",A1881,FIND("01",A1881)+16)+6,2))),"")</f>
        <v/>
      </c>
      <c r="F1881" s="5">
        <f>IFERROR(MID(A1881,FIND("10",A1881,FIND("15",A1881,FIND("01",A1881)+16)+8)+2,50),"")</f>
        <v/>
      </c>
      <c r="G1881" s="5" t="n"/>
    </row>
    <row r="1882">
      <c r="A1882" s="7" t="n"/>
      <c r="B1882" s="8">
        <f>IFERROR(MID(A1882,FIND("01",A1882)+2,14),"")</f>
        <v/>
      </c>
      <c r="C1882" s="7">
        <f>IF(A1882="","",IFERROR(VLOOKUP(B1882,TblArticles,2,FALSE),"GTIN inconnu"))</f>
        <v/>
      </c>
      <c r="D1882" s="8">
        <f>IF(A1882="","",IFERROR(VLOOKUP(B1882,TblArticles,3,FALSE),""))</f>
        <v/>
      </c>
      <c r="E1882" s="9">
        <f>IFERROR(DATE(2000+VALUE(MID(A1882,FIND("15",A1882,FIND("01",A1882)+16)+2,2)),VALUE(MID(A1882,FIND("15",A1882,FIND("01",A1882)+16)+4,2)),VALUE(MID(A1882,FIND("15",A1882,FIND("01",A1882)+16)+6,2))),"")</f>
        <v/>
      </c>
      <c r="F1882" s="8">
        <f>IFERROR(MID(A1882,FIND("10",A1882,FIND("15",A1882,FIND("01",A1882)+16)+8)+2,50),"")</f>
        <v/>
      </c>
      <c r="G1882" s="8" t="n"/>
    </row>
    <row r="1883">
      <c r="A1883" s="4" t="n"/>
      <c r="B1883" s="5">
        <f>IFERROR(MID(A1883,FIND("01",A1883)+2,14),"")</f>
        <v/>
      </c>
      <c r="C1883" s="4">
        <f>IF(A1883="","",IFERROR(VLOOKUP(B1883,TblArticles,2,FALSE),"GTIN inconnu"))</f>
        <v/>
      </c>
      <c r="D1883" s="5">
        <f>IF(A1883="","",IFERROR(VLOOKUP(B1883,TblArticles,3,FALSE),""))</f>
        <v/>
      </c>
      <c r="E1883" s="6">
        <f>IFERROR(DATE(2000+VALUE(MID(A1883,FIND("15",A1883,FIND("01",A1883)+16)+2,2)),VALUE(MID(A1883,FIND("15",A1883,FIND("01",A1883)+16)+4,2)),VALUE(MID(A1883,FIND("15",A1883,FIND("01",A1883)+16)+6,2))),"")</f>
        <v/>
      </c>
      <c r="F1883" s="5">
        <f>IFERROR(MID(A1883,FIND("10",A1883,FIND("15",A1883,FIND("01",A1883)+16)+8)+2,50),"")</f>
        <v/>
      </c>
      <c r="G1883" s="5" t="n"/>
    </row>
    <row r="1884">
      <c r="A1884" s="7" t="n"/>
      <c r="B1884" s="8">
        <f>IFERROR(MID(A1884,FIND("01",A1884)+2,14),"")</f>
        <v/>
      </c>
      <c r="C1884" s="7">
        <f>IF(A1884="","",IFERROR(VLOOKUP(B1884,TblArticles,2,FALSE),"GTIN inconnu"))</f>
        <v/>
      </c>
      <c r="D1884" s="8">
        <f>IF(A1884="","",IFERROR(VLOOKUP(B1884,TblArticles,3,FALSE),""))</f>
        <v/>
      </c>
      <c r="E1884" s="9">
        <f>IFERROR(DATE(2000+VALUE(MID(A1884,FIND("15",A1884,FIND("01",A1884)+16)+2,2)),VALUE(MID(A1884,FIND("15",A1884,FIND("01",A1884)+16)+4,2)),VALUE(MID(A1884,FIND("15",A1884,FIND("01",A1884)+16)+6,2))),"")</f>
        <v/>
      </c>
      <c r="F1884" s="8">
        <f>IFERROR(MID(A1884,FIND("10",A1884,FIND("15",A1884,FIND("01",A1884)+16)+8)+2,50),"")</f>
        <v/>
      </c>
      <c r="G1884" s="8" t="n"/>
    </row>
    <row r="1885">
      <c r="A1885" s="4" t="n"/>
      <c r="B1885" s="5">
        <f>IFERROR(MID(A1885,FIND("01",A1885)+2,14),"")</f>
        <v/>
      </c>
      <c r="C1885" s="4">
        <f>IF(A1885="","",IFERROR(VLOOKUP(B1885,TblArticles,2,FALSE),"GTIN inconnu"))</f>
        <v/>
      </c>
      <c r="D1885" s="5">
        <f>IF(A1885="","",IFERROR(VLOOKUP(B1885,TblArticles,3,FALSE),""))</f>
        <v/>
      </c>
      <c r="E1885" s="6">
        <f>IFERROR(DATE(2000+VALUE(MID(A1885,FIND("15",A1885,FIND("01",A1885)+16)+2,2)),VALUE(MID(A1885,FIND("15",A1885,FIND("01",A1885)+16)+4,2)),VALUE(MID(A1885,FIND("15",A1885,FIND("01",A1885)+16)+6,2))),"")</f>
        <v/>
      </c>
      <c r="F1885" s="5">
        <f>IFERROR(MID(A1885,FIND("10",A1885,FIND("15",A1885,FIND("01",A1885)+16)+8)+2,50),"")</f>
        <v/>
      </c>
      <c r="G1885" s="5" t="n"/>
    </row>
    <row r="1886">
      <c r="A1886" s="7" t="n"/>
      <c r="B1886" s="8">
        <f>IFERROR(MID(A1886,FIND("01",A1886)+2,14),"")</f>
        <v/>
      </c>
      <c r="C1886" s="7">
        <f>IF(A1886="","",IFERROR(VLOOKUP(B1886,TblArticles,2,FALSE),"GTIN inconnu"))</f>
        <v/>
      </c>
      <c r="D1886" s="8">
        <f>IF(A1886="","",IFERROR(VLOOKUP(B1886,TblArticles,3,FALSE),""))</f>
        <v/>
      </c>
      <c r="E1886" s="9">
        <f>IFERROR(DATE(2000+VALUE(MID(A1886,FIND("15",A1886,FIND("01",A1886)+16)+2,2)),VALUE(MID(A1886,FIND("15",A1886,FIND("01",A1886)+16)+4,2)),VALUE(MID(A1886,FIND("15",A1886,FIND("01",A1886)+16)+6,2))),"")</f>
        <v/>
      </c>
      <c r="F1886" s="8">
        <f>IFERROR(MID(A1886,FIND("10",A1886,FIND("15",A1886,FIND("01",A1886)+16)+8)+2,50),"")</f>
        <v/>
      </c>
      <c r="G1886" s="8" t="n"/>
    </row>
    <row r="1887">
      <c r="A1887" s="4" t="n"/>
      <c r="B1887" s="5">
        <f>IFERROR(MID(A1887,FIND("01",A1887)+2,14),"")</f>
        <v/>
      </c>
      <c r="C1887" s="4">
        <f>IF(A1887="","",IFERROR(VLOOKUP(B1887,TblArticles,2,FALSE),"GTIN inconnu"))</f>
        <v/>
      </c>
      <c r="D1887" s="5">
        <f>IF(A1887="","",IFERROR(VLOOKUP(B1887,TblArticles,3,FALSE),""))</f>
        <v/>
      </c>
      <c r="E1887" s="6">
        <f>IFERROR(DATE(2000+VALUE(MID(A1887,FIND("15",A1887,FIND("01",A1887)+16)+2,2)),VALUE(MID(A1887,FIND("15",A1887,FIND("01",A1887)+16)+4,2)),VALUE(MID(A1887,FIND("15",A1887,FIND("01",A1887)+16)+6,2))),"")</f>
        <v/>
      </c>
      <c r="F1887" s="5">
        <f>IFERROR(MID(A1887,FIND("10",A1887,FIND("15",A1887,FIND("01",A1887)+16)+8)+2,50),"")</f>
        <v/>
      </c>
      <c r="G1887" s="5" t="n"/>
    </row>
    <row r="1888">
      <c r="A1888" s="7" t="n"/>
      <c r="B1888" s="8">
        <f>IFERROR(MID(A1888,FIND("01",A1888)+2,14),"")</f>
        <v/>
      </c>
      <c r="C1888" s="7">
        <f>IF(A1888="","",IFERROR(VLOOKUP(B1888,TblArticles,2,FALSE),"GTIN inconnu"))</f>
        <v/>
      </c>
      <c r="D1888" s="8">
        <f>IF(A1888="","",IFERROR(VLOOKUP(B1888,TblArticles,3,FALSE),""))</f>
        <v/>
      </c>
      <c r="E1888" s="9">
        <f>IFERROR(DATE(2000+VALUE(MID(A1888,FIND("15",A1888,FIND("01",A1888)+16)+2,2)),VALUE(MID(A1888,FIND("15",A1888,FIND("01",A1888)+16)+4,2)),VALUE(MID(A1888,FIND("15",A1888,FIND("01",A1888)+16)+6,2))),"")</f>
        <v/>
      </c>
      <c r="F1888" s="8">
        <f>IFERROR(MID(A1888,FIND("10",A1888,FIND("15",A1888,FIND("01",A1888)+16)+8)+2,50),"")</f>
        <v/>
      </c>
      <c r="G1888" s="8" t="n"/>
    </row>
    <row r="1889">
      <c r="A1889" s="4" t="n"/>
      <c r="B1889" s="5">
        <f>IFERROR(MID(A1889,FIND("01",A1889)+2,14),"")</f>
        <v/>
      </c>
      <c r="C1889" s="4">
        <f>IF(A1889="","",IFERROR(VLOOKUP(B1889,TblArticles,2,FALSE),"GTIN inconnu"))</f>
        <v/>
      </c>
      <c r="D1889" s="5">
        <f>IF(A1889="","",IFERROR(VLOOKUP(B1889,TblArticles,3,FALSE),""))</f>
        <v/>
      </c>
      <c r="E1889" s="6">
        <f>IFERROR(DATE(2000+VALUE(MID(A1889,FIND("15",A1889,FIND("01",A1889)+16)+2,2)),VALUE(MID(A1889,FIND("15",A1889,FIND("01",A1889)+16)+4,2)),VALUE(MID(A1889,FIND("15",A1889,FIND("01",A1889)+16)+6,2))),"")</f>
        <v/>
      </c>
      <c r="F1889" s="5">
        <f>IFERROR(MID(A1889,FIND("10",A1889,FIND("15",A1889,FIND("01",A1889)+16)+8)+2,50),"")</f>
        <v/>
      </c>
      <c r="G1889" s="5" t="n"/>
    </row>
    <row r="1890">
      <c r="A1890" s="7" t="n"/>
      <c r="B1890" s="8">
        <f>IFERROR(MID(A1890,FIND("01",A1890)+2,14),"")</f>
        <v/>
      </c>
      <c r="C1890" s="7">
        <f>IF(A1890="","",IFERROR(VLOOKUP(B1890,TblArticles,2,FALSE),"GTIN inconnu"))</f>
        <v/>
      </c>
      <c r="D1890" s="8">
        <f>IF(A1890="","",IFERROR(VLOOKUP(B1890,TblArticles,3,FALSE),""))</f>
        <v/>
      </c>
      <c r="E1890" s="9">
        <f>IFERROR(DATE(2000+VALUE(MID(A1890,FIND("15",A1890,FIND("01",A1890)+16)+2,2)),VALUE(MID(A1890,FIND("15",A1890,FIND("01",A1890)+16)+4,2)),VALUE(MID(A1890,FIND("15",A1890,FIND("01",A1890)+16)+6,2))),"")</f>
        <v/>
      </c>
      <c r="F1890" s="8">
        <f>IFERROR(MID(A1890,FIND("10",A1890,FIND("15",A1890,FIND("01",A1890)+16)+8)+2,50),"")</f>
        <v/>
      </c>
      <c r="G1890" s="8" t="n"/>
    </row>
    <row r="1891">
      <c r="A1891" s="4" t="n"/>
      <c r="B1891" s="5">
        <f>IFERROR(MID(A1891,FIND("01",A1891)+2,14),"")</f>
        <v/>
      </c>
      <c r="C1891" s="4">
        <f>IF(A1891="","",IFERROR(VLOOKUP(B1891,TblArticles,2,FALSE),"GTIN inconnu"))</f>
        <v/>
      </c>
      <c r="D1891" s="5">
        <f>IF(A1891="","",IFERROR(VLOOKUP(B1891,TblArticles,3,FALSE),""))</f>
        <v/>
      </c>
      <c r="E1891" s="6">
        <f>IFERROR(DATE(2000+VALUE(MID(A1891,FIND("15",A1891,FIND("01",A1891)+16)+2,2)),VALUE(MID(A1891,FIND("15",A1891,FIND("01",A1891)+16)+4,2)),VALUE(MID(A1891,FIND("15",A1891,FIND("01",A1891)+16)+6,2))),"")</f>
        <v/>
      </c>
      <c r="F1891" s="5">
        <f>IFERROR(MID(A1891,FIND("10",A1891,FIND("15",A1891,FIND("01",A1891)+16)+8)+2,50),"")</f>
        <v/>
      </c>
      <c r="G1891" s="5" t="n"/>
    </row>
    <row r="1892">
      <c r="A1892" s="7" t="n"/>
      <c r="B1892" s="8">
        <f>IFERROR(MID(A1892,FIND("01",A1892)+2,14),"")</f>
        <v/>
      </c>
      <c r="C1892" s="7">
        <f>IF(A1892="","",IFERROR(VLOOKUP(B1892,TblArticles,2,FALSE),"GTIN inconnu"))</f>
        <v/>
      </c>
      <c r="D1892" s="8">
        <f>IF(A1892="","",IFERROR(VLOOKUP(B1892,TblArticles,3,FALSE),""))</f>
        <v/>
      </c>
      <c r="E1892" s="9">
        <f>IFERROR(DATE(2000+VALUE(MID(A1892,FIND("15",A1892,FIND("01",A1892)+16)+2,2)),VALUE(MID(A1892,FIND("15",A1892,FIND("01",A1892)+16)+4,2)),VALUE(MID(A1892,FIND("15",A1892,FIND("01",A1892)+16)+6,2))),"")</f>
        <v/>
      </c>
      <c r="F1892" s="8">
        <f>IFERROR(MID(A1892,FIND("10",A1892,FIND("15",A1892,FIND("01",A1892)+16)+8)+2,50),"")</f>
        <v/>
      </c>
      <c r="G1892" s="8" t="n"/>
    </row>
    <row r="1893">
      <c r="A1893" s="4" t="n"/>
      <c r="B1893" s="5">
        <f>IFERROR(MID(A1893,FIND("01",A1893)+2,14),"")</f>
        <v/>
      </c>
      <c r="C1893" s="4">
        <f>IF(A1893="","",IFERROR(VLOOKUP(B1893,TblArticles,2,FALSE),"GTIN inconnu"))</f>
        <v/>
      </c>
      <c r="D1893" s="5">
        <f>IF(A1893="","",IFERROR(VLOOKUP(B1893,TblArticles,3,FALSE),""))</f>
        <v/>
      </c>
      <c r="E1893" s="6">
        <f>IFERROR(DATE(2000+VALUE(MID(A1893,FIND("15",A1893,FIND("01",A1893)+16)+2,2)),VALUE(MID(A1893,FIND("15",A1893,FIND("01",A1893)+16)+4,2)),VALUE(MID(A1893,FIND("15",A1893,FIND("01",A1893)+16)+6,2))),"")</f>
        <v/>
      </c>
      <c r="F1893" s="5">
        <f>IFERROR(MID(A1893,FIND("10",A1893,FIND("15",A1893,FIND("01",A1893)+16)+8)+2,50),"")</f>
        <v/>
      </c>
      <c r="G1893" s="5" t="n"/>
    </row>
    <row r="1894">
      <c r="A1894" s="7" t="n"/>
      <c r="B1894" s="8">
        <f>IFERROR(MID(A1894,FIND("01",A1894)+2,14),"")</f>
        <v/>
      </c>
      <c r="C1894" s="7">
        <f>IF(A1894="","",IFERROR(VLOOKUP(B1894,TblArticles,2,FALSE),"GTIN inconnu"))</f>
        <v/>
      </c>
      <c r="D1894" s="8">
        <f>IF(A1894="","",IFERROR(VLOOKUP(B1894,TblArticles,3,FALSE),""))</f>
        <v/>
      </c>
      <c r="E1894" s="9">
        <f>IFERROR(DATE(2000+VALUE(MID(A1894,FIND("15",A1894,FIND("01",A1894)+16)+2,2)),VALUE(MID(A1894,FIND("15",A1894,FIND("01",A1894)+16)+4,2)),VALUE(MID(A1894,FIND("15",A1894,FIND("01",A1894)+16)+6,2))),"")</f>
        <v/>
      </c>
      <c r="F1894" s="8">
        <f>IFERROR(MID(A1894,FIND("10",A1894,FIND("15",A1894,FIND("01",A1894)+16)+8)+2,50),"")</f>
        <v/>
      </c>
      <c r="G1894" s="8" t="n"/>
    </row>
    <row r="1895">
      <c r="A1895" s="4" t="n"/>
      <c r="B1895" s="5">
        <f>IFERROR(MID(A1895,FIND("01",A1895)+2,14),"")</f>
        <v/>
      </c>
      <c r="C1895" s="4">
        <f>IF(A1895="","",IFERROR(VLOOKUP(B1895,TblArticles,2,FALSE),"GTIN inconnu"))</f>
        <v/>
      </c>
      <c r="D1895" s="5">
        <f>IF(A1895="","",IFERROR(VLOOKUP(B1895,TblArticles,3,FALSE),""))</f>
        <v/>
      </c>
      <c r="E1895" s="6">
        <f>IFERROR(DATE(2000+VALUE(MID(A1895,FIND("15",A1895,FIND("01",A1895)+16)+2,2)),VALUE(MID(A1895,FIND("15",A1895,FIND("01",A1895)+16)+4,2)),VALUE(MID(A1895,FIND("15",A1895,FIND("01",A1895)+16)+6,2))),"")</f>
        <v/>
      </c>
      <c r="F1895" s="5">
        <f>IFERROR(MID(A1895,FIND("10",A1895,FIND("15",A1895,FIND("01",A1895)+16)+8)+2,50),"")</f>
        <v/>
      </c>
      <c r="G1895" s="5" t="n"/>
    </row>
    <row r="1896">
      <c r="A1896" s="7" t="n"/>
      <c r="B1896" s="8">
        <f>IFERROR(MID(A1896,FIND("01",A1896)+2,14),"")</f>
        <v/>
      </c>
      <c r="C1896" s="7">
        <f>IF(A1896="","",IFERROR(VLOOKUP(B1896,TblArticles,2,FALSE),"GTIN inconnu"))</f>
        <v/>
      </c>
      <c r="D1896" s="8">
        <f>IF(A1896="","",IFERROR(VLOOKUP(B1896,TblArticles,3,FALSE),""))</f>
        <v/>
      </c>
      <c r="E1896" s="9">
        <f>IFERROR(DATE(2000+VALUE(MID(A1896,FIND("15",A1896,FIND("01",A1896)+16)+2,2)),VALUE(MID(A1896,FIND("15",A1896,FIND("01",A1896)+16)+4,2)),VALUE(MID(A1896,FIND("15",A1896,FIND("01",A1896)+16)+6,2))),"")</f>
        <v/>
      </c>
      <c r="F1896" s="8">
        <f>IFERROR(MID(A1896,FIND("10",A1896,FIND("15",A1896,FIND("01",A1896)+16)+8)+2,50),"")</f>
        <v/>
      </c>
      <c r="G1896" s="8" t="n"/>
    </row>
    <row r="1897">
      <c r="A1897" s="4" t="n"/>
      <c r="B1897" s="5">
        <f>IFERROR(MID(A1897,FIND("01",A1897)+2,14),"")</f>
        <v/>
      </c>
      <c r="C1897" s="4">
        <f>IF(A1897="","",IFERROR(VLOOKUP(B1897,TblArticles,2,FALSE),"GTIN inconnu"))</f>
        <v/>
      </c>
      <c r="D1897" s="5">
        <f>IF(A1897="","",IFERROR(VLOOKUP(B1897,TblArticles,3,FALSE),""))</f>
        <v/>
      </c>
      <c r="E1897" s="6">
        <f>IFERROR(DATE(2000+VALUE(MID(A1897,FIND("15",A1897,FIND("01",A1897)+16)+2,2)),VALUE(MID(A1897,FIND("15",A1897,FIND("01",A1897)+16)+4,2)),VALUE(MID(A1897,FIND("15",A1897,FIND("01",A1897)+16)+6,2))),"")</f>
        <v/>
      </c>
      <c r="F1897" s="5">
        <f>IFERROR(MID(A1897,FIND("10",A1897,FIND("15",A1897,FIND("01",A1897)+16)+8)+2,50),"")</f>
        <v/>
      </c>
      <c r="G1897" s="5" t="n"/>
    </row>
    <row r="1898">
      <c r="A1898" s="7" t="n"/>
      <c r="B1898" s="8">
        <f>IFERROR(MID(A1898,FIND("01",A1898)+2,14),"")</f>
        <v/>
      </c>
      <c r="C1898" s="7">
        <f>IF(A1898="","",IFERROR(VLOOKUP(B1898,TblArticles,2,FALSE),"GTIN inconnu"))</f>
        <v/>
      </c>
      <c r="D1898" s="8">
        <f>IF(A1898="","",IFERROR(VLOOKUP(B1898,TblArticles,3,FALSE),""))</f>
        <v/>
      </c>
      <c r="E1898" s="9">
        <f>IFERROR(DATE(2000+VALUE(MID(A1898,FIND("15",A1898,FIND("01",A1898)+16)+2,2)),VALUE(MID(A1898,FIND("15",A1898,FIND("01",A1898)+16)+4,2)),VALUE(MID(A1898,FIND("15",A1898,FIND("01",A1898)+16)+6,2))),"")</f>
        <v/>
      </c>
      <c r="F1898" s="8">
        <f>IFERROR(MID(A1898,FIND("10",A1898,FIND("15",A1898,FIND("01",A1898)+16)+8)+2,50),"")</f>
        <v/>
      </c>
      <c r="G1898" s="8" t="n"/>
    </row>
    <row r="1899">
      <c r="A1899" s="4" t="n"/>
      <c r="B1899" s="5">
        <f>IFERROR(MID(A1899,FIND("01",A1899)+2,14),"")</f>
        <v/>
      </c>
      <c r="C1899" s="4">
        <f>IF(A1899="","",IFERROR(VLOOKUP(B1899,TblArticles,2,FALSE),"GTIN inconnu"))</f>
        <v/>
      </c>
      <c r="D1899" s="5">
        <f>IF(A1899="","",IFERROR(VLOOKUP(B1899,TblArticles,3,FALSE),""))</f>
        <v/>
      </c>
      <c r="E1899" s="6">
        <f>IFERROR(DATE(2000+VALUE(MID(A1899,FIND("15",A1899,FIND("01",A1899)+16)+2,2)),VALUE(MID(A1899,FIND("15",A1899,FIND("01",A1899)+16)+4,2)),VALUE(MID(A1899,FIND("15",A1899,FIND("01",A1899)+16)+6,2))),"")</f>
        <v/>
      </c>
      <c r="F1899" s="5">
        <f>IFERROR(MID(A1899,FIND("10",A1899,FIND("15",A1899,FIND("01",A1899)+16)+8)+2,50),"")</f>
        <v/>
      </c>
      <c r="G1899" s="5" t="n"/>
    </row>
    <row r="1900">
      <c r="A1900" s="7" t="n"/>
      <c r="B1900" s="8">
        <f>IFERROR(MID(A1900,FIND("01",A1900)+2,14),"")</f>
        <v/>
      </c>
      <c r="C1900" s="7">
        <f>IF(A1900="","",IFERROR(VLOOKUP(B1900,TblArticles,2,FALSE),"GTIN inconnu"))</f>
        <v/>
      </c>
      <c r="D1900" s="8">
        <f>IF(A1900="","",IFERROR(VLOOKUP(B1900,TblArticles,3,FALSE),""))</f>
        <v/>
      </c>
      <c r="E1900" s="9">
        <f>IFERROR(DATE(2000+VALUE(MID(A1900,FIND("15",A1900,FIND("01",A1900)+16)+2,2)),VALUE(MID(A1900,FIND("15",A1900,FIND("01",A1900)+16)+4,2)),VALUE(MID(A1900,FIND("15",A1900,FIND("01",A1900)+16)+6,2))),"")</f>
        <v/>
      </c>
      <c r="F1900" s="8">
        <f>IFERROR(MID(A1900,FIND("10",A1900,FIND("15",A1900,FIND("01",A1900)+16)+8)+2,50),"")</f>
        <v/>
      </c>
      <c r="G1900" s="8" t="n"/>
    </row>
    <row r="1901">
      <c r="A1901" s="4" t="n"/>
      <c r="B1901" s="5">
        <f>IFERROR(MID(A1901,FIND("01",A1901)+2,14),"")</f>
        <v/>
      </c>
      <c r="C1901" s="4">
        <f>IF(A1901="","",IFERROR(VLOOKUP(B1901,TblArticles,2,FALSE),"GTIN inconnu"))</f>
        <v/>
      </c>
      <c r="D1901" s="5">
        <f>IF(A1901="","",IFERROR(VLOOKUP(B1901,TblArticles,3,FALSE),""))</f>
        <v/>
      </c>
      <c r="E1901" s="6">
        <f>IFERROR(DATE(2000+VALUE(MID(A1901,FIND("15",A1901,FIND("01",A1901)+16)+2,2)),VALUE(MID(A1901,FIND("15",A1901,FIND("01",A1901)+16)+4,2)),VALUE(MID(A1901,FIND("15",A1901,FIND("01",A1901)+16)+6,2))),"")</f>
        <v/>
      </c>
      <c r="F1901" s="5">
        <f>IFERROR(MID(A1901,FIND("10",A1901,FIND("15",A1901,FIND("01",A1901)+16)+8)+2,50),"")</f>
        <v/>
      </c>
      <c r="G1901" s="5" t="n"/>
    </row>
    <row r="1902">
      <c r="A1902" s="7" t="n"/>
      <c r="B1902" s="8">
        <f>IFERROR(MID(A1902,FIND("01",A1902)+2,14),"")</f>
        <v/>
      </c>
      <c r="C1902" s="7">
        <f>IF(A1902="","",IFERROR(VLOOKUP(B1902,TblArticles,2,FALSE),"GTIN inconnu"))</f>
        <v/>
      </c>
      <c r="D1902" s="8">
        <f>IF(A1902="","",IFERROR(VLOOKUP(B1902,TblArticles,3,FALSE),""))</f>
        <v/>
      </c>
      <c r="E1902" s="9">
        <f>IFERROR(DATE(2000+VALUE(MID(A1902,FIND("15",A1902,FIND("01",A1902)+16)+2,2)),VALUE(MID(A1902,FIND("15",A1902,FIND("01",A1902)+16)+4,2)),VALUE(MID(A1902,FIND("15",A1902,FIND("01",A1902)+16)+6,2))),"")</f>
        <v/>
      </c>
      <c r="F1902" s="8">
        <f>IFERROR(MID(A1902,FIND("10",A1902,FIND("15",A1902,FIND("01",A1902)+16)+8)+2,50),"")</f>
        <v/>
      </c>
      <c r="G1902" s="8" t="n"/>
    </row>
    <row r="1903">
      <c r="A1903" s="4" t="n"/>
      <c r="B1903" s="5">
        <f>IFERROR(MID(A1903,FIND("01",A1903)+2,14),"")</f>
        <v/>
      </c>
      <c r="C1903" s="4">
        <f>IF(A1903="","",IFERROR(VLOOKUP(B1903,TblArticles,2,FALSE),"GTIN inconnu"))</f>
        <v/>
      </c>
      <c r="D1903" s="5">
        <f>IF(A1903="","",IFERROR(VLOOKUP(B1903,TblArticles,3,FALSE),""))</f>
        <v/>
      </c>
      <c r="E1903" s="6">
        <f>IFERROR(DATE(2000+VALUE(MID(A1903,FIND("15",A1903,FIND("01",A1903)+16)+2,2)),VALUE(MID(A1903,FIND("15",A1903,FIND("01",A1903)+16)+4,2)),VALUE(MID(A1903,FIND("15",A1903,FIND("01",A1903)+16)+6,2))),"")</f>
        <v/>
      </c>
      <c r="F1903" s="5">
        <f>IFERROR(MID(A1903,FIND("10",A1903,FIND("15",A1903,FIND("01",A1903)+16)+8)+2,50),"")</f>
        <v/>
      </c>
      <c r="G1903" s="5" t="n"/>
    </row>
    <row r="1904">
      <c r="A1904" s="7" t="n"/>
      <c r="B1904" s="8">
        <f>IFERROR(MID(A1904,FIND("01",A1904)+2,14),"")</f>
        <v/>
      </c>
      <c r="C1904" s="7">
        <f>IF(A1904="","",IFERROR(VLOOKUP(B1904,TblArticles,2,FALSE),"GTIN inconnu"))</f>
        <v/>
      </c>
      <c r="D1904" s="8">
        <f>IF(A1904="","",IFERROR(VLOOKUP(B1904,TblArticles,3,FALSE),""))</f>
        <v/>
      </c>
      <c r="E1904" s="9">
        <f>IFERROR(DATE(2000+VALUE(MID(A1904,FIND("15",A1904,FIND("01",A1904)+16)+2,2)),VALUE(MID(A1904,FIND("15",A1904,FIND("01",A1904)+16)+4,2)),VALUE(MID(A1904,FIND("15",A1904,FIND("01",A1904)+16)+6,2))),"")</f>
        <v/>
      </c>
      <c r="F1904" s="8">
        <f>IFERROR(MID(A1904,FIND("10",A1904,FIND("15",A1904,FIND("01",A1904)+16)+8)+2,50),"")</f>
        <v/>
      </c>
      <c r="G1904" s="8" t="n"/>
    </row>
    <row r="1905">
      <c r="A1905" s="4" t="n"/>
      <c r="B1905" s="5">
        <f>IFERROR(MID(A1905,FIND("01",A1905)+2,14),"")</f>
        <v/>
      </c>
      <c r="C1905" s="4">
        <f>IF(A1905="","",IFERROR(VLOOKUP(B1905,TblArticles,2,FALSE),"GTIN inconnu"))</f>
        <v/>
      </c>
      <c r="D1905" s="5">
        <f>IF(A1905="","",IFERROR(VLOOKUP(B1905,TblArticles,3,FALSE),""))</f>
        <v/>
      </c>
      <c r="E1905" s="6">
        <f>IFERROR(DATE(2000+VALUE(MID(A1905,FIND("15",A1905,FIND("01",A1905)+16)+2,2)),VALUE(MID(A1905,FIND("15",A1905,FIND("01",A1905)+16)+4,2)),VALUE(MID(A1905,FIND("15",A1905,FIND("01",A1905)+16)+6,2))),"")</f>
        <v/>
      </c>
      <c r="F1905" s="5">
        <f>IFERROR(MID(A1905,FIND("10",A1905,FIND("15",A1905,FIND("01",A1905)+16)+8)+2,50),"")</f>
        <v/>
      </c>
      <c r="G1905" s="5" t="n"/>
    </row>
    <row r="1906">
      <c r="A1906" s="7" t="n"/>
      <c r="B1906" s="8">
        <f>IFERROR(MID(A1906,FIND("01",A1906)+2,14),"")</f>
        <v/>
      </c>
      <c r="C1906" s="7">
        <f>IF(A1906="","",IFERROR(VLOOKUP(B1906,TblArticles,2,FALSE),"GTIN inconnu"))</f>
        <v/>
      </c>
      <c r="D1906" s="8">
        <f>IF(A1906="","",IFERROR(VLOOKUP(B1906,TblArticles,3,FALSE),""))</f>
        <v/>
      </c>
      <c r="E1906" s="9">
        <f>IFERROR(DATE(2000+VALUE(MID(A1906,FIND("15",A1906,FIND("01",A1906)+16)+2,2)),VALUE(MID(A1906,FIND("15",A1906,FIND("01",A1906)+16)+4,2)),VALUE(MID(A1906,FIND("15",A1906,FIND("01",A1906)+16)+6,2))),"")</f>
        <v/>
      </c>
      <c r="F1906" s="8">
        <f>IFERROR(MID(A1906,FIND("10",A1906,FIND("15",A1906,FIND("01",A1906)+16)+8)+2,50),"")</f>
        <v/>
      </c>
      <c r="G1906" s="8" t="n"/>
    </row>
    <row r="1907">
      <c r="A1907" s="4" t="n"/>
      <c r="B1907" s="5">
        <f>IFERROR(MID(A1907,FIND("01",A1907)+2,14),"")</f>
        <v/>
      </c>
      <c r="C1907" s="4">
        <f>IF(A1907="","",IFERROR(VLOOKUP(B1907,TblArticles,2,FALSE),"GTIN inconnu"))</f>
        <v/>
      </c>
      <c r="D1907" s="5">
        <f>IF(A1907="","",IFERROR(VLOOKUP(B1907,TblArticles,3,FALSE),""))</f>
        <v/>
      </c>
      <c r="E1907" s="6">
        <f>IFERROR(DATE(2000+VALUE(MID(A1907,FIND("15",A1907,FIND("01",A1907)+16)+2,2)),VALUE(MID(A1907,FIND("15",A1907,FIND("01",A1907)+16)+4,2)),VALUE(MID(A1907,FIND("15",A1907,FIND("01",A1907)+16)+6,2))),"")</f>
        <v/>
      </c>
      <c r="F1907" s="5">
        <f>IFERROR(MID(A1907,FIND("10",A1907,FIND("15",A1907,FIND("01",A1907)+16)+8)+2,50),"")</f>
        <v/>
      </c>
      <c r="G1907" s="5" t="n"/>
    </row>
    <row r="1908">
      <c r="A1908" s="7" t="n"/>
      <c r="B1908" s="8">
        <f>IFERROR(MID(A1908,FIND("01",A1908)+2,14),"")</f>
        <v/>
      </c>
      <c r="C1908" s="7">
        <f>IF(A1908="","",IFERROR(VLOOKUP(B1908,TblArticles,2,FALSE),"GTIN inconnu"))</f>
        <v/>
      </c>
      <c r="D1908" s="8">
        <f>IF(A1908="","",IFERROR(VLOOKUP(B1908,TblArticles,3,FALSE),""))</f>
        <v/>
      </c>
      <c r="E1908" s="9">
        <f>IFERROR(DATE(2000+VALUE(MID(A1908,FIND("15",A1908,FIND("01",A1908)+16)+2,2)),VALUE(MID(A1908,FIND("15",A1908,FIND("01",A1908)+16)+4,2)),VALUE(MID(A1908,FIND("15",A1908,FIND("01",A1908)+16)+6,2))),"")</f>
        <v/>
      </c>
      <c r="F1908" s="8">
        <f>IFERROR(MID(A1908,FIND("10",A1908,FIND("15",A1908,FIND("01",A1908)+16)+8)+2,50),"")</f>
        <v/>
      </c>
      <c r="G1908" s="8" t="n"/>
    </row>
    <row r="1909">
      <c r="A1909" s="4" t="n"/>
      <c r="B1909" s="5">
        <f>IFERROR(MID(A1909,FIND("01",A1909)+2,14),"")</f>
        <v/>
      </c>
      <c r="C1909" s="4">
        <f>IF(A1909="","",IFERROR(VLOOKUP(B1909,TblArticles,2,FALSE),"GTIN inconnu"))</f>
        <v/>
      </c>
      <c r="D1909" s="5">
        <f>IF(A1909="","",IFERROR(VLOOKUP(B1909,TblArticles,3,FALSE),""))</f>
        <v/>
      </c>
      <c r="E1909" s="6">
        <f>IFERROR(DATE(2000+VALUE(MID(A1909,FIND("15",A1909,FIND("01",A1909)+16)+2,2)),VALUE(MID(A1909,FIND("15",A1909,FIND("01",A1909)+16)+4,2)),VALUE(MID(A1909,FIND("15",A1909,FIND("01",A1909)+16)+6,2))),"")</f>
        <v/>
      </c>
      <c r="F1909" s="5">
        <f>IFERROR(MID(A1909,FIND("10",A1909,FIND("15",A1909,FIND("01",A1909)+16)+8)+2,50),"")</f>
        <v/>
      </c>
      <c r="G1909" s="5" t="n"/>
    </row>
    <row r="1910">
      <c r="A1910" s="7" t="n"/>
      <c r="B1910" s="8">
        <f>IFERROR(MID(A1910,FIND("01",A1910)+2,14),"")</f>
        <v/>
      </c>
      <c r="C1910" s="7">
        <f>IF(A1910="","",IFERROR(VLOOKUP(B1910,TblArticles,2,FALSE),"GTIN inconnu"))</f>
        <v/>
      </c>
      <c r="D1910" s="8">
        <f>IF(A1910="","",IFERROR(VLOOKUP(B1910,TblArticles,3,FALSE),""))</f>
        <v/>
      </c>
      <c r="E1910" s="9">
        <f>IFERROR(DATE(2000+VALUE(MID(A1910,FIND("15",A1910,FIND("01",A1910)+16)+2,2)),VALUE(MID(A1910,FIND("15",A1910,FIND("01",A1910)+16)+4,2)),VALUE(MID(A1910,FIND("15",A1910,FIND("01",A1910)+16)+6,2))),"")</f>
        <v/>
      </c>
      <c r="F1910" s="8">
        <f>IFERROR(MID(A1910,FIND("10",A1910,FIND("15",A1910,FIND("01",A1910)+16)+8)+2,50),"")</f>
        <v/>
      </c>
      <c r="G1910" s="8" t="n"/>
    </row>
    <row r="1911">
      <c r="A1911" s="4" t="n"/>
      <c r="B1911" s="5">
        <f>IFERROR(MID(A1911,FIND("01",A1911)+2,14),"")</f>
        <v/>
      </c>
      <c r="C1911" s="4">
        <f>IF(A1911="","",IFERROR(VLOOKUP(B1911,TblArticles,2,FALSE),"GTIN inconnu"))</f>
        <v/>
      </c>
      <c r="D1911" s="5">
        <f>IF(A1911="","",IFERROR(VLOOKUP(B1911,TblArticles,3,FALSE),""))</f>
        <v/>
      </c>
      <c r="E1911" s="6">
        <f>IFERROR(DATE(2000+VALUE(MID(A1911,FIND("15",A1911,FIND("01",A1911)+16)+2,2)),VALUE(MID(A1911,FIND("15",A1911,FIND("01",A1911)+16)+4,2)),VALUE(MID(A1911,FIND("15",A1911,FIND("01",A1911)+16)+6,2))),"")</f>
        <v/>
      </c>
      <c r="F1911" s="5">
        <f>IFERROR(MID(A1911,FIND("10",A1911,FIND("15",A1911,FIND("01",A1911)+16)+8)+2,50),"")</f>
        <v/>
      </c>
      <c r="G1911" s="5" t="n"/>
    </row>
    <row r="1912">
      <c r="A1912" s="7" t="n"/>
      <c r="B1912" s="8">
        <f>IFERROR(MID(A1912,FIND("01",A1912)+2,14),"")</f>
        <v/>
      </c>
      <c r="C1912" s="7">
        <f>IF(A1912="","",IFERROR(VLOOKUP(B1912,TblArticles,2,FALSE),"GTIN inconnu"))</f>
        <v/>
      </c>
      <c r="D1912" s="8">
        <f>IF(A1912="","",IFERROR(VLOOKUP(B1912,TblArticles,3,FALSE),""))</f>
        <v/>
      </c>
      <c r="E1912" s="9">
        <f>IFERROR(DATE(2000+VALUE(MID(A1912,FIND("15",A1912,FIND("01",A1912)+16)+2,2)),VALUE(MID(A1912,FIND("15",A1912,FIND("01",A1912)+16)+4,2)),VALUE(MID(A1912,FIND("15",A1912,FIND("01",A1912)+16)+6,2))),"")</f>
        <v/>
      </c>
      <c r="F1912" s="8">
        <f>IFERROR(MID(A1912,FIND("10",A1912,FIND("15",A1912,FIND("01",A1912)+16)+8)+2,50),"")</f>
        <v/>
      </c>
      <c r="G1912" s="8" t="n"/>
    </row>
    <row r="1913">
      <c r="A1913" s="4" t="n"/>
      <c r="B1913" s="5">
        <f>IFERROR(MID(A1913,FIND("01",A1913)+2,14),"")</f>
        <v/>
      </c>
      <c r="C1913" s="4">
        <f>IF(A1913="","",IFERROR(VLOOKUP(B1913,TblArticles,2,FALSE),"GTIN inconnu"))</f>
        <v/>
      </c>
      <c r="D1913" s="5">
        <f>IF(A1913="","",IFERROR(VLOOKUP(B1913,TblArticles,3,FALSE),""))</f>
        <v/>
      </c>
      <c r="E1913" s="6">
        <f>IFERROR(DATE(2000+VALUE(MID(A1913,FIND("15",A1913,FIND("01",A1913)+16)+2,2)),VALUE(MID(A1913,FIND("15",A1913,FIND("01",A1913)+16)+4,2)),VALUE(MID(A1913,FIND("15",A1913,FIND("01",A1913)+16)+6,2))),"")</f>
        <v/>
      </c>
      <c r="F1913" s="5">
        <f>IFERROR(MID(A1913,FIND("10",A1913,FIND("15",A1913,FIND("01",A1913)+16)+8)+2,50),"")</f>
        <v/>
      </c>
      <c r="G1913" s="5" t="n"/>
    </row>
    <row r="1914">
      <c r="A1914" s="7" t="n"/>
      <c r="B1914" s="8">
        <f>IFERROR(MID(A1914,FIND("01",A1914)+2,14),"")</f>
        <v/>
      </c>
      <c r="C1914" s="7">
        <f>IF(A1914="","",IFERROR(VLOOKUP(B1914,TblArticles,2,FALSE),"GTIN inconnu"))</f>
        <v/>
      </c>
      <c r="D1914" s="8">
        <f>IF(A1914="","",IFERROR(VLOOKUP(B1914,TblArticles,3,FALSE),""))</f>
        <v/>
      </c>
      <c r="E1914" s="9">
        <f>IFERROR(DATE(2000+VALUE(MID(A1914,FIND("15",A1914,FIND("01",A1914)+16)+2,2)),VALUE(MID(A1914,FIND("15",A1914,FIND("01",A1914)+16)+4,2)),VALUE(MID(A1914,FIND("15",A1914,FIND("01",A1914)+16)+6,2))),"")</f>
        <v/>
      </c>
      <c r="F1914" s="8">
        <f>IFERROR(MID(A1914,FIND("10",A1914,FIND("15",A1914,FIND("01",A1914)+16)+8)+2,50),"")</f>
        <v/>
      </c>
      <c r="G1914" s="8" t="n"/>
    </row>
    <row r="1915">
      <c r="A1915" s="4" t="n"/>
      <c r="B1915" s="5">
        <f>IFERROR(MID(A1915,FIND("01",A1915)+2,14),"")</f>
        <v/>
      </c>
      <c r="C1915" s="4">
        <f>IF(A1915="","",IFERROR(VLOOKUP(B1915,TblArticles,2,FALSE),"GTIN inconnu"))</f>
        <v/>
      </c>
      <c r="D1915" s="5">
        <f>IF(A1915="","",IFERROR(VLOOKUP(B1915,TblArticles,3,FALSE),""))</f>
        <v/>
      </c>
      <c r="E1915" s="6">
        <f>IFERROR(DATE(2000+VALUE(MID(A1915,FIND("15",A1915,FIND("01",A1915)+16)+2,2)),VALUE(MID(A1915,FIND("15",A1915,FIND("01",A1915)+16)+4,2)),VALUE(MID(A1915,FIND("15",A1915,FIND("01",A1915)+16)+6,2))),"")</f>
        <v/>
      </c>
      <c r="F1915" s="5">
        <f>IFERROR(MID(A1915,FIND("10",A1915,FIND("15",A1915,FIND("01",A1915)+16)+8)+2,50),"")</f>
        <v/>
      </c>
      <c r="G1915" s="5" t="n"/>
    </row>
    <row r="1916">
      <c r="A1916" s="7" t="n"/>
      <c r="B1916" s="8">
        <f>IFERROR(MID(A1916,FIND("01",A1916)+2,14),"")</f>
        <v/>
      </c>
      <c r="C1916" s="7">
        <f>IF(A1916="","",IFERROR(VLOOKUP(B1916,TblArticles,2,FALSE),"GTIN inconnu"))</f>
        <v/>
      </c>
      <c r="D1916" s="8">
        <f>IF(A1916="","",IFERROR(VLOOKUP(B1916,TblArticles,3,FALSE),""))</f>
        <v/>
      </c>
      <c r="E1916" s="9">
        <f>IFERROR(DATE(2000+VALUE(MID(A1916,FIND("15",A1916,FIND("01",A1916)+16)+2,2)),VALUE(MID(A1916,FIND("15",A1916,FIND("01",A1916)+16)+4,2)),VALUE(MID(A1916,FIND("15",A1916,FIND("01",A1916)+16)+6,2))),"")</f>
        <v/>
      </c>
      <c r="F1916" s="8">
        <f>IFERROR(MID(A1916,FIND("10",A1916,FIND("15",A1916,FIND("01",A1916)+16)+8)+2,50),"")</f>
        <v/>
      </c>
      <c r="G1916" s="8" t="n"/>
    </row>
    <row r="1917">
      <c r="A1917" s="4" t="n"/>
      <c r="B1917" s="5">
        <f>IFERROR(MID(A1917,FIND("01",A1917)+2,14),"")</f>
        <v/>
      </c>
      <c r="C1917" s="4">
        <f>IF(A1917="","",IFERROR(VLOOKUP(B1917,TblArticles,2,FALSE),"GTIN inconnu"))</f>
        <v/>
      </c>
      <c r="D1917" s="5">
        <f>IF(A1917="","",IFERROR(VLOOKUP(B1917,TblArticles,3,FALSE),""))</f>
        <v/>
      </c>
      <c r="E1917" s="6">
        <f>IFERROR(DATE(2000+VALUE(MID(A1917,FIND("15",A1917,FIND("01",A1917)+16)+2,2)),VALUE(MID(A1917,FIND("15",A1917,FIND("01",A1917)+16)+4,2)),VALUE(MID(A1917,FIND("15",A1917,FIND("01",A1917)+16)+6,2))),"")</f>
        <v/>
      </c>
      <c r="F1917" s="5">
        <f>IFERROR(MID(A1917,FIND("10",A1917,FIND("15",A1917,FIND("01",A1917)+16)+8)+2,50),"")</f>
        <v/>
      </c>
      <c r="G1917" s="5" t="n"/>
    </row>
    <row r="1918">
      <c r="A1918" s="7" t="n"/>
      <c r="B1918" s="8">
        <f>IFERROR(MID(A1918,FIND("01",A1918)+2,14),"")</f>
        <v/>
      </c>
      <c r="C1918" s="7">
        <f>IF(A1918="","",IFERROR(VLOOKUP(B1918,TblArticles,2,FALSE),"GTIN inconnu"))</f>
        <v/>
      </c>
      <c r="D1918" s="8">
        <f>IF(A1918="","",IFERROR(VLOOKUP(B1918,TblArticles,3,FALSE),""))</f>
        <v/>
      </c>
      <c r="E1918" s="9">
        <f>IFERROR(DATE(2000+VALUE(MID(A1918,FIND("15",A1918,FIND("01",A1918)+16)+2,2)),VALUE(MID(A1918,FIND("15",A1918,FIND("01",A1918)+16)+4,2)),VALUE(MID(A1918,FIND("15",A1918,FIND("01",A1918)+16)+6,2))),"")</f>
        <v/>
      </c>
      <c r="F1918" s="8">
        <f>IFERROR(MID(A1918,FIND("10",A1918,FIND("15",A1918,FIND("01",A1918)+16)+8)+2,50),"")</f>
        <v/>
      </c>
      <c r="G1918" s="8" t="n"/>
    </row>
    <row r="1919">
      <c r="A1919" s="4" t="n"/>
      <c r="B1919" s="5">
        <f>IFERROR(MID(A1919,FIND("01",A1919)+2,14),"")</f>
        <v/>
      </c>
      <c r="C1919" s="4">
        <f>IF(A1919="","",IFERROR(VLOOKUP(B1919,TblArticles,2,FALSE),"GTIN inconnu"))</f>
        <v/>
      </c>
      <c r="D1919" s="5">
        <f>IF(A1919="","",IFERROR(VLOOKUP(B1919,TblArticles,3,FALSE),""))</f>
        <v/>
      </c>
      <c r="E1919" s="6">
        <f>IFERROR(DATE(2000+VALUE(MID(A1919,FIND("15",A1919,FIND("01",A1919)+16)+2,2)),VALUE(MID(A1919,FIND("15",A1919,FIND("01",A1919)+16)+4,2)),VALUE(MID(A1919,FIND("15",A1919,FIND("01",A1919)+16)+6,2))),"")</f>
        <v/>
      </c>
      <c r="F1919" s="5">
        <f>IFERROR(MID(A1919,FIND("10",A1919,FIND("15",A1919,FIND("01",A1919)+16)+8)+2,50),"")</f>
        <v/>
      </c>
      <c r="G1919" s="5" t="n"/>
    </row>
    <row r="1920">
      <c r="A1920" s="7" t="n"/>
      <c r="B1920" s="8">
        <f>IFERROR(MID(A1920,FIND("01",A1920)+2,14),"")</f>
        <v/>
      </c>
      <c r="C1920" s="7">
        <f>IF(A1920="","",IFERROR(VLOOKUP(B1920,TblArticles,2,FALSE),"GTIN inconnu"))</f>
        <v/>
      </c>
      <c r="D1920" s="8">
        <f>IF(A1920="","",IFERROR(VLOOKUP(B1920,TblArticles,3,FALSE),""))</f>
        <v/>
      </c>
      <c r="E1920" s="9">
        <f>IFERROR(DATE(2000+VALUE(MID(A1920,FIND("15",A1920,FIND("01",A1920)+16)+2,2)),VALUE(MID(A1920,FIND("15",A1920,FIND("01",A1920)+16)+4,2)),VALUE(MID(A1920,FIND("15",A1920,FIND("01",A1920)+16)+6,2))),"")</f>
        <v/>
      </c>
      <c r="F1920" s="8">
        <f>IFERROR(MID(A1920,FIND("10",A1920,FIND("15",A1920,FIND("01",A1920)+16)+8)+2,50),"")</f>
        <v/>
      </c>
      <c r="G1920" s="8" t="n"/>
    </row>
    <row r="1921">
      <c r="A1921" s="4" t="n"/>
      <c r="B1921" s="5">
        <f>IFERROR(MID(A1921,FIND("01",A1921)+2,14),"")</f>
        <v/>
      </c>
      <c r="C1921" s="4">
        <f>IF(A1921="","",IFERROR(VLOOKUP(B1921,TblArticles,2,FALSE),"GTIN inconnu"))</f>
        <v/>
      </c>
      <c r="D1921" s="5">
        <f>IF(A1921="","",IFERROR(VLOOKUP(B1921,TblArticles,3,FALSE),""))</f>
        <v/>
      </c>
      <c r="E1921" s="6">
        <f>IFERROR(DATE(2000+VALUE(MID(A1921,FIND("15",A1921,FIND("01",A1921)+16)+2,2)),VALUE(MID(A1921,FIND("15",A1921,FIND("01",A1921)+16)+4,2)),VALUE(MID(A1921,FIND("15",A1921,FIND("01",A1921)+16)+6,2))),"")</f>
        <v/>
      </c>
      <c r="F1921" s="5">
        <f>IFERROR(MID(A1921,FIND("10",A1921,FIND("15",A1921,FIND("01",A1921)+16)+8)+2,50),"")</f>
        <v/>
      </c>
      <c r="G1921" s="5" t="n"/>
    </row>
    <row r="1922">
      <c r="A1922" s="7" t="n"/>
      <c r="B1922" s="8">
        <f>IFERROR(MID(A1922,FIND("01",A1922)+2,14),"")</f>
        <v/>
      </c>
      <c r="C1922" s="7">
        <f>IF(A1922="","",IFERROR(VLOOKUP(B1922,TblArticles,2,FALSE),"GTIN inconnu"))</f>
        <v/>
      </c>
      <c r="D1922" s="8">
        <f>IF(A1922="","",IFERROR(VLOOKUP(B1922,TblArticles,3,FALSE),""))</f>
        <v/>
      </c>
      <c r="E1922" s="9">
        <f>IFERROR(DATE(2000+VALUE(MID(A1922,FIND("15",A1922,FIND("01",A1922)+16)+2,2)),VALUE(MID(A1922,FIND("15",A1922,FIND("01",A1922)+16)+4,2)),VALUE(MID(A1922,FIND("15",A1922,FIND("01",A1922)+16)+6,2))),"")</f>
        <v/>
      </c>
      <c r="F1922" s="8">
        <f>IFERROR(MID(A1922,FIND("10",A1922,FIND("15",A1922,FIND("01",A1922)+16)+8)+2,50),"")</f>
        <v/>
      </c>
      <c r="G1922" s="8" t="n"/>
    </row>
    <row r="1923">
      <c r="A1923" s="4" t="n"/>
      <c r="B1923" s="5">
        <f>IFERROR(MID(A1923,FIND("01",A1923)+2,14),"")</f>
        <v/>
      </c>
      <c r="C1923" s="4">
        <f>IF(A1923="","",IFERROR(VLOOKUP(B1923,TblArticles,2,FALSE),"GTIN inconnu"))</f>
        <v/>
      </c>
      <c r="D1923" s="5">
        <f>IF(A1923="","",IFERROR(VLOOKUP(B1923,TblArticles,3,FALSE),""))</f>
        <v/>
      </c>
      <c r="E1923" s="6">
        <f>IFERROR(DATE(2000+VALUE(MID(A1923,FIND("15",A1923,FIND("01",A1923)+16)+2,2)),VALUE(MID(A1923,FIND("15",A1923,FIND("01",A1923)+16)+4,2)),VALUE(MID(A1923,FIND("15",A1923,FIND("01",A1923)+16)+6,2))),"")</f>
        <v/>
      </c>
      <c r="F1923" s="5">
        <f>IFERROR(MID(A1923,FIND("10",A1923,FIND("15",A1923,FIND("01",A1923)+16)+8)+2,50),"")</f>
        <v/>
      </c>
      <c r="G1923" s="5" t="n"/>
    </row>
    <row r="1924">
      <c r="A1924" s="7" t="n"/>
      <c r="B1924" s="8">
        <f>IFERROR(MID(A1924,FIND("01",A1924)+2,14),"")</f>
        <v/>
      </c>
      <c r="C1924" s="7">
        <f>IF(A1924="","",IFERROR(VLOOKUP(B1924,TblArticles,2,FALSE),"GTIN inconnu"))</f>
        <v/>
      </c>
      <c r="D1924" s="8">
        <f>IF(A1924="","",IFERROR(VLOOKUP(B1924,TblArticles,3,FALSE),""))</f>
        <v/>
      </c>
      <c r="E1924" s="9">
        <f>IFERROR(DATE(2000+VALUE(MID(A1924,FIND("15",A1924,FIND("01",A1924)+16)+2,2)),VALUE(MID(A1924,FIND("15",A1924,FIND("01",A1924)+16)+4,2)),VALUE(MID(A1924,FIND("15",A1924,FIND("01",A1924)+16)+6,2))),"")</f>
        <v/>
      </c>
      <c r="F1924" s="8">
        <f>IFERROR(MID(A1924,FIND("10",A1924,FIND("15",A1924,FIND("01",A1924)+16)+8)+2,50),"")</f>
        <v/>
      </c>
      <c r="G1924" s="8" t="n"/>
    </row>
    <row r="1925">
      <c r="A1925" s="4" t="n"/>
      <c r="B1925" s="5">
        <f>IFERROR(MID(A1925,FIND("01",A1925)+2,14),"")</f>
        <v/>
      </c>
      <c r="C1925" s="4">
        <f>IF(A1925="","",IFERROR(VLOOKUP(B1925,TblArticles,2,FALSE),"GTIN inconnu"))</f>
        <v/>
      </c>
      <c r="D1925" s="5">
        <f>IF(A1925="","",IFERROR(VLOOKUP(B1925,TblArticles,3,FALSE),""))</f>
        <v/>
      </c>
      <c r="E1925" s="6">
        <f>IFERROR(DATE(2000+VALUE(MID(A1925,FIND("15",A1925,FIND("01",A1925)+16)+2,2)),VALUE(MID(A1925,FIND("15",A1925,FIND("01",A1925)+16)+4,2)),VALUE(MID(A1925,FIND("15",A1925,FIND("01",A1925)+16)+6,2))),"")</f>
        <v/>
      </c>
      <c r="F1925" s="5">
        <f>IFERROR(MID(A1925,FIND("10",A1925,FIND("15",A1925,FIND("01",A1925)+16)+8)+2,50),"")</f>
        <v/>
      </c>
      <c r="G1925" s="5" t="n"/>
    </row>
    <row r="1926">
      <c r="A1926" s="7" t="n"/>
      <c r="B1926" s="8">
        <f>IFERROR(MID(A1926,FIND("01",A1926)+2,14),"")</f>
        <v/>
      </c>
      <c r="C1926" s="7">
        <f>IF(A1926="","",IFERROR(VLOOKUP(B1926,TblArticles,2,FALSE),"GTIN inconnu"))</f>
        <v/>
      </c>
      <c r="D1926" s="8">
        <f>IF(A1926="","",IFERROR(VLOOKUP(B1926,TblArticles,3,FALSE),""))</f>
        <v/>
      </c>
      <c r="E1926" s="9">
        <f>IFERROR(DATE(2000+VALUE(MID(A1926,FIND("15",A1926,FIND("01",A1926)+16)+2,2)),VALUE(MID(A1926,FIND("15",A1926,FIND("01",A1926)+16)+4,2)),VALUE(MID(A1926,FIND("15",A1926,FIND("01",A1926)+16)+6,2))),"")</f>
        <v/>
      </c>
      <c r="F1926" s="8">
        <f>IFERROR(MID(A1926,FIND("10",A1926,FIND("15",A1926,FIND("01",A1926)+16)+8)+2,50),"")</f>
        <v/>
      </c>
      <c r="G1926" s="8" t="n"/>
    </row>
    <row r="1927">
      <c r="A1927" s="4" t="n"/>
      <c r="B1927" s="5">
        <f>IFERROR(MID(A1927,FIND("01",A1927)+2,14),"")</f>
        <v/>
      </c>
      <c r="C1927" s="4">
        <f>IF(A1927="","",IFERROR(VLOOKUP(B1927,TblArticles,2,FALSE),"GTIN inconnu"))</f>
        <v/>
      </c>
      <c r="D1927" s="5">
        <f>IF(A1927="","",IFERROR(VLOOKUP(B1927,TblArticles,3,FALSE),""))</f>
        <v/>
      </c>
      <c r="E1927" s="6">
        <f>IFERROR(DATE(2000+VALUE(MID(A1927,FIND("15",A1927,FIND("01",A1927)+16)+2,2)),VALUE(MID(A1927,FIND("15",A1927,FIND("01",A1927)+16)+4,2)),VALUE(MID(A1927,FIND("15",A1927,FIND("01",A1927)+16)+6,2))),"")</f>
        <v/>
      </c>
      <c r="F1927" s="5">
        <f>IFERROR(MID(A1927,FIND("10",A1927,FIND("15",A1927,FIND("01",A1927)+16)+8)+2,50),"")</f>
        <v/>
      </c>
      <c r="G1927" s="5" t="n"/>
    </row>
    <row r="1928">
      <c r="A1928" s="7" t="n"/>
      <c r="B1928" s="8">
        <f>IFERROR(MID(A1928,FIND("01",A1928)+2,14),"")</f>
        <v/>
      </c>
      <c r="C1928" s="7">
        <f>IF(A1928="","",IFERROR(VLOOKUP(B1928,TblArticles,2,FALSE),"GTIN inconnu"))</f>
        <v/>
      </c>
      <c r="D1928" s="8">
        <f>IF(A1928="","",IFERROR(VLOOKUP(B1928,TblArticles,3,FALSE),""))</f>
        <v/>
      </c>
      <c r="E1928" s="9">
        <f>IFERROR(DATE(2000+VALUE(MID(A1928,FIND("15",A1928,FIND("01",A1928)+16)+2,2)),VALUE(MID(A1928,FIND("15",A1928,FIND("01",A1928)+16)+4,2)),VALUE(MID(A1928,FIND("15",A1928,FIND("01",A1928)+16)+6,2))),"")</f>
        <v/>
      </c>
      <c r="F1928" s="8">
        <f>IFERROR(MID(A1928,FIND("10",A1928,FIND("15",A1928,FIND("01",A1928)+16)+8)+2,50),"")</f>
        <v/>
      </c>
      <c r="G1928" s="8" t="n"/>
    </row>
    <row r="1929">
      <c r="A1929" s="4" t="n"/>
      <c r="B1929" s="5">
        <f>IFERROR(MID(A1929,FIND("01",A1929)+2,14),"")</f>
        <v/>
      </c>
      <c r="C1929" s="4">
        <f>IF(A1929="","",IFERROR(VLOOKUP(B1929,TblArticles,2,FALSE),"GTIN inconnu"))</f>
        <v/>
      </c>
      <c r="D1929" s="5">
        <f>IF(A1929="","",IFERROR(VLOOKUP(B1929,TblArticles,3,FALSE),""))</f>
        <v/>
      </c>
      <c r="E1929" s="6">
        <f>IFERROR(DATE(2000+VALUE(MID(A1929,FIND("15",A1929,FIND("01",A1929)+16)+2,2)),VALUE(MID(A1929,FIND("15",A1929,FIND("01",A1929)+16)+4,2)),VALUE(MID(A1929,FIND("15",A1929,FIND("01",A1929)+16)+6,2))),"")</f>
        <v/>
      </c>
      <c r="F1929" s="5">
        <f>IFERROR(MID(A1929,FIND("10",A1929,FIND("15",A1929,FIND("01",A1929)+16)+8)+2,50),"")</f>
        <v/>
      </c>
      <c r="G1929" s="5" t="n"/>
    </row>
    <row r="1930">
      <c r="A1930" s="7" t="n"/>
      <c r="B1930" s="8">
        <f>IFERROR(MID(A1930,FIND("01",A1930)+2,14),"")</f>
        <v/>
      </c>
      <c r="C1930" s="7">
        <f>IF(A1930="","",IFERROR(VLOOKUP(B1930,TblArticles,2,FALSE),"GTIN inconnu"))</f>
        <v/>
      </c>
      <c r="D1930" s="8">
        <f>IF(A1930="","",IFERROR(VLOOKUP(B1930,TblArticles,3,FALSE),""))</f>
        <v/>
      </c>
      <c r="E1930" s="9">
        <f>IFERROR(DATE(2000+VALUE(MID(A1930,FIND("15",A1930,FIND("01",A1930)+16)+2,2)),VALUE(MID(A1930,FIND("15",A1930,FIND("01",A1930)+16)+4,2)),VALUE(MID(A1930,FIND("15",A1930,FIND("01",A1930)+16)+6,2))),"")</f>
        <v/>
      </c>
      <c r="F1930" s="8">
        <f>IFERROR(MID(A1930,FIND("10",A1930,FIND("15",A1930,FIND("01",A1930)+16)+8)+2,50),"")</f>
        <v/>
      </c>
      <c r="G1930" s="8" t="n"/>
    </row>
    <row r="1931">
      <c r="A1931" s="4" t="n"/>
      <c r="B1931" s="5">
        <f>IFERROR(MID(A1931,FIND("01",A1931)+2,14),"")</f>
        <v/>
      </c>
      <c r="C1931" s="4">
        <f>IF(A1931="","",IFERROR(VLOOKUP(B1931,TblArticles,2,FALSE),"GTIN inconnu"))</f>
        <v/>
      </c>
      <c r="D1931" s="5">
        <f>IF(A1931="","",IFERROR(VLOOKUP(B1931,TblArticles,3,FALSE),""))</f>
        <v/>
      </c>
      <c r="E1931" s="6">
        <f>IFERROR(DATE(2000+VALUE(MID(A1931,FIND("15",A1931,FIND("01",A1931)+16)+2,2)),VALUE(MID(A1931,FIND("15",A1931,FIND("01",A1931)+16)+4,2)),VALUE(MID(A1931,FIND("15",A1931,FIND("01",A1931)+16)+6,2))),"")</f>
        <v/>
      </c>
      <c r="F1931" s="5">
        <f>IFERROR(MID(A1931,FIND("10",A1931,FIND("15",A1931,FIND("01",A1931)+16)+8)+2,50),"")</f>
        <v/>
      </c>
      <c r="G1931" s="5" t="n"/>
    </row>
    <row r="1932">
      <c r="A1932" s="7" t="n"/>
      <c r="B1932" s="8">
        <f>IFERROR(MID(A1932,FIND("01",A1932)+2,14),"")</f>
        <v/>
      </c>
      <c r="C1932" s="7">
        <f>IF(A1932="","",IFERROR(VLOOKUP(B1932,TblArticles,2,FALSE),"GTIN inconnu"))</f>
        <v/>
      </c>
      <c r="D1932" s="8">
        <f>IF(A1932="","",IFERROR(VLOOKUP(B1932,TblArticles,3,FALSE),""))</f>
        <v/>
      </c>
      <c r="E1932" s="9">
        <f>IFERROR(DATE(2000+VALUE(MID(A1932,FIND("15",A1932,FIND("01",A1932)+16)+2,2)),VALUE(MID(A1932,FIND("15",A1932,FIND("01",A1932)+16)+4,2)),VALUE(MID(A1932,FIND("15",A1932,FIND("01",A1932)+16)+6,2))),"")</f>
        <v/>
      </c>
      <c r="F1932" s="8">
        <f>IFERROR(MID(A1932,FIND("10",A1932,FIND("15",A1932,FIND("01",A1932)+16)+8)+2,50),"")</f>
        <v/>
      </c>
      <c r="G1932" s="8" t="n"/>
    </row>
    <row r="1933">
      <c r="A1933" s="4" t="n"/>
      <c r="B1933" s="5">
        <f>IFERROR(MID(A1933,FIND("01",A1933)+2,14),"")</f>
        <v/>
      </c>
      <c r="C1933" s="4">
        <f>IF(A1933="","",IFERROR(VLOOKUP(B1933,TblArticles,2,FALSE),"GTIN inconnu"))</f>
        <v/>
      </c>
      <c r="D1933" s="5">
        <f>IF(A1933="","",IFERROR(VLOOKUP(B1933,TblArticles,3,FALSE),""))</f>
        <v/>
      </c>
      <c r="E1933" s="6">
        <f>IFERROR(DATE(2000+VALUE(MID(A1933,FIND("15",A1933,FIND("01",A1933)+16)+2,2)),VALUE(MID(A1933,FIND("15",A1933,FIND("01",A1933)+16)+4,2)),VALUE(MID(A1933,FIND("15",A1933,FIND("01",A1933)+16)+6,2))),"")</f>
        <v/>
      </c>
      <c r="F1933" s="5">
        <f>IFERROR(MID(A1933,FIND("10",A1933,FIND("15",A1933,FIND("01",A1933)+16)+8)+2,50),"")</f>
        <v/>
      </c>
      <c r="G1933" s="5" t="n"/>
    </row>
    <row r="1934">
      <c r="A1934" s="7" t="n"/>
      <c r="B1934" s="8">
        <f>IFERROR(MID(A1934,FIND("01",A1934)+2,14),"")</f>
        <v/>
      </c>
      <c r="C1934" s="7">
        <f>IF(A1934="","",IFERROR(VLOOKUP(B1934,TblArticles,2,FALSE),"GTIN inconnu"))</f>
        <v/>
      </c>
      <c r="D1934" s="8">
        <f>IF(A1934="","",IFERROR(VLOOKUP(B1934,TblArticles,3,FALSE),""))</f>
        <v/>
      </c>
      <c r="E1934" s="9">
        <f>IFERROR(DATE(2000+VALUE(MID(A1934,FIND("15",A1934,FIND("01",A1934)+16)+2,2)),VALUE(MID(A1934,FIND("15",A1934,FIND("01",A1934)+16)+4,2)),VALUE(MID(A1934,FIND("15",A1934,FIND("01",A1934)+16)+6,2))),"")</f>
        <v/>
      </c>
      <c r="F1934" s="8">
        <f>IFERROR(MID(A1934,FIND("10",A1934,FIND("15",A1934,FIND("01",A1934)+16)+8)+2,50),"")</f>
        <v/>
      </c>
      <c r="G1934" s="8" t="n"/>
    </row>
    <row r="1935">
      <c r="A1935" s="4" t="n"/>
      <c r="B1935" s="5">
        <f>IFERROR(MID(A1935,FIND("01",A1935)+2,14),"")</f>
        <v/>
      </c>
      <c r="C1935" s="4">
        <f>IF(A1935="","",IFERROR(VLOOKUP(B1935,TblArticles,2,FALSE),"GTIN inconnu"))</f>
        <v/>
      </c>
      <c r="D1935" s="5">
        <f>IF(A1935="","",IFERROR(VLOOKUP(B1935,TblArticles,3,FALSE),""))</f>
        <v/>
      </c>
      <c r="E1935" s="6">
        <f>IFERROR(DATE(2000+VALUE(MID(A1935,FIND("15",A1935,FIND("01",A1935)+16)+2,2)),VALUE(MID(A1935,FIND("15",A1935,FIND("01",A1935)+16)+4,2)),VALUE(MID(A1935,FIND("15",A1935,FIND("01",A1935)+16)+6,2))),"")</f>
        <v/>
      </c>
      <c r="F1935" s="5">
        <f>IFERROR(MID(A1935,FIND("10",A1935,FIND("15",A1935,FIND("01",A1935)+16)+8)+2,50),"")</f>
        <v/>
      </c>
      <c r="G1935" s="5" t="n"/>
    </row>
    <row r="1936">
      <c r="A1936" s="7" t="n"/>
      <c r="B1936" s="8">
        <f>IFERROR(MID(A1936,FIND("01",A1936)+2,14),"")</f>
        <v/>
      </c>
      <c r="C1936" s="7">
        <f>IF(A1936="","",IFERROR(VLOOKUP(B1936,TblArticles,2,FALSE),"GTIN inconnu"))</f>
        <v/>
      </c>
      <c r="D1936" s="8">
        <f>IF(A1936="","",IFERROR(VLOOKUP(B1936,TblArticles,3,FALSE),""))</f>
        <v/>
      </c>
      <c r="E1936" s="9">
        <f>IFERROR(DATE(2000+VALUE(MID(A1936,FIND("15",A1936,FIND("01",A1936)+16)+2,2)),VALUE(MID(A1936,FIND("15",A1936,FIND("01",A1936)+16)+4,2)),VALUE(MID(A1936,FIND("15",A1936,FIND("01",A1936)+16)+6,2))),"")</f>
        <v/>
      </c>
      <c r="F1936" s="8">
        <f>IFERROR(MID(A1936,FIND("10",A1936,FIND("15",A1936,FIND("01",A1936)+16)+8)+2,50),"")</f>
        <v/>
      </c>
      <c r="G1936" s="8" t="n"/>
    </row>
    <row r="1937">
      <c r="A1937" s="4" t="n"/>
      <c r="B1937" s="5">
        <f>IFERROR(MID(A1937,FIND("01",A1937)+2,14),"")</f>
        <v/>
      </c>
      <c r="C1937" s="4">
        <f>IF(A1937="","",IFERROR(VLOOKUP(B1937,TblArticles,2,FALSE),"GTIN inconnu"))</f>
        <v/>
      </c>
      <c r="D1937" s="5">
        <f>IF(A1937="","",IFERROR(VLOOKUP(B1937,TblArticles,3,FALSE),""))</f>
        <v/>
      </c>
      <c r="E1937" s="6">
        <f>IFERROR(DATE(2000+VALUE(MID(A1937,FIND("15",A1937,FIND("01",A1937)+16)+2,2)),VALUE(MID(A1937,FIND("15",A1937,FIND("01",A1937)+16)+4,2)),VALUE(MID(A1937,FIND("15",A1937,FIND("01",A1937)+16)+6,2))),"")</f>
        <v/>
      </c>
      <c r="F1937" s="5">
        <f>IFERROR(MID(A1937,FIND("10",A1937,FIND("15",A1937,FIND("01",A1937)+16)+8)+2,50),"")</f>
        <v/>
      </c>
      <c r="G1937" s="5" t="n"/>
    </row>
    <row r="1938">
      <c r="A1938" s="7" t="n"/>
      <c r="B1938" s="8">
        <f>IFERROR(MID(A1938,FIND("01",A1938)+2,14),"")</f>
        <v/>
      </c>
      <c r="C1938" s="7">
        <f>IF(A1938="","",IFERROR(VLOOKUP(B1938,TblArticles,2,FALSE),"GTIN inconnu"))</f>
        <v/>
      </c>
      <c r="D1938" s="8">
        <f>IF(A1938="","",IFERROR(VLOOKUP(B1938,TblArticles,3,FALSE),""))</f>
        <v/>
      </c>
      <c r="E1938" s="9">
        <f>IFERROR(DATE(2000+VALUE(MID(A1938,FIND("15",A1938,FIND("01",A1938)+16)+2,2)),VALUE(MID(A1938,FIND("15",A1938,FIND("01",A1938)+16)+4,2)),VALUE(MID(A1938,FIND("15",A1938,FIND("01",A1938)+16)+6,2))),"")</f>
        <v/>
      </c>
      <c r="F1938" s="8">
        <f>IFERROR(MID(A1938,FIND("10",A1938,FIND("15",A1938,FIND("01",A1938)+16)+8)+2,50),"")</f>
        <v/>
      </c>
      <c r="G1938" s="8" t="n"/>
    </row>
    <row r="1939">
      <c r="A1939" s="4" t="n"/>
      <c r="B1939" s="5">
        <f>IFERROR(MID(A1939,FIND("01",A1939)+2,14),"")</f>
        <v/>
      </c>
      <c r="C1939" s="4">
        <f>IF(A1939="","",IFERROR(VLOOKUP(B1939,TblArticles,2,FALSE),"GTIN inconnu"))</f>
        <v/>
      </c>
      <c r="D1939" s="5">
        <f>IF(A1939="","",IFERROR(VLOOKUP(B1939,TblArticles,3,FALSE),""))</f>
        <v/>
      </c>
      <c r="E1939" s="6">
        <f>IFERROR(DATE(2000+VALUE(MID(A1939,FIND("15",A1939,FIND("01",A1939)+16)+2,2)),VALUE(MID(A1939,FIND("15",A1939,FIND("01",A1939)+16)+4,2)),VALUE(MID(A1939,FIND("15",A1939,FIND("01",A1939)+16)+6,2))),"")</f>
        <v/>
      </c>
      <c r="F1939" s="5">
        <f>IFERROR(MID(A1939,FIND("10",A1939,FIND("15",A1939,FIND("01",A1939)+16)+8)+2,50),"")</f>
        <v/>
      </c>
      <c r="G1939" s="5" t="n"/>
    </row>
    <row r="1940">
      <c r="A1940" s="7" t="n"/>
      <c r="B1940" s="8">
        <f>IFERROR(MID(A1940,FIND("01",A1940)+2,14),"")</f>
        <v/>
      </c>
      <c r="C1940" s="7">
        <f>IF(A1940="","",IFERROR(VLOOKUP(B1940,TblArticles,2,FALSE),"GTIN inconnu"))</f>
        <v/>
      </c>
      <c r="D1940" s="8">
        <f>IF(A1940="","",IFERROR(VLOOKUP(B1940,TblArticles,3,FALSE),""))</f>
        <v/>
      </c>
      <c r="E1940" s="9">
        <f>IFERROR(DATE(2000+VALUE(MID(A1940,FIND("15",A1940,FIND("01",A1940)+16)+2,2)),VALUE(MID(A1940,FIND("15",A1940,FIND("01",A1940)+16)+4,2)),VALUE(MID(A1940,FIND("15",A1940,FIND("01",A1940)+16)+6,2))),"")</f>
        <v/>
      </c>
      <c r="F1940" s="8">
        <f>IFERROR(MID(A1940,FIND("10",A1940,FIND("15",A1940,FIND("01",A1940)+16)+8)+2,50),"")</f>
        <v/>
      </c>
      <c r="G1940" s="8" t="n"/>
    </row>
    <row r="1941">
      <c r="A1941" s="4" t="n"/>
      <c r="B1941" s="5">
        <f>IFERROR(MID(A1941,FIND("01",A1941)+2,14),"")</f>
        <v/>
      </c>
      <c r="C1941" s="4">
        <f>IF(A1941="","",IFERROR(VLOOKUP(B1941,TblArticles,2,FALSE),"GTIN inconnu"))</f>
        <v/>
      </c>
      <c r="D1941" s="5">
        <f>IF(A1941="","",IFERROR(VLOOKUP(B1941,TblArticles,3,FALSE),""))</f>
        <v/>
      </c>
      <c r="E1941" s="6">
        <f>IFERROR(DATE(2000+VALUE(MID(A1941,FIND("15",A1941,FIND("01",A1941)+16)+2,2)),VALUE(MID(A1941,FIND("15",A1941,FIND("01",A1941)+16)+4,2)),VALUE(MID(A1941,FIND("15",A1941,FIND("01",A1941)+16)+6,2))),"")</f>
        <v/>
      </c>
      <c r="F1941" s="5">
        <f>IFERROR(MID(A1941,FIND("10",A1941,FIND("15",A1941,FIND("01",A1941)+16)+8)+2,50),"")</f>
        <v/>
      </c>
      <c r="G1941" s="5" t="n"/>
    </row>
    <row r="1942">
      <c r="A1942" s="7" t="n"/>
      <c r="B1942" s="8">
        <f>IFERROR(MID(A1942,FIND("01",A1942)+2,14),"")</f>
        <v/>
      </c>
      <c r="C1942" s="7">
        <f>IF(A1942="","",IFERROR(VLOOKUP(B1942,TblArticles,2,FALSE),"GTIN inconnu"))</f>
        <v/>
      </c>
      <c r="D1942" s="8">
        <f>IF(A1942="","",IFERROR(VLOOKUP(B1942,TblArticles,3,FALSE),""))</f>
        <v/>
      </c>
      <c r="E1942" s="9">
        <f>IFERROR(DATE(2000+VALUE(MID(A1942,FIND("15",A1942,FIND("01",A1942)+16)+2,2)),VALUE(MID(A1942,FIND("15",A1942,FIND("01",A1942)+16)+4,2)),VALUE(MID(A1942,FIND("15",A1942,FIND("01",A1942)+16)+6,2))),"")</f>
        <v/>
      </c>
      <c r="F1942" s="8">
        <f>IFERROR(MID(A1942,FIND("10",A1942,FIND("15",A1942,FIND("01",A1942)+16)+8)+2,50),"")</f>
        <v/>
      </c>
      <c r="G1942" s="8" t="n"/>
    </row>
    <row r="1943">
      <c r="A1943" s="4" t="n"/>
      <c r="B1943" s="5">
        <f>IFERROR(MID(A1943,FIND("01",A1943)+2,14),"")</f>
        <v/>
      </c>
      <c r="C1943" s="4">
        <f>IF(A1943="","",IFERROR(VLOOKUP(B1943,TblArticles,2,FALSE),"GTIN inconnu"))</f>
        <v/>
      </c>
      <c r="D1943" s="5">
        <f>IF(A1943="","",IFERROR(VLOOKUP(B1943,TblArticles,3,FALSE),""))</f>
        <v/>
      </c>
      <c r="E1943" s="6">
        <f>IFERROR(DATE(2000+VALUE(MID(A1943,FIND("15",A1943,FIND("01",A1943)+16)+2,2)),VALUE(MID(A1943,FIND("15",A1943,FIND("01",A1943)+16)+4,2)),VALUE(MID(A1943,FIND("15",A1943,FIND("01",A1943)+16)+6,2))),"")</f>
        <v/>
      </c>
      <c r="F1943" s="5">
        <f>IFERROR(MID(A1943,FIND("10",A1943,FIND("15",A1943,FIND("01",A1943)+16)+8)+2,50),"")</f>
        <v/>
      </c>
      <c r="G1943" s="5" t="n"/>
    </row>
    <row r="1944">
      <c r="A1944" s="7" t="n"/>
      <c r="B1944" s="8">
        <f>IFERROR(MID(A1944,FIND("01",A1944)+2,14),"")</f>
        <v/>
      </c>
      <c r="C1944" s="7">
        <f>IF(A1944="","",IFERROR(VLOOKUP(B1944,TblArticles,2,FALSE),"GTIN inconnu"))</f>
        <v/>
      </c>
      <c r="D1944" s="8">
        <f>IF(A1944="","",IFERROR(VLOOKUP(B1944,TblArticles,3,FALSE),""))</f>
        <v/>
      </c>
      <c r="E1944" s="9">
        <f>IFERROR(DATE(2000+VALUE(MID(A1944,FIND("15",A1944,FIND("01",A1944)+16)+2,2)),VALUE(MID(A1944,FIND("15",A1944,FIND("01",A1944)+16)+4,2)),VALUE(MID(A1944,FIND("15",A1944,FIND("01",A1944)+16)+6,2))),"")</f>
        <v/>
      </c>
      <c r="F1944" s="8">
        <f>IFERROR(MID(A1944,FIND("10",A1944,FIND("15",A1944,FIND("01",A1944)+16)+8)+2,50),"")</f>
        <v/>
      </c>
      <c r="G1944" s="8" t="n"/>
    </row>
    <row r="1945">
      <c r="A1945" s="4" t="n"/>
      <c r="B1945" s="5">
        <f>IFERROR(MID(A1945,FIND("01",A1945)+2,14),"")</f>
        <v/>
      </c>
      <c r="C1945" s="4">
        <f>IF(A1945="","",IFERROR(VLOOKUP(B1945,TblArticles,2,FALSE),"GTIN inconnu"))</f>
        <v/>
      </c>
      <c r="D1945" s="5">
        <f>IF(A1945="","",IFERROR(VLOOKUP(B1945,TblArticles,3,FALSE),""))</f>
        <v/>
      </c>
      <c r="E1945" s="6">
        <f>IFERROR(DATE(2000+VALUE(MID(A1945,FIND("15",A1945,FIND("01",A1945)+16)+2,2)),VALUE(MID(A1945,FIND("15",A1945,FIND("01",A1945)+16)+4,2)),VALUE(MID(A1945,FIND("15",A1945,FIND("01",A1945)+16)+6,2))),"")</f>
        <v/>
      </c>
      <c r="F1945" s="5">
        <f>IFERROR(MID(A1945,FIND("10",A1945,FIND("15",A1945,FIND("01",A1945)+16)+8)+2,50),"")</f>
        <v/>
      </c>
      <c r="G1945" s="5" t="n"/>
    </row>
    <row r="1946">
      <c r="A1946" s="7" t="n"/>
      <c r="B1946" s="8">
        <f>IFERROR(MID(A1946,FIND("01",A1946)+2,14),"")</f>
        <v/>
      </c>
      <c r="C1946" s="7">
        <f>IF(A1946="","",IFERROR(VLOOKUP(B1946,TblArticles,2,FALSE),"GTIN inconnu"))</f>
        <v/>
      </c>
      <c r="D1946" s="8">
        <f>IF(A1946="","",IFERROR(VLOOKUP(B1946,TblArticles,3,FALSE),""))</f>
        <v/>
      </c>
      <c r="E1946" s="9">
        <f>IFERROR(DATE(2000+VALUE(MID(A1946,FIND("15",A1946,FIND("01",A1946)+16)+2,2)),VALUE(MID(A1946,FIND("15",A1946,FIND("01",A1946)+16)+4,2)),VALUE(MID(A1946,FIND("15",A1946,FIND("01",A1946)+16)+6,2))),"")</f>
        <v/>
      </c>
      <c r="F1946" s="8">
        <f>IFERROR(MID(A1946,FIND("10",A1946,FIND("15",A1946,FIND("01",A1946)+16)+8)+2,50),"")</f>
        <v/>
      </c>
      <c r="G1946" s="8" t="n"/>
    </row>
    <row r="1947">
      <c r="A1947" s="4" t="n"/>
      <c r="B1947" s="5">
        <f>IFERROR(MID(A1947,FIND("01",A1947)+2,14),"")</f>
        <v/>
      </c>
      <c r="C1947" s="4">
        <f>IF(A1947="","",IFERROR(VLOOKUP(B1947,TblArticles,2,FALSE),"GTIN inconnu"))</f>
        <v/>
      </c>
      <c r="D1947" s="5">
        <f>IF(A1947="","",IFERROR(VLOOKUP(B1947,TblArticles,3,FALSE),""))</f>
        <v/>
      </c>
      <c r="E1947" s="6">
        <f>IFERROR(DATE(2000+VALUE(MID(A1947,FIND("15",A1947,FIND("01",A1947)+16)+2,2)),VALUE(MID(A1947,FIND("15",A1947,FIND("01",A1947)+16)+4,2)),VALUE(MID(A1947,FIND("15",A1947,FIND("01",A1947)+16)+6,2))),"")</f>
        <v/>
      </c>
      <c r="F1947" s="5">
        <f>IFERROR(MID(A1947,FIND("10",A1947,FIND("15",A1947,FIND("01",A1947)+16)+8)+2,50),"")</f>
        <v/>
      </c>
      <c r="G1947" s="5" t="n"/>
    </row>
    <row r="1948">
      <c r="A1948" s="7" t="n"/>
      <c r="B1948" s="8">
        <f>IFERROR(MID(A1948,FIND("01",A1948)+2,14),"")</f>
        <v/>
      </c>
      <c r="C1948" s="7">
        <f>IF(A1948="","",IFERROR(VLOOKUP(B1948,TblArticles,2,FALSE),"GTIN inconnu"))</f>
        <v/>
      </c>
      <c r="D1948" s="8">
        <f>IF(A1948="","",IFERROR(VLOOKUP(B1948,TblArticles,3,FALSE),""))</f>
        <v/>
      </c>
      <c r="E1948" s="9">
        <f>IFERROR(DATE(2000+VALUE(MID(A1948,FIND("15",A1948,FIND("01",A1948)+16)+2,2)),VALUE(MID(A1948,FIND("15",A1948,FIND("01",A1948)+16)+4,2)),VALUE(MID(A1948,FIND("15",A1948,FIND("01",A1948)+16)+6,2))),"")</f>
        <v/>
      </c>
      <c r="F1948" s="8">
        <f>IFERROR(MID(A1948,FIND("10",A1948,FIND("15",A1948,FIND("01",A1948)+16)+8)+2,50),"")</f>
        <v/>
      </c>
      <c r="G1948" s="8" t="n"/>
    </row>
    <row r="1949">
      <c r="A1949" s="4" t="n"/>
      <c r="B1949" s="5">
        <f>IFERROR(MID(A1949,FIND("01",A1949)+2,14),"")</f>
        <v/>
      </c>
      <c r="C1949" s="4">
        <f>IF(A1949="","",IFERROR(VLOOKUP(B1949,TblArticles,2,FALSE),"GTIN inconnu"))</f>
        <v/>
      </c>
      <c r="D1949" s="5">
        <f>IF(A1949="","",IFERROR(VLOOKUP(B1949,TblArticles,3,FALSE),""))</f>
        <v/>
      </c>
      <c r="E1949" s="6">
        <f>IFERROR(DATE(2000+VALUE(MID(A1949,FIND("15",A1949,FIND("01",A1949)+16)+2,2)),VALUE(MID(A1949,FIND("15",A1949,FIND("01",A1949)+16)+4,2)),VALUE(MID(A1949,FIND("15",A1949,FIND("01",A1949)+16)+6,2))),"")</f>
        <v/>
      </c>
      <c r="F1949" s="5">
        <f>IFERROR(MID(A1949,FIND("10",A1949,FIND("15",A1949,FIND("01",A1949)+16)+8)+2,50),"")</f>
        <v/>
      </c>
      <c r="G1949" s="5" t="n"/>
    </row>
    <row r="1950">
      <c r="A1950" s="7" t="n"/>
      <c r="B1950" s="8">
        <f>IFERROR(MID(A1950,FIND("01",A1950)+2,14),"")</f>
        <v/>
      </c>
      <c r="C1950" s="7">
        <f>IF(A1950="","",IFERROR(VLOOKUP(B1950,TblArticles,2,FALSE),"GTIN inconnu"))</f>
        <v/>
      </c>
      <c r="D1950" s="8">
        <f>IF(A1950="","",IFERROR(VLOOKUP(B1950,TblArticles,3,FALSE),""))</f>
        <v/>
      </c>
      <c r="E1950" s="9">
        <f>IFERROR(DATE(2000+VALUE(MID(A1950,FIND("15",A1950,FIND("01",A1950)+16)+2,2)),VALUE(MID(A1950,FIND("15",A1950,FIND("01",A1950)+16)+4,2)),VALUE(MID(A1950,FIND("15",A1950,FIND("01",A1950)+16)+6,2))),"")</f>
        <v/>
      </c>
      <c r="F1950" s="8">
        <f>IFERROR(MID(A1950,FIND("10",A1950,FIND("15",A1950,FIND("01",A1950)+16)+8)+2,50),"")</f>
        <v/>
      </c>
      <c r="G1950" s="8" t="n"/>
    </row>
    <row r="1951">
      <c r="A1951" s="4" t="n"/>
      <c r="B1951" s="5">
        <f>IFERROR(MID(A1951,FIND("01",A1951)+2,14),"")</f>
        <v/>
      </c>
      <c r="C1951" s="4">
        <f>IF(A1951="","",IFERROR(VLOOKUP(B1951,TblArticles,2,FALSE),"GTIN inconnu"))</f>
        <v/>
      </c>
      <c r="D1951" s="5">
        <f>IF(A1951="","",IFERROR(VLOOKUP(B1951,TblArticles,3,FALSE),""))</f>
        <v/>
      </c>
      <c r="E1951" s="6">
        <f>IFERROR(DATE(2000+VALUE(MID(A1951,FIND("15",A1951,FIND("01",A1951)+16)+2,2)),VALUE(MID(A1951,FIND("15",A1951,FIND("01",A1951)+16)+4,2)),VALUE(MID(A1951,FIND("15",A1951,FIND("01",A1951)+16)+6,2))),"")</f>
        <v/>
      </c>
      <c r="F1951" s="5">
        <f>IFERROR(MID(A1951,FIND("10",A1951,FIND("15",A1951,FIND("01",A1951)+16)+8)+2,50),"")</f>
        <v/>
      </c>
      <c r="G1951" s="5" t="n"/>
    </row>
    <row r="1952">
      <c r="A1952" s="7" t="n"/>
      <c r="B1952" s="8">
        <f>IFERROR(MID(A1952,FIND("01",A1952)+2,14),"")</f>
        <v/>
      </c>
      <c r="C1952" s="7">
        <f>IF(A1952="","",IFERROR(VLOOKUP(B1952,TblArticles,2,FALSE),"GTIN inconnu"))</f>
        <v/>
      </c>
      <c r="D1952" s="8">
        <f>IF(A1952="","",IFERROR(VLOOKUP(B1952,TblArticles,3,FALSE),""))</f>
        <v/>
      </c>
      <c r="E1952" s="9">
        <f>IFERROR(DATE(2000+VALUE(MID(A1952,FIND("15",A1952,FIND("01",A1952)+16)+2,2)),VALUE(MID(A1952,FIND("15",A1952,FIND("01",A1952)+16)+4,2)),VALUE(MID(A1952,FIND("15",A1952,FIND("01",A1952)+16)+6,2))),"")</f>
        <v/>
      </c>
      <c r="F1952" s="8">
        <f>IFERROR(MID(A1952,FIND("10",A1952,FIND("15",A1952,FIND("01",A1952)+16)+8)+2,50),"")</f>
        <v/>
      </c>
      <c r="G1952" s="8" t="n"/>
    </row>
    <row r="1953">
      <c r="A1953" s="4" t="n"/>
      <c r="B1953" s="5">
        <f>IFERROR(MID(A1953,FIND("01",A1953)+2,14),"")</f>
        <v/>
      </c>
      <c r="C1953" s="4">
        <f>IF(A1953="","",IFERROR(VLOOKUP(B1953,TblArticles,2,FALSE),"GTIN inconnu"))</f>
        <v/>
      </c>
      <c r="D1953" s="5">
        <f>IF(A1953="","",IFERROR(VLOOKUP(B1953,TblArticles,3,FALSE),""))</f>
        <v/>
      </c>
      <c r="E1953" s="6">
        <f>IFERROR(DATE(2000+VALUE(MID(A1953,FIND("15",A1953,FIND("01",A1953)+16)+2,2)),VALUE(MID(A1953,FIND("15",A1953,FIND("01",A1953)+16)+4,2)),VALUE(MID(A1953,FIND("15",A1953,FIND("01",A1953)+16)+6,2))),"")</f>
        <v/>
      </c>
      <c r="F1953" s="5">
        <f>IFERROR(MID(A1953,FIND("10",A1953,FIND("15",A1953,FIND("01",A1953)+16)+8)+2,50),"")</f>
        <v/>
      </c>
      <c r="G1953" s="5" t="n"/>
    </row>
    <row r="1954">
      <c r="A1954" s="7" t="n"/>
      <c r="B1954" s="8">
        <f>IFERROR(MID(A1954,FIND("01",A1954)+2,14),"")</f>
        <v/>
      </c>
      <c r="C1954" s="7">
        <f>IF(A1954="","",IFERROR(VLOOKUP(B1954,TblArticles,2,FALSE),"GTIN inconnu"))</f>
        <v/>
      </c>
      <c r="D1954" s="8">
        <f>IF(A1954="","",IFERROR(VLOOKUP(B1954,TblArticles,3,FALSE),""))</f>
        <v/>
      </c>
      <c r="E1954" s="9">
        <f>IFERROR(DATE(2000+VALUE(MID(A1954,FIND("15",A1954,FIND("01",A1954)+16)+2,2)),VALUE(MID(A1954,FIND("15",A1954,FIND("01",A1954)+16)+4,2)),VALUE(MID(A1954,FIND("15",A1954,FIND("01",A1954)+16)+6,2))),"")</f>
        <v/>
      </c>
      <c r="F1954" s="8">
        <f>IFERROR(MID(A1954,FIND("10",A1954,FIND("15",A1954,FIND("01",A1954)+16)+8)+2,50),"")</f>
        <v/>
      </c>
      <c r="G1954" s="8" t="n"/>
    </row>
    <row r="1955">
      <c r="A1955" s="4" t="n"/>
      <c r="B1955" s="5">
        <f>IFERROR(MID(A1955,FIND("01",A1955)+2,14),"")</f>
        <v/>
      </c>
      <c r="C1955" s="4">
        <f>IF(A1955="","",IFERROR(VLOOKUP(B1955,TblArticles,2,FALSE),"GTIN inconnu"))</f>
        <v/>
      </c>
      <c r="D1955" s="5">
        <f>IF(A1955="","",IFERROR(VLOOKUP(B1955,TblArticles,3,FALSE),""))</f>
        <v/>
      </c>
      <c r="E1955" s="6">
        <f>IFERROR(DATE(2000+VALUE(MID(A1955,FIND("15",A1955,FIND("01",A1955)+16)+2,2)),VALUE(MID(A1955,FIND("15",A1955,FIND("01",A1955)+16)+4,2)),VALUE(MID(A1955,FIND("15",A1955,FIND("01",A1955)+16)+6,2))),"")</f>
        <v/>
      </c>
      <c r="F1955" s="5">
        <f>IFERROR(MID(A1955,FIND("10",A1955,FIND("15",A1955,FIND("01",A1955)+16)+8)+2,50),"")</f>
        <v/>
      </c>
      <c r="G1955" s="5" t="n"/>
    </row>
    <row r="1956">
      <c r="A1956" s="7" t="n"/>
      <c r="B1956" s="8">
        <f>IFERROR(MID(A1956,FIND("01",A1956)+2,14),"")</f>
        <v/>
      </c>
      <c r="C1956" s="7">
        <f>IF(A1956="","",IFERROR(VLOOKUP(B1956,TblArticles,2,FALSE),"GTIN inconnu"))</f>
        <v/>
      </c>
      <c r="D1956" s="8">
        <f>IF(A1956="","",IFERROR(VLOOKUP(B1956,TblArticles,3,FALSE),""))</f>
        <v/>
      </c>
      <c r="E1956" s="9">
        <f>IFERROR(DATE(2000+VALUE(MID(A1956,FIND("15",A1956,FIND("01",A1956)+16)+2,2)),VALUE(MID(A1956,FIND("15",A1956,FIND("01",A1956)+16)+4,2)),VALUE(MID(A1956,FIND("15",A1956,FIND("01",A1956)+16)+6,2))),"")</f>
        <v/>
      </c>
      <c r="F1956" s="8">
        <f>IFERROR(MID(A1956,FIND("10",A1956,FIND("15",A1956,FIND("01",A1956)+16)+8)+2,50),"")</f>
        <v/>
      </c>
      <c r="G1956" s="8" t="n"/>
    </row>
    <row r="1957">
      <c r="A1957" s="4" t="n"/>
      <c r="B1957" s="5">
        <f>IFERROR(MID(A1957,FIND("01",A1957)+2,14),"")</f>
        <v/>
      </c>
      <c r="C1957" s="4">
        <f>IF(A1957="","",IFERROR(VLOOKUP(B1957,TblArticles,2,FALSE),"GTIN inconnu"))</f>
        <v/>
      </c>
      <c r="D1957" s="5">
        <f>IF(A1957="","",IFERROR(VLOOKUP(B1957,TblArticles,3,FALSE),""))</f>
        <v/>
      </c>
      <c r="E1957" s="6">
        <f>IFERROR(DATE(2000+VALUE(MID(A1957,FIND("15",A1957,FIND("01",A1957)+16)+2,2)),VALUE(MID(A1957,FIND("15",A1957,FIND("01",A1957)+16)+4,2)),VALUE(MID(A1957,FIND("15",A1957,FIND("01",A1957)+16)+6,2))),"")</f>
        <v/>
      </c>
      <c r="F1957" s="5">
        <f>IFERROR(MID(A1957,FIND("10",A1957,FIND("15",A1957,FIND("01",A1957)+16)+8)+2,50),"")</f>
        <v/>
      </c>
      <c r="G1957" s="5" t="n"/>
    </row>
    <row r="1958">
      <c r="A1958" s="7" t="n"/>
      <c r="B1958" s="8">
        <f>IFERROR(MID(A1958,FIND("01",A1958)+2,14),"")</f>
        <v/>
      </c>
      <c r="C1958" s="7">
        <f>IF(A1958="","",IFERROR(VLOOKUP(B1958,TblArticles,2,FALSE),"GTIN inconnu"))</f>
        <v/>
      </c>
      <c r="D1958" s="8">
        <f>IF(A1958="","",IFERROR(VLOOKUP(B1958,TblArticles,3,FALSE),""))</f>
        <v/>
      </c>
      <c r="E1958" s="9">
        <f>IFERROR(DATE(2000+VALUE(MID(A1958,FIND("15",A1958,FIND("01",A1958)+16)+2,2)),VALUE(MID(A1958,FIND("15",A1958,FIND("01",A1958)+16)+4,2)),VALUE(MID(A1958,FIND("15",A1958,FIND("01",A1958)+16)+6,2))),"")</f>
        <v/>
      </c>
      <c r="F1958" s="8">
        <f>IFERROR(MID(A1958,FIND("10",A1958,FIND("15",A1958,FIND("01",A1958)+16)+8)+2,50),"")</f>
        <v/>
      </c>
      <c r="G1958" s="8" t="n"/>
    </row>
    <row r="1959">
      <c r="A1959" s="4" t="n"/>
      <c r="B1959" s="5">
        <f>IFERROR(MID(A1959,FIND("01",A1959)+2,14),"")</f>
        <v/>
      </c>
      <c r="C1959" s="4">
        <f>IF(A1959="","",IFERROR(VLOOKUP(B1959,TblArticles,2,FALSE),"GTIN inconnu"))</f>
        <v/>
      </c>
      <c r="D1959" s="5">
        <f>IF(A1959="","",IFERROR(VLOOKUP(B1959,TblArticles,3,FALSE),""))</f>
        <v/>
      </c>
      <c r="E1959" s="6">
        <f>IFERROR(DATE(2000+VALUE(MID(A1959,FIND("15",A1959,FIND("01",A1959)+16)+2,2)),VALUE(MID(A1959,FIND("15",A1959,FIND("01",A1959)+16)+4,2)),VALUE(MID(A1959,FIND("15",A1959,FIND("01",A1959)+16)+6,2))),"")</f>
        <v/>
      </c>
      <c r="F1959" s="5">
        <f>IFERROR(MID(A1959,FIND("10",A1959,FIND("15",A1959,FIND("01",A1959)+16)+8)+2,50),"")</f>
        <v/>
      </c>
      <c r="G1959" s="5" t="n"/>
    </row>
    <row r="1960">
      <c r="A1960" s="7" t="n"/>
      <c r="B1960" s="8">
        <f>IFERROR(MID(A1960,FIND("01",A1960)+2,14),"")</f>
        <v/>
      </c>
      <c r="C1960" s="7">
        <f>IF(A1960="","",IFERROR(VLOOKUP(B1960,TblArticles,2,FALSE),"GTIN inconnu"))</f>
        <v/>
      </c>
      <c r="D1960" s="8">
        <f>IF(A1960="","",IFERROR(VLOOKUP(B1960,TblArticles,3,FALSE),""))</f>
        <v/>
      </c>
      <c r="E1960" s="9">
        <f>IFERROR(DATE(2000+VALUE(MID(A1960,FIND("15",A1960,FIND("01",A1960)+16)+2,2)),VALUE(MID(A1960,FIND("15",A1960,FIND("01",A1960)+16)+4,2)),VALUE(MID(A1960,FIND("15",A1960,FIND("01",A1960)+16)+6,2))),"")</f>
        <v/>
      </c>
      <c r="F1960" s="8">
        <f>IFERROR(MID(A1960,FIND("10",A1960,FIND("15",A1960,FIND("01",A1960)+16)+8)+2,50),"")</f>
        <v/>
      </c>
      <c r="G1960" s="8" t="n"/>
    </row>
    <row r="1961">
      <c r="A1961" s="4" t="n"/>
      <c r="B1961" s="5">
        <f>IFERROR(MID(A1961,FIND("01",A1961)+2,14),"")</f>
        <v/>
      </c>
      <c r="C1961" s="4">
        <f>IF(A1961="","",IFERROR(VLOOKUP(B1961,TblArticles,2,FALSE),"GTIN inconnu"))</f>
        <v/>
      </c>
      <c r="D1961" s="5">
        <f>IF(A1961="","",IFERROR(VLOOKUP(B1961,TblArticles,3,FALSE),""))</f>
        <v/>
      </c>
      <c r="E1961" s="6">
        <f>IFERROR(DATE(2000+VALUE(MID(A1961,FIND("15",A1961,FIND("01",A1961)+16)+2,2)),VALUE(MID(A1961,FIND("15",A1961,FIND("01",A1961)+16)+4,2)),VALUE(MID(A1961,FIND("15",A1961,FIND("01",A1961)+16)+6,2))),"")</f>
        <v/>
      </c>
      <c r="F1961" s="5">
        <f>IFERROR(MID(A1961,FIND("10",A1961,FIND("15",A1961,FIND("01",A1961)+16)+8)+2,50),"")</f>
        <v/>
      </c>
      <c r="G1961" s="5" t="n"/>
    </row>
    <row r="1962">
      <c r="A1962" s="7" t="n"/>
      <c r="B1962" s="8">
        <f>IFERROR(MID(A1962,FIND("01",A1962)+2,14),"")</f>
        <v/>
      </c>
      <c r="C1962" s="7">
        <f>IF(A1962="","",IFERROR(VLOOKUP(B1962,TblArticles,2,FALSE),"GTIN inconnu"))</f>
        <v/>
      </c>
      <c r="D1962" s="8">
        <f>IF(A1962="","",IFERROR(VLOOKUP(B1962,TblArticles,3,FALSE),""))</f>
        <v/>
      </c>
      <c r="E1962" s="9">
        <f>IFERROR(DATE(2000+VALUE(MID(A1962,FIND("15",A1962,FIND("01",A1962)+16)+2,2)),VALUE(MID(A1962,FIND("15",A1962,FIND("01",A1962)+16)+4,2)),VALUE(MID(A1962,FIND("15",A1962,FIND("01",A1962)+16)+6,2))),"")</f>
        <v/>
      </c>
      <c r="F1962" s="8">
        <f>IFERROR(MID(A1962,FIND("10",A1962,FIND("15",A1962,FIND("01",A1962)+16)+8)+2,50),"")</f>
        <v/>
      </c>
      <c r="G1962" s="8" t="n"/>
    </row>
    <row r="1963">
      <c r="A1963" s="4" t="n"/>
      <c r="B1963" s="5">
        <f>IFERROR(MID(A1963,FIND("01",A1963)+2,14),"")</f>
        <v/>
      </c>
      <c r="C1963" s="4">
        <f>IF(A1963="","",IFERROR(VLOOKUP(B1963,TblArticles,2,FALSE),"GTIN inconnu"))</f>
        <v/>
      </c>
      <c r="D1963" s="5">
        <f>IF(A1963="","",IFERROR(VLOOKUP(B1963,TblArticles,3,FALSE),""))</f>
        <v/>
      </c>
      <c r="E1963" s="6">
        <f>IFERROR(DATE(2000+VALUE(MID(A1963,FIND("15",A1963,FIND("01",A1963)+16)+2,2)),VALUE(MID(A1963,FIND("15",A1963,FIND("01",A1963)+16)+4,2)),VALUE(MID(A1963,FIND("15",A1963,FIND("01",A1963)+16)+6,2))),"")</f>
        <v/>
      </c>
      <c r="F1963" s="5">
        <f>IFERROR(MID(A1963,FIND("10",A1963,FIND("15",A1963,FIND("01",A1963)+16)+8)+2,50),"")</f>
        <v/>
      </c>
      <c r="G1963" s="5" t="n"/>
    </row>
    <row r="1964">
      <c r="A1964" s="7" t="n"/>
      <c r="B1964" s="8">
        <f>IFERROR(MID(A1964,FIND("01",A1964)+2,14),"")</f>
        <v/>
      </c>
      <c r="C1964" s="7">
        <f>IF(A1964="","",IFERROR(VLOOKUP(B1964,TblArticles,2,FALSE),"GTIN inconnu"))</f>
        <v/>
      </c>
      <c r="D1964" s="8">
        <f>IF(A1964="","",IFERROR(VLOOKUP(B1964,TblArticles,3,FALSE),""))</f>
        <v/>
      </c>
      <c r="E1964" s="9">
        <f>IFERROR(DATE(2000+VALUE(MID(A1964,FIND("15",A1964,FIND("01",A1964)+16)+2,2)),VALUE(MID(A1964,FIND("15",A1964,FIND("01",A1964)+16)+4,2)),VALUE(MID(A1964,FIND("15",A1964,FIND("01",A1964)+16)+6,2))),"")</f>
        <v/>
      </c>
      <c r="F1964" s="8">
        <f>IFERROR(MID(A1964,FIND("10",A1964,FIND("15",A1964,FIND("01",A1964)+16)+8)+2,50),"")</f>
        <v/>
      </c>
      <c r="G1964" s="8" t="n"/>
    </row>
    <row r="1965">
      <c r="A1965" s="4" t="n"/>
      <c r="B1965" s="5">
        <f>IFERROR(MID(A1965,FIND("01",A1965)+2,14),"")</f>
        <v/>
      </c>
      <c r="C1965" s="4">
        <f>IF(A1965="","",IFERROR(VLOOKUP(B1965,TblArticles,2,FALSE),"GTIN inconnu"))</f>
        <v/>
      </c>
      <c r="D1965" s="5">
        <f>IF(A1965="","",IFERROR(VLOOKUP(B1965,TblArticles,3,FALSE),""))</f>
        <v/>
      </c>
      <c r="E1965" s="6">
        <f>IFERROR(DATE(2000+VALUE(MID(A1965,FIND("15",A1965,FIND("01",A1965)+16)+2,2)),VALUE(MID(A1965,FIND("15",A1965,FIND("01",A1965)+16)+4,2)),VALUE(MID(A1965,FIND("15",A1965,FIND("01",A1965)+16)+6,2))),"")</f>
        <v/>
      </c>
      <c r="F1965" s="5">
        <f>IFERROR(MID(A1965,FIND("10",A1965,FIND("15",A1965,FIND("01",A1965)+16)+8)+2,50),"")</f>
        <v/>
      </c>
      <c r="G1965" s="5" t="n"/>
    </row>
    <row r="1966">
      <c r="A1966" s="7" t="n"/>
      <c r="B1966" s="8">
        <f>IFERROR(MID(A1966,FIND("01",A1966)+2,14),"")</f>
        <v/>
      </c>
      <c r="C1966" s="7">
        <f>IF(A1966="","",IFERROR(VLOOKUP(B1966,TblArticles,2,FALSE),"GTIN inconnu"))</f>
        <v/>
      </c>
      <c r="D1966" s="8">
        <f>IF(A1966="","",IFERROR(VLOOKUP(B1966,TblArticles,3,FALSE),""))</f>
        <v/>
      </c>
      <c r="E1966" s="9">
        <f>IFERROR(DATE(2000+VALUE(MID(A1966,FIND("15",A1966,FIND("01",A1966)+16)+2,2)),VALUE(MID(A1966,FIND("15",A1966,FIND("01",A1966)+16)+4,2)),VALUE(MID(A1966,FIND("15",A1966,FIND("01",A1966)+16)+6,2))),"")</f>
        <v/>
      </c>
      <c r="F1966" s="8">
        <f>IFERROR(MID(A1966,FIND("10",A1966,FIND("15",A1966,FIND("01",A1966)+16)+8)+2,50),"")</f>
        <v/>
      </c>
      <c r="G1966" s="8" t="n"/>
    </row>
    <row r="1967">
      <c r="A1967" s="4" t="n"/>
      <c r="B1967" s="5">
        <f>IFERROR(MID(A1967,FIND("01",A1967)+2,14),"")</f>
        <v/>
      </c>
      <c r="C1967" s="4">
        <f>IF(A1967="","",IFERROR(VLOOKUP(B1967,TblArticles,2,FALSE),"GTIN inconnu"))</f>
        <v/>
      </c>
      <c r="D1967" s="5">
        <f>IF(A1967="","",IFERROR(VLOOKUP(B1967,TblArticles,3,FALSE),""))</f>
        <v/>
      </c>
      <c r="E1967" s="6">
        <f>IFERROR(DATE(2000+VALUE(MID(A1967,FIND("15",A1967,FIND("01",A1967)+16)+2,2)),VALUE(MID(A1967,FIND("15",A1967,FIND("01",A1967)+16)+4,2)),VALUE(MID(A1967,FIND("15",A1967,FIND("01",A1967)+16)+6,2))),"")</f>
        <v/>
      </c>
      <c r="F1967" s="5">
        <f>IFERROR(MID(A1967,FIND("10",A1967,FIND("15",A1967,FIND("01",A1967)+16)+8)+2,50),"")</f>
        <v/>
      </c>
      <c r="G1967" s="5" t="n"/>
    </row>
    <row r="1968">
      <c r="A1968" s="7" t="n"/>
      <c r="B1968" s="8">
        <f>IFERROR(MID(A1968,FIND("01",A1968)+2,14),"")</f>
        <v/>
      </c>
      <c r="C1968" s="7">
        <f>IF(A1968="","",IFERROR(VLOOKUP(B1968,TblArticles,2,FALSE),"GTIN inconnu"))</f>
        <v/>
      </c>
      <c r="D1968" s="8">
        <f>IF(A1968="","",IFERROR(VLOOKUP(B1968,TblArticles,3,FALSE),""))</f>
        <v/>
      </c>
      <c r="E1968" s="9">
        <f>IFERROR(DATE(2000+VALUE(MID(A1968,FIND("15",A1968,FIND("01",A1968)+16)+2,2)),VALUE(MID(A1968,FIND("15",A1968,FIND("01",A1968)+16)+4,2)),VALUE(MID(A1968,FIND("15",A1968,FIND("01",A1968)+16)+6,2))),"")</f>
        <v/>
      </c>
      <c r="F1968" s="8">
        <f>IFERROR(MID(A1968,FIND("10",A1968,FIND("15",A1968,FIND("01",A1968)+16)+8)+2,50),"")</f>
        <v/>
      </c>
      <c r="G1968" s="8" t="n"/>
    </row>
    <row r="1969">
      <c r="A1969" s="4" t="n"/>
      <c r="B1969" s="5">
        <f>IFERROR(MID(A1969,FIND("01",A1969)+2,14),"")</f>
        <v/>
      </c>
      <c r="C1969" s="4">
        <f>IF(A1969="","",IFERROR(VLOOKUP(B1969,TblArticles,2,FALSE),"GTIN inconnu"))</f>
        <v/>
      </c>
      <c r="D1969" s="5">
        <f>IF(A1969="","",IFERROR(VLOOKUP(B1969,TblArticles,3,FALSE),""))</f>
        <v/>
      </c>
      <c r="E1969" s="6">
        <f>IFERROR(DATE(2000+VALUE(MID(A1969,FIND("15",A1969,FIND("01",A1969)+16)+2,2)),VALUE(MID(A1969,FIND("15",A1969,FIND("01",A1969)+16)+4,2)),VALUE(MID(A1969,FIND("15",A1969,FIND("01",A1969)+16)+6,2))),"")</f>
        <v/>
      </c>
      <c r="F1969" s="5">
        <f>IFERROR(MID(A1969,FIND("10",A1969,FIND("15",A1969,FIND("01",A1969)+16)+8)+2,50),"")</f>
        <v/>
      </c>
      <c r="G1969" s="5" t="n"/>
    </row>
    <row r="1970">
      <c r="A1970" s="7" t="n"/>
      <c r="B1970" s="8">
        <f>IFERROR(MID(A1970,FIND("01",A1970)+2,14),"")</f>
        <v/>
      </c>
      <c r="C1970" s="7">
        <f>IF(A1970="","",IFERROR(VLOOKUP(B1970,TblArticles,2,FALSE),"GTIN inconnu"))</f>
        <v/>
      </c>
      <c r="D1970" s="8">
        <f>IF(A1970="","",IFERROR(VLOOKUP(B1970,TblArticles,3,FALSE),""))</f>
        <v/>
      </c>
      <c r="E1970" s="9">
        <f>IFERROR(DATE(2000+VALUE(MID(A1970,FIND("15",A1970,FIND("01",A1970)+16)+2,2)),VALUE(MID(A1970,FIND("15",A1970,FIND("01",A1970)+16)+4,2)),VALUE(MID(A1970,FIND("15",A1970,FIND("01",A1970)+16)+6,2))),"")</f>
        <v/>
      </c>
      <c r="F1970" s="8">
        <f>IFERROR(MID(A1970,FIND("10",A1970,FIND("15",A1970,FIND("01",A1970)+16)+8)+2,50),"")</f>
        <v/>
      </c>
      <c r="G1970" s="8" t="n"/>
    </row>
    <row r="1971">
      <c r="A1971" s="4" t="n"/>
      <c r="B1971" s="5">
        <f>IFERROR(MID(A1971,FIND("01",A1971)+2,14),"")</f>
        <v/>
      </c>
      <c r="C1971" s="4">
        <f>IF(A1971="","",IFERROR(VLOOKUP(B1971,TblArticles,2,FALSE),"GTIN inconnu"))</f>
        <v/>
      </c>
      <c r="D1971" s="5">
        <f>IF(A1971="","",IFERROR(VLOOKUP(B1971,TblArticles,3,FALSE),""))</f>
        <v/>
      </c>
      <c r="E1971" s="6">
        <f>IFERROR(DATE(2000+VALUE(MID(A1971,FIND("15",A1971,FIND("01",A1971)+16)+2,2)),VALUE(MID(A1971,FIND("15",A1971,FIND("01",A1971)+16)+4,2)),VALUE(MID(A1971,FIND("15",A1971,FIND("01",A1971)+16)+6,2))),"")</f>
        <v/>
      </c>
      <c r="F1971" s="5">
        <f>IFERROR(MID(A1971,FIND("10",A1971,FIND("15",A1971,FIND("01",A1971)+16)+8)+2,50),"")</f>
        <v/>
      </c>
      <c r="G1971" s="5" t="n"/>
    </row>
    <row r="1972">
      <c r="A1972" s="7" t="n"/>
      <c r="B1972" s="8">
        <f>IFERROR(MID(A1972,FIND("01",A1972)+2,14),"")</f>
        <v/>
      </c>
      <c r="C1972" s="7">
        <f>IF(A1972="","",IFERROR(VLOOKUP(B1972,TblArticles,2,FALSE),"GTIN inconnu"))</f>
        <v/>
      </c>
      <c r="D1972" s="8">
        <f>IF(A1972="","",IFERROR(VLOOKUP(B1972,TblArticles,3,FALSE),""))</f>
        <v/>
      </c>
      <c r="E1972" s="9">
        <f>IFERROR(DATE(2000+VALUE(MID(A1972,FIND("15",A1972,FIND("01",A1972)+16)+2,2)),VALUE(MID(A1972,FIND("15",A1972,FIND("01",A1972)+16)+4,2)),VALUE(MID(A1972,FIND("15",A1972,FIND("01",A1972)+16)+6,2))),"")</f>
        <v/>
      </c>
      <c r="F1972" s="8">
        <f>IFERROR(MID(A1972,FIND("10",A1972,FIND("15",A1972,FIND("01",A1972)+16)+8)+2,50),"")</f>
        <v/>
      </c>
      <c r="G1972" s="8" t="n"/>
    </row>
    <row r="1973">
      <c r="A1973" s="4" t="n"/>
      <c r="B1973" s="5">
        <f>IFERROR(MID(A1973,FIND("01",A1973)+2,14),"")</f>
        <v/>
      </c>
      <c r="C1973" s="4">
        <f>IF(A1973="","",IFERROR(VLOOKUP(B1973,TblArticles,2,FALSE),"GTIN inconnu"))</f>
        <v/>
      </c>
      <c r="D1973" s="5">
        <f>IF(A1973="","",IFERROR(VLOOKUP(B1973,TblArticles,3,FALSE),""))</f>
        <v/>
      </c>
      <c r="E1973" s="6">
        <f>IFERROR(DATE(2000+VALUE(MID(A1973,FIND("15",A1973,FIND("01",A1973)+16)+2,2)),VALUE(MID(A1973,FIND("15",A1973,FIND("01",A1973)+16)+4,2)),VALUE(MID(A1973,FIND("15",A1973,FIND("01",A1973)+16)+6,2))),"")</f>
        <v/>
      </c>
      <c r="F1973" s="5">
        <f>IFERROR(MID(A1973,FIND("10",A1973,FIND("15",A1973,FIND("01",A1973)+16)+8)+2,50),"")</f>
        <v/>
      </c>
      <c r="G1973" s="5" t="n"/>
    </row>
    <row r="1974">
      <c r="A1974" s="7" t="n"/>
      <c r="B1974" s="8">
        <f>IFERROR(MID(A1974,FIND("01",A1974)+2,14),"")</f>
        <v/>
      </c>
      <c r="C1974" s="7">
        <f>IF(A1974="","",IFERROR(VLOOKUP(B1974,TblArticles,2,FALSE),"GTIN inconnu"))</f>
        <v/>
      </c>
      <c r="D1974" s="8">
        <f>IF(A1974="","",IFERROR(VLOOKUP(B1974,TblArticles,3,FALSE),""))</f>
        <v/>
      </c>
      <c r="E1974" s="9">
        <f>IFERROR(DATE(2000+VALUE(MID(A1974,FIND("15",A1974,FIND("01",A1974)+16)+2,2)),VALUE(MID(A1974,FIND("15",A1974,FIND("01",A1974)+16)+4,2)),VALUE(MID(A1974,FIND("15",A1974,FIND("01",A1974)+16)+6,2))),"")</f>
        <v/>
      </c>
      <c r="F1974" s="8">
        <f>IFERROR(MID(A1974,FIND("10",A1974,FIND("15",A1974,FIND("01",A1974)+16)+8)+2,50),"")</f>
        <v/>
      </c>
      <c r="G1974" s="8" t="n"/>
    </row>
    <row r="1975">
      <c r="A1975" s="4" t="n"/>
      <c r="B1975" s="5">
        <f>IFERROR(MID(A1975,FIND("01",A1975)+2,14),"")</f>
        <v/>
      </c>
      <c r="C1975" s="4">
        <f>IF(A1975="","",IFERROR(VLOOKUP(B1975,TblArticles,2,FALSE),"GTIN inconnu"))</f>
        <v/>
      </c>
      <c r="D1975" s="5">
        <f>IF(A1975="","",IFERROR(VLOOKUP(B1975,TblArticles,3,FALSE),""))</f>
        <v/>
      </c>
      <c r="E1975" s="6">
        <f>IFERROR(DATE(2000+VALUE(MID(A1975,FIND("15",A1975,FIND("01",A1975)+16)+2,2)),VALUE(MID(A1975,FIND("15",A1975,FIND("01",A1975)+16)+4,2)),VALUE(MID(A1975,FIND("15",A1975,FIND("01",A1975)+16)+6,2))),"")</f>
        <v/>
      </c>
      <c r="F1975" s="5">
        <f>IFERROR(MID(A1975,FIND("10",A1975,FIND("15",A1975,FIND("01",A1975)+16)+8)+2,50),"")</f>
        <v/>
      </c>
      <c r="G1975" s="5" t="n"/>
    </row>
    <row r="1976">
      <c r="A1976" s="7" t="n"/>
      <c r="B1976" s="8">
        <f>IFERROR(MID(A1976,FIND("01",A1976)+2,14),"")</f>
        <v/>
      </c>
      <c r="C1976" s="7">
        <f>IF(A1976="","",IFERROR(VLOOKUP(B1976,TblArticles,2,FALSE),"GTIN inconnu"))</f>
        <v/>
      </c>
      <c r="D1976" s="8">
        <f>IF(A1976="","",IFERROR(VLOOKUP(B1976,TblArticles,3,FALSE),""))</f>
        <v/>
      </c>
      <c r="E1976" s="9">
        <f>IFERROR(DATE(2000+VALUE(MID(A1976,FIND("15",A1976,FIND("01",A1976)+16)+2,2)),VALUE(MID(A1976,FIND("15",A1976,FIND("01",A1976)+16)+4,2)),VALUE(MID(A1976,FIND("15",A1976,FIND("01",A1976)+16)+6,2))),"")</f>
        <v/>
      </c>
      <c r="F1976" s="8">
        <f>IFERROR(MID(A1976,FIND("10",A1976,FIND("15",A1976,FIND("01",A1976)+16)+8)+2,50),"")</f>
        <v/>
      </c>
      <c r="G1976" s="8" t="n"/>
    </row>
    <row r="1977">
      <c r="A1977" s="4" t="n"/>
      <c r="B1977" s="5">
        <f>IFERROR(MID(A1977,FIND("01",A1977)+2,14),"")</f>
        <v/>
      </c>
      <c r="C1977" s="4">
        <f>IF(A1977="","",IFERROR(VLOOKUP(B1977,TblArticles,2,FALSE),"GTIN inconnu"))</f>
        <v/>
      </c>
      <c r="D1977" s="5">
        <f>IF(A1977="","",IFERROR(VLOOKUP(B1977,TblArticles,3,FALSE),""))</f>
        <v/>
      </c>
      <c r="E1977" s="6">
        <f>IFERROR(DATE(2000+VALUE(MID(A1977,FIND("15",A1977,FIND("01",A1977)+16)+2,2)),VALUE(MID(A1977,FIND("15",A1977,FIND("01",A1977)+16)+4,2)),VALUE(MID(A1977,FIND("15",A1977,FIND("01",A1977)+16)+6,2))),"")</f>
        <v/>
      </c>
      <c r="F1977" s="5">
        <f>IFERROR(MID(A1977,FIND("10",A1977,FIND("15",A1977,FIND("01",A1977)+16)+8)+2,50),"")</f>
        <v/>
      </c>
      <c r="G1977" s="5" t="n"/>
    </row>
    <row r="1978">
      <c r="A1978" s="7" t="n"/>
      <c r="B1978" s="8">
        <f>IFERROR(MID(A1978,FIND("01",A1978)+2,14),"")</f>
        <v/>
      </c>
      <c r="C1978" s="7">
        <f>IF(A1978="","",IFERROR(VLOOKUP(B1978,TblArticles,2,FALSE),"GTIN inconnu"))</f>
        <v/>
      </c>
      <c r="D1978" s="8">
        <f>IF(A1978="","",IFERROR(VLOOKUP(B1978,TblArticles,3,FALSE),""))</f>
        <v/>
      </c>
      <c r="E1978" s="9">
        <f>IFERROR(DATE(2000+VALUE(MID(A1978,FIND("15",A1978,FIND("01",A1978)+16)+2,2)),VALUE(MID(A1978,FIND("15",A1978,FIND("01",A1978)+16)+4,2)),VALUE(MID(A1978,FIND("15",A1978,FIND("01",A1978)+16)+6,2))),"")</f>
        <v/>
      </c>
      <c r="F1978" s="8">
        <f>IFERROR(MID(A1978,FIND("10",A1978,FIND("15",A1978,FIND("01",A1978)+16)+8)+2,50),"")</f>
        <v/>
      </c>
      <c r="G1978" s="8" t="n"/>
    </row>
    <row r="1979">
      <c r="A1979" s="4" t="n"/>
      <c r="B1979" s="5">
        <f>IFERROR(MID(A1979,FIND("01",A1979)+2,14),"")</f>
        <v/>
      </c>
      <c r="C1979" s="4">
        <f>IF(A1979="","",IFERROR(VLOOKUP(B1979,TblArticles,2,FALSE),"GTIN inconnu"))</f>
        <v/>
      </c>
      <c r="D1979" s="5">
        <f>IF(A1979="","",IFERROR(VLOOKUP(B1979,TblArticles,3,FALSE),""))</f>
        <v/>
      </c>
      <c r="E1979" s="6">
        <f>IFERROR(DATE(2000+VALUE(MID(A1979,FIND("15",A1979,FIND("01",A1979)+16)+2,2)),VALUE(MID(A1979,FIND("15",A1979,FIND("01",A1979)+16)+4,2)),VALUE(MID(A1979,FIND("15",A1979,FIND("01",A1979)+16)+6,2))),"")</f>
        <v/>
      </c>
      <c r="F1979" s="5">
        <f>IFERROR(MID(A1979,FIND("10",A1979,FIND("15",A1979,FIND("01",A1979)+16)+8)+2,50),"")</f>
        <v/>
      </c>
      <c r="G1979" s="5" t="n"/>
    </row>
    <row r="1980">
      <c r="A1980" s="7" t="n"/>
      <c r="B1980" s="8">
        <f>IFERROR(MID(A1980,FIND("01",A1980)+2,14),"")</f>
        <v/>
      </c>
      <c r="C1980" s="7">
        <f>IF(A1980="","",IFERROR(VLOOKUP(B1980,TblArticles,2,FALSE),"GTIN inconnu"))</f>
        <v/>
      </c>
      <c r="D1980" s="8">
        <f>IF(A1980="","",IFERROR(VLOOKUP(B1980,TblArticles,3,FALSE),""))</f>
        <v/>
      </c>
      <c r="E1980" s="9">
        <f>IFERROR(DATE(2000+VALUE(MID(A1980,FIND("15",A1980,FIND("01",A1980)+16)+2,2)),VALUE(MID(A1980,FIND("15",A1980,FIND("01",A1980)+16)+4,2)),VALUE(MID(A1980,FIND("15",A1980,FIND("01",A1980)+16)+6,2))),"")</f>
        <v/>
      </c>
      <c r="F1980" s="8">
        <f>IFERROR(MID(A1980,FIND("10",A1980,FIND("15",A1980,FIND("01",A1980)+16)+8)+2,50),"")</f>
        <v/>
      </c>
      <c r="G1980" s="8" t="n"/>
    </row>
    <row r="1981">
      <c r="A1981" s="4" t="n"/>
      <c r="B1981" s="5">
        <f>IFERROR(MID(A1981,FIND("01",A1981)+2,14),"")</f>
        <v/>
      </c>
      <c r="C1981" s="4">
        <f>IF(A1981="","",IFERROR(VLOOKUP(B1981,TblArticles,2,FALSE),"GTIN inconnu"))</f>
        <v/>
      </c>
      <c r="D1981" s="5">
        <f>IF(A1981="","",IFERROR(VLOOKUP(B1981,TblArticles,3,FALSE),""))</f>
        <v/>
      </c>
      <c r="E1981" s="6">
        <f>IFERROR(DATE(2000+VALUE(MID(A1981,FIND("15",A1981,FIND("01",A1981)+16)+2,2)),VALUE(MID(A1981,FIND("15",A1981,FIND("01",A1981)+16)+4,2)),VALUE(MID(A1981,FIND("15",A1981,FIND("01",A1981)+16)+6,2))),"")</f>
        <v/>
      </c>
      <c r="F1981" s="5">
        <f>IFERROR(MID(A1981,FIND("10",A1981,FIND("15",A1981,FIND("01",A1981)+16)+8)+2,50),"")</f>
        <v/>
      </c>
      <c r="G1981" s="5" t="n"/>
    </row>
    <row r="1982">
      <c r="A1982" s="7" t="n"/>
      <c r="B1982" s="8">
        <f>IFERROR(MID(A1982,FIND("01",A1982)+2,14),"")</f>
        <v/>
      </c>
      <c r="C1982" s="7">
        <f>IF(A1982="","",IFERROR(VLOOKUP(B1982,TblArticles,2,FALSE),"GTIN inconnu"))</f>
        <v/>
      </c>
      <c r="D1982" s="8">
        <f>IF(A1982="","",IFERROR(VLOOKUP(B1982,TblArticles,3,FALSE),""))</f>
        <v/>
      </c>
      <c r="E1982" s="9">
        <f>IFERROR(DATE(2000+VALUE(MID(A1982,FIND("15",A1982,FIND("01",A1982)+16)+2,2)),VALUE(MID(A1982,FIND("15",A1982,FIND("01",A1982)+16)+4,2)),VALUE(MID(A1982,FIND("15",A1982,FIND("01",A1982)+16)+6,2))),"")</f>
        <v/>
      </c>
      <c r="F1982" s="8">
        <f>IFERROR(MID(A1982,FIND("10",A1982,FIND("15",A1982,FIND("01",A1982)+16)+8)+2,50),"")</f>
        <v/>
      </c>
      <c r="G1982" s="8" t="n"/>
    </row>
    <row r="1983">
      <c r="A1983" s="4" t="n"/>
      <c r="B1983" s="5">
        <f>IFERROR(MID(A1983,FIND("01",A1983)+2,14),"")</f>
        <v/>
      </c>
      <c r="C1983" s="4">
        <f>IF(A1983="","",IFERROR(VLOOKUP(B1983,TblArticles,2,FALSE),"GTIN inconnu"))</f>
        <v/>
      </c>
      <c r="D1983" s="5">
        <f>IF(A1983="","",IFERROR(VLOOKUP(B1983,TblArticles,3,FALSE),""))</f>
        <v/>
      </c>
      <c r="E1983" s="6">
        <f>IFERROR(DATE(2000+VALUE(MID(A1983,FIND("15",A1983,FIND("01",A1983)+16)+2,2)),VALUE(MID(A1983,FIND("15",A1983,FIND("01",A1983)+16)+4,2)),VALUE(MID(A1983,FIND("15",A1983,FIND("01",A1983)+16)+6,2))),"")</f>
        <v/>
      </c>
      <c r="F1983" s="5">
        <f>IFERROR(MID(A1983,FIND("10",A1983,FIND("15",A1983,FIND("01",A1983)+16)+8)+2,50),"")</f>
        <v/>
      </c>
      <c r="G1983" s="5" t="n"/>
    </row>
    <row r="1984">
      <c r="A1984" s="7" t="n"/>
      <c r="B1984" s="8">
        <f>IFERROR(MID(A1984,FIND("01",A1984)+2,14),"")</f>
        <v/>
      </c>
      <c r="C1984" s="7">
        <f>IF(A1984="","",IFERROR(VLOOKUP(B1984,TblArticles,2,FALSE),"GTIN inconnu"))</f>
        <v/>
      </c>
      <c r="D1984" s="8">
        <f>IF(A1984="","",IFERROR(VLOOKUP(B1984,TblArticles,3,FALSE),""))</f>
        <v/>
      </c>
      <c r="E1984" s="9">
        <f>IFERROR(DATE(2000+VALUE(MID(A1984,FIND("15",A1984,FIND("01",A1984)+16)+2,2)),VALUE(MID(A1984,FIND("15",A1984,FIND("01",A1984)+16)+4,2)),VALUE(MID(A1984,FIND("15",A1984,FIND("01",A1984)+16)+6,2))),"")</f>
        <v/>
      </c>
      <c r="F1984" s="8">
        <f>IFERROR(MID(A1984,FIND("10",A1984,FIND("15",A1984,FIND("01",A1984)+16)+8)+2,50),"")</f>
        <v/>
      </c>
      <c r="G1984" s="8" t="n"/>
    </row>
    <row r="1985">
      <c r="A1985" s="4" t="n"/>
      <c r="B1985" s="5">
        <f>IFERROR(MID(A1985,FIND("01",A1985)+2,14),"")</f>
        <v/>
      </c>
      <c r="C1985" s="4">
        <f>IF(A1985="","",IFERROR(VLOOKUP(B1985,TblArticles,2,FALSE),"GTIN inconnu"))</f>
        <v/>
      </c>
      <c r="D1985" s="5">
        <f>IF(A1985="","",IFERROR(VLOOKUP(B1985,TblArticles,3,FALSE),""))</f>
        <v/>
      </c>
      <c r="E1985" s="6">
        <f>IFERROR(DATE(2000+VALUE(MID(A1985,FIND("15",A1985,FIND("01",A1985)+16)+2,2)),VALUE(MID(A1985,FIND("15",A1985,FIND("01",A1985)+16)+4,2)),VALUE(MID(A1985,FIND("15",A1985,FIND("01",A1985)+16)+6,2))),"")</f>
        <v/>
      </c>
      <c r="F1985" s="5">
        <f>IFERROR(MID(A1985,FIND("10",A1985,FIND("15",A1985,FIND("01",A1985)+16)+8)+2,50),"")</f>
        <v/>
      </c>
      <c r="G1985" s="5" t="n"/>
    </row>
    <row r="1986">
      <c r="A1986" s="7" t="n"/>
      <c r="B1986" s="8">
        <f>IFERROR(MID(A1986,FIND("01",A1986)+2,14),"")</f>
        <v/>
      </c>
      <c r="C1986" s="7">
        <f>IF(A1986="","",IFERROR(VLOOKUP(B1986,TblArticles,2,FALSE),"GTIN inconnu"))</f>
        <v/>
      </c>
      <c r="D1986" s="8">
        <f>IF(A1986="","",IFERROR(VLOOKUP(B1986,TblArticles,3,FALSE),""))</f>
        <v/>
      </c>
      <c r="E1986" s="9">
        <f>IFERROR(DATE(2000+VALUE(MID(A1986,FIND("15",A1986,FIND("01",A1986)+16)+2,2)),VALUE(MID(A1986,FIND("15",A1986,FIND("01",A1986)+16)+4,2)),VALUE(MID(A1986,FIND("15",A1986,FIND("01",A1986)+16)+6,2))),"")</f>
        <v/>
      </c>
      <c r="F1986" s="8">
        <f>IFERROR(MID(A1986,FIND("10",A1986,FIND("15",A1986,FIND("01",A1986)+16)+8)+2,50),"")</f>
        <v/>
      </c>
      <c r="G1986" s="8" t="n"/>
    </row>
    <row r="1987">
      <c r="A1987" s="4" t="n"/>
      <c r="B1987" s="5">
        <f>IFERROR(MID(A1987,FIND("01",A1987)+2,14),"")</f>
        <v/>
      </c>
      <c r="C1987" s="4">
        <f>IF(A1987="","",IFERROR(VLOOKUP(B1987,TblArticles,2,FALSE),"GTIN inconnu"))</f>
        <v/>
      </c>
      <c r="D1987" s="5">
        <f>IF(A1987="","",IFERROR(VLOOKUP(B1987,TblArticles,3,FALSE),""))</f>
        <v/>
      </c>
      <c r="E1987" s="6">
        <f>IFERROR(DATE(2000+VALUE(MID(A1987,FIND("15",A1987,FIND("01",A1987)+16)+2,2)),VALUE(MID(A1987,FIND("15",A1987,FIND("01",A1987)+16)+4,2)),VALUE(MID(A1987,FIND("15",A1987,FIND("01",A1987)+16)+6,2))),"")</f>
        <v/>
      </c>
      <c r="F1987" s="5">
        <f>IFERROR(MID(A1987,FIND("10",A1987,FIND("15",A1987,FIND("01",A1987)+16)+8)+2,50),"")</f>
        <v/>
      </c>
      <c r="G1987" s="5" t="n"/>
    </row>
    <row r="1988">
      <c r="A1988" s="7" t="n"/>
      <c r="B1988" s="8">
        <f>IFERROR(MID(A1988,FIND("01",A1988)+2,14),"")</f>
        <v/>
      </c>
      <c r="C1988" s="7">
        <f>IF(A1988="","",IFERROR(VLOOKUP(B1988,TblArticles,2,FALSE),"GTIN inconnu"))</f>
        <v/>
      </c>
      <c r="D1988" s="8">
        <f>IF(A1988="","",IFERROR(VLOOKUP(B1988,TblArticles,3,FALSE),""))</f>
        <v/>
      </c>
      <c r="E1988" s="9">
        <f>IFERROR(DATE(2000+VALUE(MID(A1988,FIND("15",A1988,FIND("01",A1988)+16)+2,2)),VALUE(MID(A1988,FIND("15",A1988,FIND("01",A1988)+16)+4,2)),VALUE(MID(A1988,FIND("15",A1988,FIND("01",A1988)+16)+6,2))),"")</f>
        <v/>
      </c>
      <c r="F1988" s="8">
        <f>IFERROR(MID(A1988,FIND("10",A1988,FIND("15",A1988,FIND("01",A1988)+16)+8)+2,50),"")</f>
        <v/>
      </c>
      <c r="G1988" s="8" t="n"/>
    </row>
    <row r="1989">
      <c r="A1989" s="4" t="n"/>
      <c r="B1989" s="5">
        <f>IFERROR(MID(A1989,FIND("01",A1989)+2,14),"")</f>
        <v/>
      </c>
      <c r="C1989" s="4">
        <f>IF(A1989="","",IFERROR(VLOOKUP(B1989,TblArticles,2,FALSE),"GTIN inconnu"))</f>
        <v/>
      </c>
      <c r="D1989" s="5">
        <f>IF(A1989="","",IFERROR(VLOOKUP(B1989,TblArticles,3,FALSE),""))</f>
        <v/>
      </c>
      <c r="E1989" s="6">
        <f>IFERROR(DATE(2000+VALUE(MID(A1989,FIND("15",A1989,FIND("01",A1989)+16)+2,2)),VALUE(MID(A1989,FIND("15",A1989,FIND("01",A1989)+16)+4,2)),VALUE(MID(A1989,FIND("15",A1989,FIND("01",A1989)+16)+6,2))),"")</f>
        <v/>
      </c>
      <c r="F1989" s="5">
        <f>IFERROR(MID(A1989,FIND("10",A1989,FIND("15",A1989,FIND("01",A1989)+16)+8)+2,50),"")</f>
        <v/>
      </c>
      <c r="G1989" s="5" t="n"/>
    </row>
    <row r="1990">
      <c r="A1990" s="7" t="n"/>
      <c r="B1990" s="8">
        <f>IFERROR(MID(A1990,FIND("01",A1990)+2,14),"")</f>
        <v/>
      </c>
      <c r="C1990" s="7">
        <f>IF(A1990="","",IFERROR(VLOOKUP(B1990,TblArticles,2,FALSE),"GTIN inconnu"))</f>
        <v/>
      </c>
      <c r="D1990" s="8">
        <f>IF(A1990="","",IFERROR(VLOOKUP(B1990,TblArticles,3,FALSE),""))</f>
        <v/>
      </c>
      <c r="E1990" s="9">
        <f>IFERROR(DATE(2000+VALUE(MID(A1990,FIND("15",A1990,FIND("01",A1990)+16)+2,2)),VALUE(MID(A1990,FIND("15",A1990,FIND("01",A1990)+16)+4,2)),VALUE(MID(A1990,FIND("15",A1990,FIND("01",A1990)+16)+6,2))),"")</f>
        <v/>
      </c>
      <c r="F1990" s="8">
        <f>IFERROR(MID(A1990,FIND("10",A1990,FIND("15",A1990,FIND("01",A1990)+16)+8)+2,50),"")</f>
        <v/>
      </c>
      <c r="G1990" s="8" t="n"/>
    </row>
    <row r="1991">
      <c r="A1991" s="4" t="n"/>
      <c r="B1991" s="5">
        <f>IFERROR(MID(A1991,FIND("01",A1991)+2,14),"")</f>
        <v/>
      </c>
      <c r="C1991" s="4">
        <f>IF(A1991="","",IFERROR(VLOOKUP(B1991,TblArticles,2,FALSE),"GTIN inconnu"))</f>
        <v/>
      </c>
      <c r="D1991" s="5">
        <f>IF(A1991="","",IFERROR(VLOOKUP(B1991,TblArticles,3,FALSE),""))</f>
        <v/>
      </c>
      <c r="E1991" s="6">
        <f>IFERROR(DATE(2000+VALUE(MID(A1991,FIND("15",A1991,FIND("01",A1991)+16)+2,2)),VALUE(MID(A1991,FIND("15",A1991,FIND("01",A1991)+16)+4,2)),VALUE(MID(A1991,FIND("15",A1991,FIND("01",A1991)+16)+6,2))),"")</f>
        <v/>
      </c>
      <c r="F1991" s="5">
        <f>IFERROR(MID(A1991,FIND("10",A1991,FIND("15",A1991,FIND("01",A1991)+16)+8)+2,50),"")</f>
        <v/>
      </c>
      <c r="G1991" s="5" t="n"/>
    </row>
    <row r="1992">
      <c r="A1992" s="7" t="n"/>
      <c r="B1992" s="8">
        <f>IFERROR(MID(A1992,FIND("01",A1992)+2,14),"")</f>
        <v/>
      </c>
      <c r="C1992" s="7">
        <f>IF(A1992="","",IFERROR(VLOOKUP(B1992,TblArticles,2,FALSE),"GTIN inconnu"))</f>
        <v/>
      </c>
      <c r="D1992" s="8">
        <f>IF(A1992="","",IFERROR(VLOOKUP(B1992,TblArticles,3,FALSE),""))</f>
        <v/>
      </c>
      <c r="E1992" s="9">
        <f>IFERROR(DATE(2000+VALUE(MID(A1992,FIND("15",A1992,FIND("01",A1992)+16)+2,2)),VALUE(MID(A1992,FIND("15",A1992,FIND("01",A1992)+16)+4,2)),VALUE(MID(A1992,FIND("15",A1992,FIND("01",A1992)+16)+6,2))),"")</f>
        <v/>
      </c>
      <c r="F1992" s="8">
        <f>IFERROR(MID(A1992,FIND("10",A1992,FIND("15",A1992,FIND("01",A1992)+16)+8)+2,50),"")</f>
        <v/>
      </c>
      <c r="G1992" s="8" t="n"/>
    </row>
    <row r="1993">
      <c r="A1993" s="4" t="n"/>
      <c r="B1993" s="5">
        <f>IFERROR(MID(A1993,FIND("01",A1993)+2,14),"")</f>
        <v/>
      </c>
      <c r="C1993" s="4">
        <f>IF(A1993="","",IFERROR(VLOOKUP(B1993,TblArticles,2,FALSE),"GTIN inconnu"))</f>
        <v/>
      </c>
      <c r="D1993" s="5">
        <f>IF(A1993="","",IFERROR(VLOOKUP(B1993,TblArticles,3,FALSE),""))</f>
        <v/>
      </c>
      <c r="E1993" s="6">
        <f>IFERROR(DATE(2000+VALUE(MID(A1993,FIND("15",A1993,FIND("01",A1993)+16)+2,2)),VALUE(MID(A1993,FIND("15",A1993,FIND("01",A1993)+16)+4,2)),VALUE(MID(A1993,FIND("15",A1993,FIND("01",A1993)+16)+6,2))),"")</f>
        <v/>
      </c>
      <c r="F1993" s="5">
        <f>IFERROR(MID(A1993,FIND("10",A1993,FIND("15",A1993,FIND("01",A1993)+16)+8)+2,50),"")</f>
        <v/>
      </c>
      <c r="G1993" s="5" t="n"/>
    </row>
    <row r="1994">
      <c r="A1994" s="7" t="n"/>
      <c r="B1994" s="8">
        <f>IFERROR(MID(A1994,FIND("01",A1994)+2,14),"")</f>
        <v/>
      </c>
      <c r="C1994" s="7">
        <f>IF(A1994="","",IFERROR(VLOOKUP(B1994,TblArticles,2,FALSE),"GTIN inconnu"))</f>
        <v/>
      </c>
      <c r="D1994" s="8">
        <f>IF(A1994="","",IFERROR(VLOOKUP(B1994,TblArticles,3,FALSE),""))</f>
        <v/>
      </c>
      <c r="E1994" s="9">
        <f>IFERROR(DATE(2000+VALUE(MID(A1994,FIND("15",A1994,FIND("01",A1994)+16)+2,2)),VALUE(MID(A1994,FIND("15",A1994,FIND("01",A1994)+16)+4,2)),VALUE(MID(A1994,FIND("15",A1994,FIND("01",A1994)+16)+6,2))),"")</f>
        <v/>
      </c>
      <c r="F1994" s="8">
        <f>IFERROR(MID(A1994,FIND("10",A1994,FIND("15",A1994,FIND("01",A1994)+16)+8)+2,50),"")</f>
        <v/>
      </c>
      <c r="G1994" s="8" t="n"/>
    </row>
    <row r="1995">
      <c r="A1995" s="4" t="n"/>
      <c r="B1995" s="5">
        <f>IFERROR(MID(A1995,FIND("01",A1995)+2,14),"")</f>
        <v/>
      </c>
      <c r="C1995" s="4">
        <f>IF(A1995="","",IFERROR(VLOOKUP(B1995,TblArticles,2,FALSE),"GTIN inconnu"))</f>
        <v/>
      </c>
      <c r="D1995" s="5">
        <f>IF(A1995="","",IFERROR(VLOOKUP(B1995,TblArticles,3,FALSE),""))</f>
        <v/>
      </c>
      <c r="E1995" s="6">
        <f>IFERROR(DATE(2000+VALUE(MID(A1995,FIND("15",A1995,FIND("01",A1995)+16)+2,2)),VALUE(MID(A1995,FIND("15",A1995,FIND("01",A1995)+16)+4,2)),VALUE(MID(A1995,FIND("15",A1995,FIND("01",A1995)+16)+6,2))),"")</f>
        <v/>
      </c>
      <c r="F1995" s="5">
        <f>IFERROR(MID(A1995,FIND("10",A1995,FIND("15",A1995,FIND("01",A1995)+16)+8)+2,50),"")</f>
        <v/>
      </c>
      <c r="G1995" s="5" t="n"/>
    </row>
    <row r="1996">
      <c r="A1996" s="7" t="n"/>
      <c r="B1996" s="8">
        <f>IFERROR(MID(A1996,FIND("01",A1996)+2,14),"")</f>
        <v/>
      </c>
      <c r="C1996" s="7">
        <f>IF(A1996="","",IFERROR(VLOOKUP(B1996,TblArticles,2,FALSE),"GTIN inconnu"))</f>
        <v/>
      </c>
      <c r="D1996" s="8">
        <f>IF(A1996="","",IFERROR(VLOOKUP(B1996,TblArticles,3,FALSE),""))</f>
        <v/>
      </c>
      <c r="E1996" s="9">
        <f>IFERROR(DATE(2000+VALUE(MID(A1996,FIND("15",A1996,FIND("01",A1996)+16)+2,2)),VALUE(MID(A1996,FIND("15",A1996,FIND("01",A1996)+16)+4,2)),VALUE(MID(A1996,FIND("15",A1996,FIND("01",A1996)+16)+6,2))),"")</f>
        <v/>
      </c>
      <c r="F1996" s="8">
        <f>IFERROR(MID(A1996,FIND("10",A1996,FIND("15",A1996,FIND("01",A1996)+16)+8)+2,50),"")</f>
        <v/>
      </c>
      <c r="G1996" s="8" t="n"/>
    </row>
    <row r="1997">
      <c r="A1997" s="4" t="n"/>
      <c r="B1997" s="5">
        <f>IFERROR(MID(A1997,FIND("01",A1997)+2,14),"")</f>
        <v/>
      </c>
      <c r="C1997" s="4">
        <f>IF(A1997="","",IFERROR(VLOOKUP(B1997,TblArticles,2,FALSE),"GTIN inconnu"))</f>
        <v/>
      </c>
      <c r="D1997" s="5">
        <f>IF(A1997="","",IFERROR(VLOOKUP(B1997,TblArticles,3,FALSE),""))</f>
        <v/>
      </c>
      <c r="E1997" s="6">
        <f>IFERROR(DATE(2000+VALUE(MID(A1997,FIND("15",A1997,FIND("01",A1997)+16)+2,2)),VALUE(MID(A1997,FIND("15",A1997,FIND("01",A1997)+16)+4,2)),VALUE(MID(A1997,FIND("15",A1997,FIND("01",A1997)+16)+6,2))),"")</f>
        <v/>
      </c>
      <c r="F1997" s="5">
        <f>IFERROR(MID(A1997,FIND("10",A1997,FIND("15",A1997,FIND("01",A1997)+16)+8)+2,50),"")</f>
        <v/>
      </c>
      <c r="G1997" s="5" t="n"/>
    </row>
    <row r="1998">
      <c r="A1998" s="7" t="n"/>
      <c r="B1998" s="8">
        <f>IFERROR(MID(A1998,FIND("01",A1998)+2,14),"")</f>
        <v/>
      </c>
      <c r="C1998" s="7">
        <f>IF(A1998="","",IFERROR(VLOOKUP(B1998,TblArticles,2,FALSE),"GTIN inconnu"))</f>
        <v/>
      </c>
      <c r="D1998" s="8">
        <f>IF(A1998="","",IFERROR(VLOOKUP(B1998,TblArticles,3,FALSE),""))</f>
        <v/>
      </c>
      <c r="E1998" s="9">
        <f>IFERROR(DATE(2000+VALUE(MID(A1998,FIND("15",A1998,FIND("01",A1998)+16)+2,2)),VALUE(MID(A1998,FIND("15",A1998,FIND("01",A1998)+16)+4,2)),VALUE(MID(A1998,FIND("15",A1998,FIND("01",A1998)+16)+6,2))),"")</f>
        <v/>
      </c>
      <c r="F1998" s="8">
        <f>IFERROR(MID(A1998,FIND("10",A1998,FIND("15",A1998,FIND("01",A1998)+16)+8)+2,50),"")</f>
        <v/>
      </c>
      <c r="G1998" s="8" t="n"/>
    </row>
    <row r="1999">
      <c r="A1999" s="4" t="n"/>
      <c r="B1999" s="5">
        <f>IFERROR(MID(A1999,FIND("01",A1999)+2,14),"")</f>
        <v/>
      </c>
      <c r="C1999" s="4">
        <f>IF(A1999="","",IFERROR(VLOOKUP(B1999,TblArticles,2,FALSE),"GTIN inconnu"))</f>
        <v/>
      </c>
      <c r="D1999" s="5">
        <f>IF(A1999="","",IFERROR(VLOOKUP(B1999,TblArticles,3,FALSE),""))</f>
        <v/>
      </c>
      <c r="E1999" s="6">
        <f>IFERROR(DATE(2000+VALUE(MID(A1999,FIND("15",A1999,FIND("01",A1999)+16)+2,2)),VALUE(MID(A1999,FIND("15",A1999,FIND("01",A1999)+16)+4,2)),VALUE(MID(A1999,FIND("15",A1999,FIND("01",A1999)+16)+6,2))),"")</f>
        <v/>
      </c>
      <c r="F1999" s="5">
        <f>IFERROR(MID(A1999,FIND("10",A1999,FIND("15",A1999,FIND("01",A1999)+16)+8)+2,50),"")</f>
        <v/>
      </c>
      <c r="G1999" s="5" t="n"/>
    </row>
    <row r="2000">
      <c r="A2000" s="7" t="n"/>
      <c r="B2000" s="8">
        <f>IFERROR(MID(A2000,FIND("01",A2000)+2,14),"")</f>
        <v/>
      </c>
      <c r="C2000" s="7">
        <f>IF(A2000="","",IFERROR(VLOOKUP(B2000,TblArticles,2,FALSE),"GTIN inconnu"))</f>
        <v/>
      </c>
      <c r="D2000" s="8">
        <f>IF(A2000="","",IFERROR(VLOOKUP(B2000,TblArticles,3,FALSE),""))</f>
        <v/>
      </c>
      <c r="E2000" s="9">
        <f>IFERROR(DATE(2000+VALUE(MID(A2000,FIND("15",A2000,FIND("01",A2000)+16)+2,2)),VALUE(MID(A2000,FIND("15",A2000,FIND("01",A2000)+16)+4,2)),VALUE(MID(A2000,FIND("15",A2000,FIND("01",A2000)+16)+6,2))),"")</f>
        <v/>
      </c>
      <c r="F2000" s="8">
        <f>IFERROR(MID(A2000,FIND("10",A2000,FIND("15",A2000,FIND("01",A2000)+16)+8)+2,50),"")</f>
        <v/>
      </c>
      <c r="G2000" s="8" t="n"/>
    </row>
    <row r="2001">
      <c r="A2001" s="4" t="n"/>
      <c r="B2001" s="5">
        <f>IFERROR(MID(A2001,FIND("01",A2001)+2,14),"")</f>
        <v/>
      </c>
      <c r="C2001" s="4">
        <f>IF(A2001="","",IFERROR(VLOOKUP(B2001,TblArticles,2,FALSE),"GTIN inconnu"))</f>
        <v/>
      </c>
      <c r="D2001" s="5">
        <f>IF(A2001="","",IFERROR(VLOOKUP(B2001,TblArticles,3,FALSE),""))</f>
        <v/>
      </c>
      <c r="E2001" s="6">
        <f>IFERROR(DATE(2000+VALUE(MID(A2001,FIND("15",A2001,FIND("01",A2001)+16)+2,2)),VALUE(MID(A2001,FIND("15",A2001,FIND("01",A2001)+16)+4,2)),VALUE(MID(A2001,FIND("15",A2001,FIND("01",A2001)+16)+6,2))),"")</f>
        <v/>
      </c>
      <c r="F2001" s="5">
        <f>IFERROR(MID(A2001,FIND("10",A2001,FIND("15",A2001,FIND("01",A2001)+16)+8)+2,50),"")</f>
        <v/>
      </c>
      <c r="G2001" s="5" t="n"/>
    </row>
    <row r="2002">
      <c r="A2002" s="7" t="n"/>
      <c r="B2002" s="8">
        <f>IFERROR(MID(A2002,FIND("01",A2002)+2,14),"")</f>
        <v/>
      </c>
      <c r="C2002" s="7">
        <f>IF(A2002="","",IFERROR(VLOOKUP(B2002,TblArticles,2,FALSE),"GTIN inconnu"))</f>
        <v/>
      </c>
      <c r="D2002" s="8">
        <f>IF(A2002="","",IFERROR(VLOOKUP(B2002,TblArticles,3,FALSE),""))</f>
        <v/>
      </c>
      <c r="E2002" s="9">
        <f>IFERROR(DATE(2000+VALUE(MID(A2002,FIND("15",A2002,FIND("01",A2002)+16)+2,2)),VALUE(MID(A2002,FIND("15",A2002,FIND("01",A2002)+16)+4,2)),VALUE(MID(A2002,FIND("15",A2002,FIND("01",A2002)+16)+6,2))),"")</f>
        <v/>
      </c>
      <c r="F2002" s="8">
        <f>IFERROR(MID(A2002,FIND("10",A2002,FIND("15",A2002,FIND("01",A2002)+16)+8)+2,50),"")</f>
        <v/>
      </c>
      <c r="G2002" s="8" t="n"/>
    </row>
    <row r="2003">
      <c r="A2003" s="4" t="n"/>
      <c r="B2003" s="5">
        <f>IFERROR(MID(A2003,FIND("01",A2003)+2,14),"")</f>
        <v/>
      </c>
      <c r="C2003" s="4">
        <f>IF(A2003="","",IFERROR(VLOOKUP(B2003,TblArticles,2,FALSE),"GTIN inconnu"))</f>
        <v/>
      </c>
      <c r="D2003" s="5">
        <f>IF(A2003="","",IFERROR(VLOOKUP(B2003,TblArticles,3,FALSE),""))</f>
        <v/>
      </c>
      <c r="E2003" s="6">
        <f>IFERROR(DATE(2000+VALUE(MID(A2003,FIND("15",A2003,FIND("01",A2003)+16)+2,2)),VALUE(MID(A2003,FIND("15",A2003,FIND("01",A2003)+16)+4,2)),VALUE(MID(A2003,FIND("15",A2003,FIND("01",A2003)+16)+6,2))),"")</f>
        <v/>
      </c>
      <c r="F2003" s="5">
        <f>IFERROR(MID(A2003,FIND("10",A2003,FIND("15",A2003,FIND("01",A2003)+16)+8)+2,50),"")</f>
        <v/>
      </c>
      <c r="G2003" s="5" t="n"/>
    </row>
    <row r="2004">
      <c r="A2004" s="7" t="n"/>
      <c r="B2004" s="8">
        <f>IFERROR(MID(A2004,FIND("01",A2004)+2,14),"")</f>
        <v/>
      </c>
      <c r="C2004" s="7">
        <f>IF(A2004="","",IFERROR(VLOOKUP(B2004,TblArticles,2,FALSE),"GTIN inconnu"))</f>
        <v/>
      </c>
      <c r="D2004" s="8">
        <f>IF(A2004="","",IFERROR(VLOOKUP(B2004,TblArticles,3,FALSE),""))</f>
        <v/>
      </c>
      <c r="E2004" s="9">
        <f>IFERROR(DATE(2000+VALUE(MID(A2004,FIND("15",A2004,FIND("01",A2004)+16)+2,2)),VALUE(MID(A2004,FIND("15",A2004,FIND("01",A2004)+16)+4,2)),VALUE(MID(A2004,FIND("15",A2004,FIND("01",A2004)+16)+6,2))),"")</f>
        <v/>
      </c>
      <c r="F2004" s="8">
        <f>IFERROR(MID(A2004,FIND("10",A2004,FIND("15",A2004,FIND("01",A2004)+16)+8)+2,50),"")</f>
        <v/>
      </c>
      <c r="G2004" s="8" t="n"/>
    </row>
  </sheetData>
  <conditionalFormatting sqref="C5:C2004">
    <cfRule type="cellIs" priority="1" operator="equal" dxfId="0">
      <formula>"GTIN inconnu"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2" customWidth="1" min="4" max="4"/>
    <col width="16" customWidth="1" min="5" max="5"/>
  </cols>
  <sheetData>
    <row r="1">
      <c r="A1" s="10" t="inlineStr">
        <is>
          <t>SYNTHÈSE PACKING LISTE — cliquez sur le bouton (ou lancez GenerateSynthese)</t>
        </is>
      </c>
    </row>
    <row r="2">
      <c r="A2" s="11" t="inlineStr">
        <is>
          <t>Cette feuille se met à jour via la macro GenerateSynthese (voir Développeur &gt; Macros).</t>
        </is>
      </c>
    </row>
    <row r="4">
      <c r="A4" s="3" t="inlineStr">
        <is>
          <t>Code article</t>
        </is>
      </c>
      <c r="B4" s="3" t="inlineStr">
        <is>
          <t>Désignation</t>
        </is>
      </c>
      <c r="C4" s="3" t="inlineStr">
        <is>
          <t>Qté / palette</t>
        </is>
      </c>
      <c r="D4" s="3" t="inlineStr">
        <is>
          <t>Palettes</t>
        </is>
      </c>
      <c r="E4" s="3" t="inlineStr">
        <is>
          <t>Quantité totale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4" customWidth="1" min="3" max="3"/>
    <col width="12" customWidth="1" min="4" max="4"/>
    <col width="12" customWidth="1" min="5" max="5"/>
    <col width="11" customWidth="1" min="6" max="6"/>
  </cols>
  <sheetData>
    <row r="1">
      <c r="A1" s="10" t="inlineStr">
        <is>
          <t>DÉTAIL PALETTES PAR ARTICLE — cliquez sur le bouton (ou lancez GenerateSynthese)</t>
        </is>
      </c>
    </row>
    <row r="2">
      <c r="A2" s="11" t="inlineStr">
        <is>
          <t>Tri : palettes complètes d'abord (par lot puis n° scan), incomplètes en fin de bloc</t>
        </is>
      </c>
    </row>
    <row r="4">
      <c r="A4" s="3" t="inlineStr">
        <is>
          <t>N° palette</t>
        </is>
      </c>
      <c r="B4" s="3" t="inlineStr">
        <is>
          <t>Code article</t>
        </is>
      </c>
      <c r="C4" s="3" t="inlineStr">
        <is>
          <t>Désignation</t>
        </is>
      </c>
      <c r="D4" s="3" t="inlineStr">
        <is>
          <t>Lot</t>
        </is>
      </c>
      <c r="E4" s="3" t="inlineStr">
        <is>
          <t>DLUO</t>
        </is>
      </c>
      <c r="F4" s="3" t="inlineStr">
        <is>
          <t>Quantité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6" customWidth="1" min="3" max="3"/>
  </cols>
  <sheetData>
    <row r="1">
      <c r="A1" s="3" t="inlineStr">
        <is>
          <t>GTIN</t>
        </is>
      </c>
      <c r="B1" s="3" t="inlineStr">
        <is>
          <t>Désignation</t>
        </is>
      </c>
      <c r="C1" s="3" t="inlineStr">
        <is>
          <t>Code article</t>
        </is>
      </c>
    </row>
    <row r="2">
      <c r="A2" s="4" t="inlineStr">
        <is>
          <t>13179142040244</t>
        </is>
      </c>
      <c r="B2" s="4" t="inlineStr">
        <is>
          <t>BTE150G FRUIT ASSORTX012-VA</t>
        </is>
      </c>
      <c r="C2" s="4" t="inlineStr">
        <is>
          <t>901601698</t>
        </is>
      </c>
    </row>
    <row r="3">
      <c r="A3" s="4" t="inlineStr">
        <is>
          <t>13179142040251</t>
        </is>
      </c>
      <c r="B3" s="4" t="inlineStr">
        <is>
          <t>BTE150G MACEDOINE X012-VA</t>
        </is>
      </c>
      <c r="C3" s="4" t="inlineStr">
        <is>
          <t>901601699</t>
        </is>
      </c>
    </row>
    <row r="4">
      <c r="A4" s="4" t="inlineStr">
        <is>
          <t>13179142040299</t>
        </is>
      </c>
      <c r="B4" s="4" t="inlineStr">
        <is>
          <t>BTE100G LAMELLE ORANGX12-VA</t>
        </is>
      </c>
      <c r="C4" s="4" t="inlineStr">
        <is>
          <t>901602259</t>
        </is>
      </c>
    </row>
    <row r="5">
      <c r="A5" s="4" t="inlineStr">
        <is>
          <t>13179142040305</t>
        </is>
      </c>
      <c r="B5" s="4" t="inlineStr">
        <is>
          <t>BTE150G BIGARREAUX X012-VA</t>
        </is>
      </c>
      <c r="C5" s="4" t="inlineStr">
        <is>
          <t>901602260</t>
        </is>
      </c>
    </row>
    <row r="6">
      <c r="A6" s="4" t="inlineStr">
        <is>
          <t>03179143054458</t>
        </is>
      </c>
      <c r="B6" s="4" t="inlineStr">
        <is>
          <t>BLISTER COLORANTS LIQUIDES VAHINE Espagne Portugal</t>
        </is>
      </c>
      <c r="C6" s="4" t="inlineStr">
        <is>
          <t>804880</t>
        </is>
      </c>
    </row>
    <row r="7">
      <c r="A7" s="4" t="inlineStr">
        <is>
          <t>03179143054441</t>
        </is>
      </c>
      <c r="B7" s="4" t="inlineStr">
        <is>
          <t>BLISTER COLORANTS LIQUIDES VAHINE Belgique</t>
        </is>
      </c>
      <c r="C7" s="4" t="inlineStr">
        <is>
          <t>802410</t>
        </is>
      </c>
    </row>
    <row r="8">
      <c r="A8" s="4" t="inlineStr">
        <is>
          <t>13179140633455</t>
        </is>
      </c>
      <c r="B8" s="4" t="inlineStr">
        <is>
          <t>BLISTER COLORANTS LIQUIDES VAHINE France</t>
        </is>
      </c>
      <c r="C8" s="4" t="inlineStr">
        <is>
          <t>202330</t>
        </is>
      </c>
    </row>
    <row r="9">
      <c r="A9" s="4" t="inlineStr">
        <is>
          <t>00327592305246</t>
        </is>
      </c>
      <c r="B9" s="4" t="inlineStr">
        <is>
          <t>BLIS.COLORANT PATIS. GR x12-VAHINE</t>
        </is>
      </c>
      <c r="C9" s="4" t="inlineStr">
        <is>
          <t>M010153</t>
        </is>
      </c>
    </row>
    <row r="10">
      <c r="A10" s="4" t="inlineStr">
        <is>
          <t>13179142066589</t>
        </is>
      </c>
      <c r="B10" s="4" t="inlineStr">
        <is>
          <t>PAV 20S SUCRE VANILLEX11-VA</t>
        </is>
      </c>
      <c r="C10" s="4" t="inlineStr">
        <is>
          <t>901770216</t>
        </is>
      </c>
    </row>
    <row r="11">
      <c r="A11" s="4" t="n"/>
      <c r="B11" s="4" t="n"/>
      <c r="C11" s="4" t="n"/>
    </row>
    <row r="12">
      <c r="A12" s="4" t="n"/>
      <c r="B12" s="4" t="n"/>
      <c r="C12" s="4" t="n"/>
    </row>
    <row r="13">
      <c r="A13" s="4" t="n"/>
      <c r="B13" s="4" t="n"/>
      <c r="C13" s="4" t="n"/>
    </row>
    <row r="14">
      <c r="A14" s="4" t="n"/>
      <c r="B14" s="4" t="n"/>
      <c r="C14" s="4" t="n"/>
    </row>
    <row r="15">
      <c r="A15" s="4" t="n"/>
      <c r="B15" s="4" t="n"/>
      <c r="C15" s="4" t="n"/>
    </row>
    <row r="16">
      <c r="A16" s="4" t="n"/>
      <c r="B16" s="4" t="n"/>
      <c r="C16" s="4" t="n"/>
    </row>
    <row r="17">
      <c r="A17" s="4" t="n"/>
      <c r="B17" s="4" t="n"/>
      <c r="C17" s="4" t="n"/>
    </row>
    <row r="18">
      <c r="A18" s="4" t="n"/>
      <c r="B18" s="4" t="n"/>
      <c r="C18" s="4" t="n"/>
    </row>
    <row r="19">
      <c r="A19" s="4" t="n"/>
      <c r="B19" s="4" t="n"/>
      <c r="C19" s="4" t="n"/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  <row r="25">
      <c r="A25" s="4" t="n"/>
      <c r="B25" s="4" t="n"/>
      <c r="C25" s="4" t="n"/>
    </row>
    <row r="26">
      <c r="A26" s="4" t="n"/>
      <c r="B26" s="4" t="n"/>
      <c r="C26" s="4" t="n"/>
    </row>
    <row r="27">
      <c r="A27" s="4" t="n"/>
      <c r="B27" s="4" t="n"/>
      <c r="C27" s="4" t="n"/>
    </row>
    <row r="28">
      <c r="A28" s="4" t="n"/>
      <c r="B28" s="4" t="n"/>
      <c r="C28" s="4" t="n"/>
    </row>
    <row r="29">
      <c r="A29" s="4" t="n"/>
      <c r="B29" s="4" t="n"/>
      <c r="C29" s="4" t="n"/>
    </row>
    <row r="30">
      <c r="A30" s="4" t="n"/>
      <c r="B30" s="4" t="n"/>
      <c r="C30" s="4" t="n"/>
    </row>
    <row r="31">
      <c r="A31" s="4" t="n"/>
      <c r="B31" s="4" t="n"/>
      <c r="C31" s="4" t="n"/>
    </row>
    <row r="32">
      <c r="A32" s="4" t="n"/>
      <c r="B32" s="4" t="n"/>
      <c r="C32" s="4" t="n"/>
    </row>
    <row r="33">
      <c r="A33" s="4" t="n"/>
      <c r="B33" s="4" t="n"/>
      <c r="C33" s="4" t="n"/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4" t="n"/>
      <c r="B41" s="4" t="n"/>
      <c r="C41" s="4" t="n"/>
    </row>
    <row r="42">
      <c r="A42" s="4" t="n"/>
      <c r="B42" s="4" t="n"/>
      <c r="C42" s="4" t="n"/>
    </row>
    <row r="43">
      <c r="A43" s="4" t="n"/>
      <c r="B43" s="4" t="n"/>
      <c r="C43" s="4" t="n"/>
    </row>
    <row r="44">
      <c r="A44" s="4" t="n"/>
      <c r="B44" s="4" t="n"/>
      <c r="C44" s="4" t="n"/>
    </row>
    <row r="45">
      <c r="A45" s="4" t="n"/>
      <c r="B45" s="4" t="n"/>
      <c r="C45" s="4" t="n"/>
    </row>
    <row r="46">
      <c r="A46" s="4" t="n"/>
      <c r="B46" s="4" t="n"/>
      <c r="C46" s="4" t="n"/>
    </row>
    <row r="47">
      <c r="A47" s="4" t="n"/>
      <c r="B47" s="4" t="n"/>
      <c r="C47" s="4" t="n"/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  <row r="54">
      <c r="A54" s="4" t="n"/>
      <c r="B54" s="4" t="n"/>
      <c r="C54" s="4" t="n"/>
    </row>
    <row r="55">
      <c r="A55" s="4" t="n"/>
      <c r="B55" s="4" t="n"/>
      <c r="C55" s="4" t="n"/>
    </row>
    <row r="56">
      <c r="A56" s="4" t="n"/>
      <c r="B56" s="4" t="n"/>
      <c r="C56" s="4" t="n"/>
    </row>
    <row r="57">
      <c r="A57" s="4" t="n"/>
      <c r="B57" s="4" t="n"/>
      <c r="C57" s="4" t="n"/>
    </row>
    <row r="58">
      <c r="A58" s="4" t="n"/>
      <c r="B58" s="4" t="n"/>
      <c r="C58" s="4" t="n"/>
    </row>
    <row r="59">
      <c r="A59" s="4" t="n"/>
      <c r="B59" s="4" t="n"/>
      <c r="C59" s="4" t="n"/>
    </row>
    <row r="60">
      <c r="A60" s="4" t="n"/>
      <c r="B60" s="4" t="n"/>
      <c r="C60" s="4" t="n"/>
    </row>
    <row r="61">
      <c r="A61" s="4" t="n"/>
      <c r="B61" s="4" t="n"/>
      <c r="C61" s="4" t="n"/>
    </row>
    <row r="62">
      <c r="A62" s="4" t="n"/>
      <c r="B62" s="4" t="n"/>
      <c r="C62" s="4" t="n"/>
    </row>
    <row r="63">
      <c r="A63" s="4" t="n"/>
      <c r="B63" s="4" t="n"/>
      <c r="C63" s="4" t="n"/>
    </row>
    <row r="64">
      <c r="A64" s="4" t="n"/>
      <c r="B64" s="4" t="n"/>
      <c r="C64" s="4" t="n"/>
    </row>
    <row r="65">
      <c r="A65" s="4" t="n"/>
      <c r="B65" s="4" t="n"/>
      <c r="C65" s="4" t="n"/>
    </row>
    <row r="66">
      <c r="A66" s="4" t="n"/>
      <c r="B66" s="4" t="n"/>
      <c r="C66" s="4" t="n"/>
    </row>
    <row r="67">
      <c r="A67" s="4" t="n"/>
      <c r="B67" s="4" t="n"/>
      <c r="C67" s="4" t="n"/>
    </row>
    <row r="68">
      <c r="A68" s="4" t="n"/>
      <c r="B68" s="4" t="n"/>
      <c r="C68" s="4" t="n"/>
    </row>
    <row r="69">
      <c r="A69" s="4" t="n"/>
      <c r="B69" s="4" t="n"/>
      <c r="C69" s="4" t="n"/>
    </row>
    <row r="70">
      <c r="A70" s="4" t="n"/>
      <c r="B70" s="4" t="n"/>
      <c r="C70" s="4" t="n"/>
    </row>
    <row r="71">
      <c r="A71" s="4" t="n"/>
      <c r="B71" s="4" t="n"/>
      <c r="C71" s="4" t="n"/>
    </row>
    <row r="72">
      <c r="A72" s="4" t="n"/>
      <c r="B72" s="4" t="n"/>
      <c r="C72" s="4" t="n"/>
    </row>
    <row r="73">
      <c r="A73" s="4" t="n"/>
      <c r="B73" s="4" t="n"/>
      <c r="C73" s="4" t="n"/>
    </row>
    <row r="74">
      <c r="A74" s="4" t="n"/>
      <c r="B74" s="4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2026-07-29T11:35:15Z</dcterms:created>
  <dcterms:modified xsi:type="dcterms:W3CDTF">2026-07-29T11:35:16Z</dcterms:modified>
</cp:coreProperties>
</file>